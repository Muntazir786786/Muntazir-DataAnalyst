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Excel Project\"/>
    </mc:Choice>
  </mc:AlternateContent>
  <xr:revisionPtr revIDLastSave="0" documentId="13_ncr:1_{98877021-CA66-4D9F-8E6D-AFE2A560C08C}" xr6:coauthVersionLast="47" xr6:coauthVersionMax="47" xr10:uidLastSave="{00000000-0000-0000-0000-000000000000}"/>
  <bookViews>
    <workbookView xWindow="-110" yWindow="-110" windowWidth="19420" windowHeight="11020" firstSheet="1" activeTab="2" xr2:uid="{7062ADB6-70E3-4D87-A463-608532384EEC}"/>
  </bookViews>
  <sheets>
    <sheet name="Detail1" sheetId="8" r:id="rId1"/>
    <sheet name="Sheet5" sheetId="6" r:id="rId2"/>
    <sheet name="Sheet6" sheetId="7" r:id="rId3"/>
    <sheet name="orders_desnormalizado_prueba-se" sheetId="2" r:id="rId4"/>
  </sheets>
  <definedNames>
    <definedName name="ExternalData_1" localSheetId="3" hidden="1">'orders_desnormalizado_prueba-se'!$A$1:$K$1327</definedName>
    <definedName name="Slicer_product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2" i="2"/>
  <c r="N2" i="2"/>
  <c r="L8" i="2"/>
  <c r="L7" i="2"/>
  <c r="L6" i="2"/>
  <c r="L5" i="2"/>
  <c r="L4" i="2"/>
  <c r="L3" i="2"/>
  <c r="L2" i="2"/>
  <c r="L9"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86C676-AA2D-4935-872A-8CE98A284ADC}" keepAlive="1" name="Query - orders_desnormalizado_prueba-selected-columns" description="Connection to the 'orders_desnormalizado_prueba-selected-columns' query in the workbook." type="5" refreshedVersion="8" background="1" saveData="1">
    <dbPr connection="Provider=Microsoft.Mashup.OleDb.1;Data Source=$Workbook$;Location=orders_desnormalizado_prueba-selected-columns;Extended Properties=&quot;&quot;" command="SELECT * FROM [orders_desnormalizado_prueba-selected-columns]"/>
  </connection>
</connections>
</file>

<file path=xl/sharedStrings.xml><?xml version="1.0" encoding="utf-8"?>
<sst xmlns="http://schemas.openxmlformats.org/spreadsheetml/2006/main" count="15844" uniqueCount="1735">
  <si>
    <t>order_id</t>
  </si>
  <si>
    <t>quantity</t>
  </si>
  <si>
    <t>unit_price</t>
  </si>
  <si>
    <t>total_price</t>
  </si>
  <si>
    <t>order_date</t>
  </si>
  <si>
    <t>status</t>
  </si>
  <si>
    <t>delivery_days</t>
  </si>
  <si>
    <t>product_name</t>
  </si>
  <si>
    <t>cost_price</t>
  </si>
  <si>
    <t>O00001</t>
  </si>
  <si>
    <t>2026-07-14</t>
  </si>
  <si>
    <t>Devuelto</t>
  </si>
  <si>
    <t>Contraentrega</t>
  </si>
  <si>
    <t>Lampara LED con control tactil</t>
  </si>
  <si>
    <t>O00002</t>
  </si>
  <si>
    <t>2026-07-19</t>
  </si>
  <si>
    <t>Entregado</t>
  </si>
  <si>
    <t>PSE</t>
  </si>
  <si>
    <t>Fuente de agua para gatos</t>
  </si>
  <si>
    <t>O00003</t>
  </si>
  <si>
    <t>2026-07-31</t>
  </si>
  <si>
    <t>En transito</t>
  </si>
  <si>
    <t>O00004</t>
  </si>
  <si>
    <t>2026-07-27</t>
  </si>
  <si>
    <t>Nequi</t>
  </si>
  <si>
    <t>Muñequeras con peso 1kg</t>
  </si>
  <si>
    <t>O00005</t>
  </si>
  <si>
    <t>2026-07-13</t>
  </si>
  <si>
    <t>Cancelado</t>
  </si>
  <si>
    <t>O00006</t>
  </si>
  <si>
    <t>2026-06-13</t>
  </si>
  <si>
    <t>Tapete de yoga antideslizante</t>
  </si>
  <si>
    <t>O00007</t>
  </si>
  <si>
    <t>2026-06-24</t>
  </si>
  <si>
    <t>O00008</t>
  </si>
  <si>
    <t>2026-06-02</t>
  </si>
  <si>
    <t>Proyector de estrellas para techo</t>
  </si>
  <si>
    <t>O00009</t>
  </si>
  <si>
    <t>2026-07-03</t>
  </si>
  <si>
    <t>O00010</t>
  </si>
  <si>
    <t>2026-07-08</t>
  </si>
  <si>
    <t>Tarjeta de credito</t>
  </si>
  <si>
    <t>Suplemento vitaminico para perros</t>
  </si>
  <si>
    <t>O00011</t>
  </si>
  <si>
    <t>2026-06-18</t>
  </si>
  <si>
    <t>O00012</t>
  </si>
  <si>
    <t>2026-07-24</t>
  </si>
  <si>
    <t>O00013</t>
  </si>
  <si>
    <t>2026-06-10</t>
  </si>
  <si>
    <t>O00014</t>
  </si>
  <si>
    <t>2026-07-18</t>
  </si>
  <si>
    <t>O00015</t>
  </si>
  <si>
    <t>2026-06-05</t>
  </si>
  <si>
    <t>O00016</t>
  </si>
  <si>
    <t>2026-06-20</t>
  </si>
  <si>
    <t>O00017</t>
  </si>
  <si>
    <t>O00018</t>
  </si>
  <si>
    <t>2026-06-28</t>
  </si>
  <si>
    <t>O00019</t>
  </si>
  <si>
    <t>2026-06-27</t>
  </si>
  <si>
    <t>O00020</t>
  </si>
  <si>
    <t>2026-06-15</t>
  </si>
  <si>
    <t>O00021</t>
  </si>
  <si>
    <t>O00022</t>
  </si>
  <si>
    <t>2026-07-09</t>
  </si>
  <si>
    <t>O00023</t>
  </si>
  <si>
    <t>2026-07-12</t>
  </si>
  <si>
    <t>O00024</t>
  </si>
  <si>
    <t>O00025</t>
  </si>
  <si>
    <t>O00026</t>
  </si>
  <si>
    <t>2026-08-11</t>
  </si>
  <si>
    <t>O00027</t>
  </si>
  <si>
    <t>2026-07-10</t>
  </si>
  <si>
    <t>O00028</t>
  </si>
  <si>
    <t>06/07/2026</t>
  </si>
  <si>
    <t>O00029</t>
  </si>
  <si>
    <t>2026-06-19</t>
  </si>
  <si>
    <t>O00030</t>
  </si>
  <si>
    <t>O00031</t>
  </si>
  <si>
    <t>2026-07-25</t>
  </si>
  <si>
    <t>O00032</t>
  </si>
  <si>
    <t>O00033</t>
  </si>
  <si>
    <t>2026-06-16</t>
  </si>
  <si>
    <t>O00034</t>
  </si>
  <si>
    <t>2026-07-29</t>
  </si>
  <si>
    <t>O00035</t>
  </si>
  <si>
    <t>2026-06-22</t>
  </si>
  <si>
    <t>Procesando</t>
  </si>
  <si>
    <t>O00036</t>
  </si>
  <si>
    <t>2026-06-11</t>
  </si>
  <si>
    <t>O00037</t>
  </si>
  <si>
    <t>O00038</t>
  </si>
  <si>
    <t>2026-08-12</t>
  </si>
  <si>
    <t>O00039</t>
  </si>
  <si>
    <t>2026-06-08</t>
  </si>
  <si>
    <t>O00040</t>
  </si>
  <si>
    <t>2026-08-04</t>
  </si>
  <si>
    <t>O00041</t>
  </si>
  <si>
    <t>O00042</t>
  </si>
  <si>
    <t>2026-06-21</t>
  </si>
  <si>
    <t>O00043</t>
  </si>
  <si>
    <t>O00044</t>
  </si>
  <si>
    <t>2026-08-07</t>
  </si>
  <si>
    <t>O00045</t>
  </si>
  <si>
    <t>O00046</t>
  </si>
  <si>
    <t>O00047</t>
  </si>
  <si>
    <t>2026-08-13</t>
  </si>
  <si>
    <t>O00048</t>
  </si>
  <si>
    <t>2026-08-06</t>
  </si>
  <si>
    <t>O00049</t>
  </si>
  <si>
    <t>2026-07-15</t>
  </si>
  <si>
    <t>O00050</t>
  </si>
  <si>
    <t>O00051</t>
  </si>
  <si>
    <t>O00052</t>
  </si>
  <si>
    <t>O00053</t>
  </si>
  <si>
    <t>O00054</t>
  </si>
  <si>
    <t>2026-08-09</t>
  </si>
  <si>
    <t>O00055</t>
  </si>
  <si>
    <t>2026-06-09</t>
  </si>
  <si>
    <t>O00056</t>
  </si>
  <si>
    <t>2026-08-01</t>
  </si>
  <si>
    <t>O00057</t>
  </si>
  <si>
    <t>2026-08-05</t>
  </si>
  <si>
    <t>O00058</t>
  </si>
  <si>
    <t>O00059</t>
  </si>
  <si>
    <t>O00060</t>
  </si>
  <si>
    <t>2026-06-06</t>
  </si>
  <si>
    <t>O00061</t>
  </si>
  <si>
    <t>O00062</t>
  </si>
  <si>
    <t>O00063</t>
  </si>
  <si>
    <t>O00064</t>
  </si>
  <si>
    <t>O00065</t>
  </si>
  <si>
    <t>2026-06-29</t>
  </si>
  <si>
    <t>O00066</t>
  </si>
  <si>
    <t>2026-06-12</t>
  </si>
  <si>
    <t>O00067</t>
  </si>
  <si>
    <t>O00068</t>
  </si>
  <si>
    <t>O00069</t>
  </si>
  <si>
    <t>12/06/2026</t>
  </si>
  <si>
    <t>O00070</t>
  </si>
  <si>
    <t>O00071</t>
  </si>
  <si>
    <t>O00072</t>
  </si>
  <si>
    <t>O00073</t>
  </si>
  <si>
    <t>2026-07-30</t>
  </si>
  <si>
    <t>O00074</t>
  </si>
  <si>
    <t>O00075</t>
  </si>
  <si>
    <t>16/07/2026</t>
  </si>
  <si>
    <t>O00076</t>
  </si>
  <si>
    <t>2026-07-17</t>
  </si>
  <si>
    <t>O00077</t>
  </si>
  <si>
    <t>O00078</t>
  </si>
  <si>
    <t>O00079</t>
  </si>
  <si>
    <t>O00080</t>
  </si>
  <si>
    <t>O00081</t>
  </si>
  <si>
    <t>O00082</t>
  </si>
  <si>
    <t>O00083</t>
  </si>
  <si>
    <t>2026-07-11</t>
  </si>
  <si>
    <t>O00084</t>
  </si>
  <si>
    <t>2026-07-07</t>
  </si>
  <si>
    <t>O00085</t>
  </si>
  <si>
    <t>08/07/2026</t>
  </si>
  <si>
    <t>O00086</t>
  </si>
  <si>
    <t>2026-07-01</t>
  </si>
  <si>
    <t>O00087</t>
  </si>
  <si>
    <t>2026-06-01</t>
  </si>
  <si>
    <t>O00088</t>
  </si>
  <si>
    <t>2026-06-30</t>
  </si>
  <si>
    <t>O00089</t>
  </si>
  <si>
    <t>O00090</t>
  </si>
  <si>
    <t>2026-07-05</t>
  </si>
  <si>
    <t>O00091</t>
  </si>
  <si>
    <t>2026-07-22</t>
  </si>
  <si>
    <t>O00092</t>
  </si>
  <si>
    <t>O00093</t>
  </si>
  <si>
    <t>O00094</t>
  </si>
  <si>
    <t>O00095</t>
  </si>
  <si>
    <t>2026-08-10</t>
  </si>
  <si>
    <t>O00096</t>
  </si>
  <si>
    <t>O00097</t>
  </si>
  <si>
    <t>O00098</t>
  </si>
  <si>
    <t>O00099</t>
  </si>
  <si>
    <t>O00100</t>
  </si>
  <si>
    <t>O00101</t>
  </si>
  <si>
    <t>O00102</t>
  </si>
  <si>
    <t>O00103</t>
  </si>
  <si>
    <t>O00104</t>
  </si>
  <si>
    <t>O00105</t>
  </si>
  <si>
    <t>O00106</t>
  </si>
  <si>
    <t>O00107</t>
  </si>
  <si>
    <t>O00108</t>
  </si>
  <si>
    <t>O00109</t>
  </si>
  <si>
    <t>2026-08-08</t>
  </si>
  <si>
    <t>O00110</t>
  </si>
  <si>
    <t>O00111</t>
  </si>
  <si>
    <t>O00112</t>
  </si>
  <si>
    <t>2026-07-16</t>
  </si>
  <si>
    <t>O00113</t>
  </si>
  <si>
    <t>O00114</t>
  </si>
  <si>
    <t>O00115</t>
  </si>
  <si>
    <t>2026-07-26</t>
  </si>
  <si>
    <t>O00116</t>
  </si>
  <si>
    <t>O00117</t>
  </si>
  <si>
    <t>O00118</t>
  </si>
  <si>
    <t>O00119</t>
  </si>
  <si>
    <t>O00120</t>
  </si>
  <si>
    <t>O00121</t>
  </si>
  <si>
    <t>O00122</t>
  </si>
  <si>
    <t>O00123</t>
  </si>
  <si>
    <t>O00124</t>
  </si>
  <si>
    <t>O00125</t>
  </si>
  <si>
    <t>12/07/2026</t>
  </si>
  <si>
    <t>O00126</t>
  </si>
  <si>
    <t>O00127</t>
  </si>
  <si>
    <t>O00128</t>
  </si>
  <si>
    <t>2026-07-21</t>
  </si>
  <si>
    <t>O00129</t>
  </si>
  <si>
    <t>O00130</t>
  </si>
  <si>
    <t>O00131</t>
  </si>
  <si>
    <t>O00132</t>
  </si>
  <si>
    <t>O00133</t>
  </si>
  <si>
    <t>O00134</t>
  </si>
  <si>
    <t>O00135</t>
  </si>
  <si>
    <t>O00136</t>
  </si>
  <si>
    <t>O00137</t>
  </si>
  <si>
    <t>O00138</t>
  </si>
  <si>
    <t>O00139</t>
  </si>
  <si>
    <t>O00140</t>
  </si>
  <si>
    <t>O00141</t>
  </si>
  <si>
    <t>O00142</t>
  </si>
  <si>
    <t>2026-08-02</t>
  </si>
  <si>
    <t>O00143</t>
  </si>
  <si>
    <t>2026-07-23</t>
  </si>
  <si>
    <t>O00144</t>
  </si>
  <si>
    <t>2026-07-06</t>
  </si>
  <si>
    <t>O00145</t>
  </si>
  <si>
    <t>O00146</t>
  </si>
  <si>
    <t>2026-07-28</t>
  </si>
  <si>
    <t>O00147</t>
  </si>
  <si>
    <t>O00148</t>
  </si>
  <si>
    <t>O00149</t>
  </si>
  <si>
    <t>2026-06-17</t>
  </si>
  <si>
    <t>O00150</t>
  </si>
  <si>
    <t>O00151</t>
  </si>
  <si>
    <t>O00152</t>
  </si>
  <si>
    <t>O00153</t>
  </si>
  <si>
    <t>O00154</t>
  </si>
  <si>
    <t>O00155</t>
  </si>
  <si>
    <t>O00156</t>
  </si>
  <si>
    <t>O00157</t>
  </si>
  <si>
    <t>O00158</t>
  </si>
  <si>
    <t>O00159</t>
  </si>
  <si>
    <t>O00160</t>
  </si>
  <si>
    <t>O00161</t>
  </si>
  <si>
    <t>O00162</t>
  </si>
  <si>
    <t>O00163</t>
  </si>
  <si>
    <t>O00164</t>
  </si>
  <si>
    <t>10/07/2026</t>
  </si>
  <si>
    <t>O00165</t>
  </si>
  <si>
    <t>O00166</t>
  </si>
  <si>
    <t>O00167</t>
  </si>
  <si>
    <t>O00168</t>
  </si>
  <si>
    <t>O00169</t>
  </si>
  <si>
    <t>O00170</t>
  </si>
  <si>
    <t>O00171</t>
  </si>
  <si>
    <t>2026-08-03</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</si>
  <si>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</si>
  <si>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</si>
  <si>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</si>
  <si>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</si>
  <si>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</si>
  <si>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</si>
  <si>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</si>
  <si>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</si>
  <si>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</si>
  <si>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</si>
  <si>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</si>
  <si>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</si>
  <si>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</si>
  <si>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</si>
  <si>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</si>
  <si>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</si>
  <si>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</si>
  <si>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</si>
  <si>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</si>
  <si>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</si>
  <si>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</si>
  <si>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</si>
  <si>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</si>
  <si>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</si>
  <si>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</si>
  <si>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2026-06-07</t>
  </si>
  <si>
    <t>O00197</t>
  </si>
  <si>
    <t>O00198</t>
  </si>
  <si>
    <t>O00199</t>
  </si>
  <si>
    <t>O00200</t>
  </si>
  <si>
    <t>O00201</t>
  </si>
  <si>
    <t>O00202</t>
  </si>
  <si>
    <t>O00203</t>
  </si>
  <si>
    <t>O00204</t>
  </si>
  <si>
    <t>O00205</t>
  </si>
  <si>
    <t>O00206</t>
  </si>
  <si>
    <t>O00207</t>
  </si>
  <si>
    <t>O00208</t>
  </si>
  <si>
    <t>O00209</t>
  </si>
  <si>
    <t>O00210</t>
  </si>
  <si>
    <t>O00211</t>
  </si>
  <si>
    <t>O00212</t>
  </si>
  <si>
    <t>2026-08-14</t>
  </si>
  <si>
    <t>O00213</t>
  </si>
  <si>
    <t>O00214</t>
  </si>
  <si>
    <t>O00215</t>
  </si>
  <si>
    <t>O00216</t>
  </si>
  <si>
    <t>O00217</t>
  </si>
  <si>
    <t>O00218</t>
  </si>
  <si>
    <t>O00219</t>
  </si>
  <si>
    <t>O00220</t>
  </si>
  <si>
    <t>O00221</t>
  </si>
  <si>
    <t>O00222</t>
  </si>
  <si>
    <t>O00223</t>
  </si>
  <si>
    <t>O00224</t>
  </si>
  <si>
    <t>2026-06-03</t>
  </si>
  <si>
    <t>O00225</t>
  </si>
  <si>
    <t>O00226</t>
  </si>
  <si>
    <t>O00227</t>
  </si>
  <si>
    <t>O00228</t>
  </si>
  <si>
    <t>O00229</t>
  </si>
  <si>
    <t>O00230</t>
  </si>
  <si>
    <t>O00231</t>
  </si>
  <si>
    <t>O00232</t>
  </si>
  <si>
    <t>O00233</t>
  </si>
  <si>
    <t>O00234</t>
  </si>
  <si>
    <t>O00235</t>
  </si>
  <si>
    <t>O00236</t>
  </si>
  <si>
    <t>2026-07-20</t>
  </si>
  <si>
    <t>O00237</t>
  </si>
  <si>
    <t>O00238</t>
  </si>
  <si>
    <t>O00239</t>
  </si>
  <si>
    <t>O00240</t>
  </si>
  <si>
    <t>O00241</t>
  </si>
  <si>
    <t>O00242</t>
  </si>
  <si>
    <t>O00243</t>
  </si>
  <si>
    <t>O00244</t>
  </si>
  <si>
    <t>O00245</t>
  </si>
  <si>
    <t>O00246</t>
  </si>
  <si>
    <t>O00247</t>
  </si>
  <si>
    <t>O00248</t>
  </si>
  <si>
    <t>O00249</t>
  </si>
  <si>
    <t>O00250</t>
  </si>
  <si>
    <t>O00251</t>
  </si>
  <si>
    <t>2026-06-26</t>
  </si>
  <si>
    <t>O00252</t>
  </si>
  <si>
    <t>O00253</t>
  </si>
  <si>
    <t>O00254</t>
  </si>
  <si>
    <t>O00255</t>
  </si>
  <si>
    <t>O00256</t>
  </si>
  <si>
    <t>O00257</t>
  </si>
  <si>
    <t>O00258</t>
  </si>
  <si>
    <t>O00259</t>
  </si>
  <si>
    <t>2026-06-04</t>
  </si>
  <si>
    <t>O00260</t>
  </si>
  <si>
    <t>O00261</t>
  </si>
  <si>
    <t>O00262</t>
  </si>
  <si>
    <t>O00263</t>
  </si>
  <si>
    <t>O00264</t>
  </si>
  <si>
    <t>O00265</t>
  </si>
  <si>
    <t>O00266</t>
  </si>
  <si>
    <t>O00267</t>
  </si>
  <si>
    <t>O00268</t>
  </si>
  <si>
    <t>O00269</t>
  </si>
  <si>
    <t>O00270</t>
  </si>
  <si>
    <t>O00271</t>
  </si>
  <si>
    <t>01/07/2026</t>
  </si>
  <si>
    <t>O00272</t>
  </si>
  <si>
    <t>O00273</t>
  </si>
  <si>
    <t>O00274</t>
  </si>
  <si>
    <t>O00275</t>
  </si>
  <si>
    <t>O00276</t>
  </si>
  <si>
    <t>O00277</t>
  </si>
  <si>
    <t>O00278</t>
  </si>
  <si>
    <t>O00279</t>
  </si>
  <si>
    <t>O00280</t>
  </si>
  <si>
    <t>O00281</t>
  </si>
  <si>
    <t>04/08/2026</t>
  </si>
  <si>
    <t>O00282</t>
  </si>
  <si>
    <t>O00283</t>
  </si>
  <si>
    <t>O00284</t>
  </si>
  <si>
    <t>O00285</t>
  </si>
  <si>
    <t>O00286</t>
  </si>
  <si>
    <t>O00287</t>
  </si>
  <si>
    <t>10/08/2026</t>
  </si>
  <si>
    <t>O00288</t>
  </si>
  <si>
    <t>O00289</t>
  </si>
  <si>
    <t>O00290</t>
  </si>
  <si>
    <t>O00291</t>
  </si>
  <si>
    <t>O00292</t>
  </si>
  <si>
    <t>O00293</t>
  </si>
  <si>
    <t>O00294</t>
  </si>
  <si>
    <t>2026-07-02</t>
  </si>
  <si>
    <t>O00295</t>
  </si>
  <si>
    <t>O00296</t>
  </si>
  <si>
    <t>O00297</t>
  </si>
  <si>
    <t>O00298</t>
  </si>
  <si>
    <t>O00299</t>
  </si>
  <si>
    <t>O00300</t>
  </si>
  <si>
    <t>O00301</t>
  </si>
  <si>
    <t>O00302</t>
  </si>
  <si>
    <t>O00303</t>
  </si>
  <si>
    <t>O00304</t>
  </si>
  <si>
    <t>O00305</t>
  </si>
  <si>
    <t>O00306</t>
  </si>
  <si>
    <t>O00307</t>
  </si>
  <si>
    <t>O00308</t>
  </si>
  <si>
    <t>O00309</t>
  </si>
  <si>
    <t>2026-07-04</t>
  </si>
  <si>
    <t>O00310</t>
  </si>
  <si>
    <t>O00311</t>
  </si>
  <si>
    <t>2026-06-23</t>
  </si>
  <si>
    <t>O00312</t>
  </si>
  <si>
    <t>O00313</t>
  </si>
  <si>
    <t>O00314</t>
  </si>
  <si>
    <t>O00315</t>
  </si>
  <si>
    <t>O00316</t>
  </si>
  <si>
    <t>O00317</t>
  </si>
  <si>
    <t>O00318</t>
  </si>
  <si>
    <t>O00319</t>
  </si>
  <si>
    <t>O00320</t>
  </si>
  <si>
    <t>O00321</t>
  </si>
  <si>
    <t>2026-04-10</t>
  </si>
  <si>
    <t>O00322</t>
  </si>
  <si>
    <t>2026-02-22</t>
  </si>
  <si>
    <t>O00323</t>
  </si>
  <si>
    <t>2026-02-16</t>
  </si>
  <si>
    <t>O00324</t>
  </si>
  <si>
    <t>2026-11-09</t>
  </si>
  <si>
    <t>O00325</t>
  </si>
  <si>
    <t>2026-09-26</t>
  </si>
  <si>
    <t>O00326</t>
  </si>
  <si>
    <t>O00327</t>
  </si>
  <si>
    <t>O00328</t>
  </si>
  <si>
    <t>2026-12-04</t>
  </si>
  <si>
    <t>O00329</t>
  </si>
  <si>
    <t>O00330</t>
  </si>
  <si>
    <t>O00331</t>
  </si>
  <si>
    <t>2026-01-14</t>
  </si>
  <si>
    <t>O00332</t>
  </si>
  <si>
    <t>2026-11-18</t>
  </si>
  <si>
    <t>O00333</t>
  </si>
  <si>
    <t>2026-02-11</t>
  </si>
  <si>
    <t>O00334</t>
  </si>
  <si>
    <t>2026-01-08</t>
  </si>
  <si>
    <t>O00335</t>
  </si>
  <si>
    <t>O00336</t>
  </si>
  <si>
    <t>O00337</t>
  </si>
  <si>
    <t>2026-03-26</t>
  </si>
  <si>
    <t>O00338</t>
  </si>
  <si>
    <t>2026-09-19</t>
  </si>
  <si>
    <t>O00339</t>
  </si>
  <si>
    <t>01/01/2026</t>
  </si>
  <si>
    <t>O00340</t>
  </si>
  <si>
    <t>2026-09-20</t>
  </si>
  <si>
    <t>O00341</t>
  </si>
  <si>
    <t>2026-11-30</t>
  </si>
  <si>
    <t>O00342</t>
  </si>
  <si>
    <t>O00343</t>
  </si>
  <si>
    <t>O00344</t>
  </si>
  <si>
    <t>2026-11-20</t>
  </si>
  <si>
    <t>O00345</t>
  </si>
  <si>
    <t>2026-04-25</t>
  </si>
  <si>
    <t>O00346</t>
  </si>
  <si>
    <t>O00347</t>
  </si>
  <si>
    <t>2026-10-20</t>
  </si>
  <si>
    <t>O00348</t>
  </si>
  <si>
    <t>2026-08-26</t>
  </si>
  <si>
    <t>O00349</t>
  </si>
  <si>
    <t>2026-10-30</t>
  </si>
  <si>
    <t>O00350</t>
  </si>
  <si>
    <t>O00351</t>
  </si>
  <si>
    <t>2026-11-27</t>
  </si>
  <si>
    <t>O00352</t>
  </si>
  <si>
    <t>2026-11-05</t>
  </si>
  <si>
    <t>O00353</t>
  </si>
  <si>
    <t>2026-10-27</t>
  </si>
  <si>
    <t>O00354</t>
  </si>
  <si>
    <t>2026-11-04</t>
  </si>
  <si>
    <t>O00355</t>
  </si>
  <si>
    <t>2026-02-19</t>
  </si>
  <si>
    <t>O00356</t>
  </si>
  <si>
    <t>O00357</t>
  </si>
  <si>
    <t>O00358</t>
  </si>
  <si>
    <t>O00359</t>
  </si>
  <si>
    <t>2026-10-29</t>
  </si>
  <si>
    <t>O00360</t>
  </si>
  <si>
    <t>O00361</t>
  </si>
  <si>
    <t>2026-01-20</t>
  </si>
  <si>
    <t>O00362</t>
  </si>
  <si>
    <t>O00363</t>
  </si>
  <si>
    <t>2026-09-05</t>
  </si>
  <si>
    <t>O00364</t>
  </si>
  <si>
    <t>2026-09-18</t>
  </si>
  <si>
    <t>O00365</t>
  </si>
  <si>
    <t>2026-12-05</t>
  </si>
  <si>
    <t>O00366</t>
  </si>
  <si>
    <t>2026-02-10</t>
  </si>
  <si>
    <t>O00367</t>
  </si>
  <si>
    <t>2026-02-13</t>
  </si>
  <si>
    <t>O00368</t>
  </si>
  <si>
    <t>2026-05-14</t>
  </si>
  <si>
    <t>O00369</t>
  </si>
  <si>
    <t>O00370</t>
  </si>
  <si>
    <t>O00371</t>
  </si>
  <si>
    <t>O00372</t>
  </si>
  <si>
    <t>2026-01-11</t>
  </si>
  <si>
    <t>O00373</t>
  </si>
  <si>
    <t>2026-09-22</t>
  </si>
  <si>
    <t>O00374</t>
  </si>
  <si>
    <t>2026-01-23</t>
  </si>
  <si>
    <t>O00375</t>
  </si>
  <si>
    <t>O00376</t>
  </si>
  <si>
    <t>O00377</t>
  </si>
  <si>
    <t>O00378</t>
  </si>
  <si>
    <t>O00379</t>
  </si>
  <si>
    <t>O00380</t>
  </si>
  <si>
    <t>2026-08-16</t>
  </si>
  <si>
    <t>O00381</t>
  </si>
  <si>
    <t>2026-01-03</t>
  </si>
  <si>
    <t>O00382</t>
  </si>
  <si>
    <t>O00383</t>
  </si>
  <si>
    <t>2026-09-28</t>
  </si>
  <si>
    <t>O00384</t>
  </si>
  <si>
    <t>11/04/2026</t>
  </si>
  <si>
    <t>O00385</t>
  </si>
  <si>
    <t>2026-01-25</t>
  </si>
  <si>
    <t>O00386</t>
  </si>
  <si>
    <t>O00387</t>
  </si>
  <si>
    <t>2026-01-31</t>
  </si>
  <si>
    <t>O00388</t>
  </si>
  <si>
    <t>2026-05-27</t>
  </si>
  <si>
    <t>O00389</t>
  </si>
  <si>
    <t>O00390</t>
  </si>
  <si>
    <t>2026-04-16</t>
  </si>
  <si>
    <t>O00391</t>
  </si>
  <si>
    <t>2026-08-28</t>
  </si>
  <si>
    <t>O00392</t>
  </si>
  <si>
    <t>2026-03-08</t>
  </si>
  <si>
    <t>O00393</t>
  </si>
  <si>
    <t>O00394</t>
  </si>
  <si>
    <t>O00395</t>
  </si>
  <si>
    <t>2026-11-11</t>
  </si>
  <si>
    <t>O00396</t>
  </si>
  <si>
    <t>2026-11-13</t>
  </si>
  <si>
    <t>O00397</t>
  </si>
  <si>
    <t>2026-08-22</t>
  </si>
  <si>
    <t>O00398</t>
  </si>
  <si>
    <t>O00399</t>
  </si>
  <si>
    <t>O00400</t>
  </si>
  <si>
    <t>O00401</t>
  </si>
  <si>
    <t>2026-02-26</t>
  </si>
  <si>
    <t>O00402</t>
  </si>
  <si>
    <t>2026-09-07</t>
  </si>
  <si>
    <t>O00403</t>
  </si>
  <si>
    <t>O00404</t>
  </si>
  <si>
    <t>O00405</t>
  </si>
  <si>
    <t>2026-03-30</t>
  </si>
  <si>
    <t>O00406</t>
  </si>
  <si>
    <t>O00407</t>
  </si>
  <si>
    <t>2026-01-12</t>
  </si>
  <si>
    <t>O00408</t>
  </si>
  <si>
    <t>2026-10-08</t>
  </si>
  <si>
    <t>O00409</t>
  </si>
  <si>
    <t>O00410</t>
  </si>
  <si>
    <t>2026-01-28</t>
  </si>
  <si>
    <t>O00411</t>
  </si>
  <si>
    <t>O00412</t>
  </si>
  <si>
    <t>2026-03-16</t>
  </si>
  <si>
    <t>O00413</t>
  </si>
  <si>
    <t>2026-02-25</t>
  </si>
  <si>
    <t>O00414</t>
  </si>
  <si>
    <t>2026-03-18</t>
  </si>
  <si>
    <t>O00415</t>
  </si>
  <si>
    <t>2026-04-07</t>
  </si>
  <si>
    <t>O00416</t>
  </si>
  <si>
    <t>O00417</t>
  </si>
  <si>
    <t>2026-02-03</t>
  </si>
  <si>
    <t>O00418</t>
  </si>
  <si>
    <t>O00419</t>
  </si>
  <si>
    <t>O00420</t>
  </si>
  <si>
    <t>O00421</t>
  </si>
  <si>
    <t>2026-03-03</t>
  </si>
  <si>
    <t>O00422</t>
  </si>
  <si>
    <t>2026-03-01</t>
  </si>
  <si>
    <t>O00423</t>
  </si>
  <si>
    <t>O00424</t>
  </si>
  <si>
    <t>O00425</t>
  </si>
  <si>
    <t>2026-10-09</t>
  </si>
  <si>
    <t>O00426</t>
  </si>
  <si>
    <t>11/02/2026</t>
  </si>
  <si>
    <t>O00427</t>
  </si>
  <si>
    <t>O00428</t>
  </si>
  <si>
    <t>2026-11-23</t>
  </si>
  <si>
    <t>O00429</t>
  </si>
  <si>
    <t>2026-04-27</t>
  </si>
  <si>
    <t>O00430</t>
  </si>
  <si>
    <t>2026-10-11</t>
  </si>
  <si>
    <t>O00431</t>
  </si>
  <si>
    <t>O00432</t>
  </si>
  <si>
    <t>O00433</t>
  </si>
  <si>
    <t>2026-09-24</t>
  </si>
  <si>
    <t>O00434</t>
  </si>
  <si>
    <t>2026-11-10</t>
  </si>
  <si>
    <t>O00435</t>
  </si>
  <si>
    <t>2026-03-11</t>
  </si>
  <si>
    <t>O00436</t>
  </si>
  <si>
    <t>O00437</t>
  </si>
  <si>
    <t>O00438</t>
  </si>
  <si>
    <t>09/03/2026</t>
  </si>
  <si>
    <t>O00439</t>
  </si>
  <si>
    <t>2026-05-22</t>
  </si>
  <si>
    <t>O00440</t>
  </si>
  <si>
    <t>2026-05-16</t>
  </si>
  <si>
    <t>O00441</t>
  </si>
  <si>
    <t>O00442</t>
  </si>
  <si>
    <t>2026-03-12</t>
  </si>
  <si>
    <t>O00443</t>
  </si>
  <si>
    <t>2026-01-13</t>
  </si>
  <si>
    <t>O00444</t>
  </si>
  <si>
    <t>2026-01-16</t>
  </si>
  <si>
    <t>O00445</t>
  </si>
  <si>
    <t>2026-09-21</t>
  </si>
  <si>
    <t>O00446</t>
  </si>
  <si>
    <t>O00447</t>
  </si>
  <si>
    <t>2026-12-03</t>
  </si>
  <si>
    <t>O00448</t>
  </si>
  <si>
    <t>2026-05-23</t>
  </si>
  <si>
    <t>O00449</t>
  </si>
  <si>
    <t>2026-08-15</t>
  </si>
  <si>
    <t>O00450</t>
  </si>
  <si>
    <t>2026-04-04</t>
  </si>
  <si>
    <t>O00451</t>
  </si>
  <si>
    <t>O00452</t>
  </si>
  <si>
    <t>2026-08-29</t>
  </si>
  <si>
    <t>O00453</t>
  </si>
  <si>
    <t>O00454</t>
  </si>
  <si>
    <t>2026-08-25</t>
  </si>
  <si>
    <t>O00455</t>
  </si>
  <si>
    <t>2026-04-12</t>
  </si>
  <si>
    <t>O00456</t>
  </si>
  <si>
    <t>O00457</t>
  </si>
  <si>
    <t>O00458</t>
  </si>
  <si>
    <t>2026-05-15</t>
  </si>
  <si>
    <t>O00459</t>
  </si>
  <si>
    <t>O00460</t>
  </si>
  <si>
    <t>2026-11-19</t>
  </si>
  <si>
    <t>O00461</t>
  </si>
  <si>
    <t>O00462</t>
  </si>
  <si>
    <t>O00463</t>
  </si>
  <si>
    <t>2026-01-15</t>
  </si>
  <si>
    <t>O00464</t>
  </si>
  <si>
    <t>2026-11-08</t>
  </si>
  <si>
    <t>O00465</t>
  </si>
  <si>
    <t>O00466</t>
  </si>
  <si>
    <t>2026-10-28</t>
  </si>
  <si>
    <t>O00467</t>
  </si>
  <si>
    <t>O00468</t>
  </si>
  <si>
    <t>O00469</t>
  </si>
  <si>
    <t>2026-01-09</t>
  </si>
  <si>
    <t>O00470</t>
  </si>
  <si>
    <t>2026-02-17</t>
  </si>
  <si>
    <t>O00471</t>
  </si>
  <si>
    <t>2026-12-02</t>
  </si>
  <si>
    <t>O00472</t>
  </si>
  <si>
    <t>2026-05-17</t>
  </si>
  <si>
    <t>O00473</t>
  </si>
  <si>
    <t>2026-03-05</t>
  </si>
  <si>
    <t>O00474</t>
  </si>
  <si>
    <t>2026-05-06</t>
  </si>
  <si>
    <t>O00475</t>
  </si>
  <si>
    <t>O00476</t>
  </si>
  <si>
    <t>O00477</t>
  </si>
  <si>
    <t>O00478</t>
  </si>
  <si>
    <t>O00479</t>
  </si>
  <si>
    <t>O00480</t>
  </si>
  <si>
    <t>2026-05-25</t>
  </si>
  <si>
    <t>O00481</t>
  </si>
  <si>
    <t>2026-11-29</t>
  </si>
  <si>
    <t>O00482</t>
  </si>
  <si>
    <t>O00483</t>
  </si>
  <si>
    <t>O00484</t>
  </si>
  <si>
    <t>O00485</t>
  </si>
  <si>
    <t>2026-04-28</t>
  </si>
  <si>
    <t>O00486</t>
  </si>
  <si>
    <t>O00487</t>
  </si>
  <si>
    <t>O00488</t>
  </si>
  <si>
    <t>2026-01-21</t>
  </si>
  <si>
    <t>O00489</t>
  </si>
  <si>
    <t>2026-03-23</t>
  </si>
  <si>
    <t>O00490</t>
  </si>
  <si>
    <t>O00491</t>
  </si>
  <si>
    <t>O00492</t>
  </si>
  <si>
    <t>O00493</t>
  </si>
  <si>
    <t>2026-04-05</t>
  </si>
  <si>
    <t>O00494</t>
  </si>
  <si>
    <t>2026-05-10</t>
  </si>
  <si>
    <t>O00495</t>
  </si>
  <si>
    <t>2026-04-09</t>
  </si>
  <si>
    <t>O00496</t>
  </si>
  <si>
    <t>O00497</t>
  </si>
  <si>
    <t>2026-12-06</t>
  </si>
  <si>
    <t>O00498</t>
  </si>
  <si>
    <t>O00499</t>
  </si>
  <si>
    <t>2026-03-29</t>
  </si>
  <si>
    <t>O00500</t>
  </si>
  <si>
    <t>2026-11-14</t>
  </si>
  <si>
    <t>O00501</t>
  </si>
  <si>
    <t>O00502</t>
  </si>
  <si>
    <t>O00503</t>
  </si>
  <si>
    <t>O00504</t>
  </si>
  <si>
    <t>O00505</t>
  </si>
  <si>
    <t>O00506</t>
  </si>
  <si>
    <t>O00507</t>
  </si>
  <si>
    <t>O00508</t>
  </si>
  <si>
    <t>05/05/2026</t>
  </si>
  <si>
    <t>O00509</t>
  </si>
  <si>
    <t>2026-03-02</t>
  </si>
  <si>
    <t>O00510</t>
  </si>
  <si>
    <t>O00511</t>
  </si>
  <si>
    <t>2026-05-28</t>
  </si>
  <si>
    <t>O00512</t>
  </si>
  <si>
    <t>O00513</t>
  </si>
  <si>
    <t>O00514</t>
  </si>
  <si>
    <t>O00515</t>
  </si>
  <si>
    <t>2026-09-23</t>
  </si>
  <si>
    <t>O00516</t>
  </si>
  <si>
    <t>2026-05-29</t>
  </si>
  <si>
    <t>O00517</t>
  </si>
  <si>
    <t>2026-08-23</t>
  </si>
  <si>
    <t>O00518</t>
  </si>
  <si>
    <t>2026-03-17</t>
  </si>
  <si>
    <t>O00519</t>
  </si>
  <si>
    <t>O00520</t>
  </si>
  <si>
    <t>2026-03-10</t>
  </si>
  <si>
    <t>O00521</t>
  </si>
  <si>
    <t>O00522</t>
  </si>
  <si>
    <t>2026-01-01</t>
  </si>
  <si>
    <t>O00523</t>
  </si>
  <si>
    <t>2026-05-09</t>
  </si>
  <si>
    <t>O00524</t>
  </si>
  <si>
    <t>O00525</t>
  </si>
  <si>
    <t>O00526</t>
  </si>
  <si>
    <t>O00527</t>
  </si>
  <si>
    <t>2026-03-22</t>
  </si>
  <si>
    <t>O00528</t>
  </si>
  <si>
    <t>O00529</t>
  </si>
  <si>
    <t>O00530</t>
  </si>
  <si>
    <t>2026-01-30</t>
  </si>
  <si>
    <t>O00531</t>
  </si>
  <si>
    <t>O00532</t>
  </si>
  <si>
    <t>O00533</t>
  </si>
  <si>
    <t>06/01/2026</t>
  </si>
  <si>
    <t>O00534</t>
  </si>
  <si>
    <t>O00535</t>
  </si>
  <si>
    <t>2026-04-30</t>
  </si>
  <si>
    <t>O00536</t>
  </si>
  <si>
    <t>2026-10-17</t>
  </si>
  <si>
    <t>O00537</t>
  </si>
  <si>
    <t>O00538</t>
  </si>
  <si>
    <t>2026-02-27</t>
  </si>
  <si>
    <t>O00539</t>
  </si>
  <si>
    <t>O00540</t>
  </si>
  <si>
    <t>2026-05-18</t>
  </si>
  <si>
    <t>O00541</t>
  </si>
  <si>
    <t>O00542</t>
  </si>
  <si>
    <t>05/03/2026</t>
  </si>
  <si>
    <t>O00543</t>
  </si>
  <si>
    <t>2026-12-01</t>
  </si>
  <si>
    <t>O00544</t>
  </si>
  <si>
    <t>2026-11-26</t>
  </si>
  <si>
    <t>O00545</t>
  </si>
  <si>
    <t>O00546</t>
  </si>
  <si>
    <t>O00547</t>
  </si>
  <si>
    <t>O00548</t>
  </si>
  <si>
    <t>2026-04-08</t>
  </si>
  <si>
    <t>O00549</t>
  </si>
  <si>
    <t>O00550</t>
  </si>
  <si>
    <t>O00551</t>
  </si>
  <si>
    <t>2026-04-21</t>
  </si>
  <si>
    <t>O00552</t>
  </si>
  <si>
    <t>2026-11-16</t>
  </si>
  <si>
    <t>O00553</t>
  </si>
  <si>
    <t>2026-11-06</t>
  </si>
  <si>
    <t>O00554</t>
  </si>
  <si>
    <t>2026-05-08</t>
  </si>
  <si>
    <t>O00555</t>
  </si>
  <si>
    <t>O00556</t>
  </si>
  <si>
    <t>2026-02-28</t>
  </si>
  <si>
    <t>O00557</t>
  </si>
  <si>
    <t>2026-02-20</t>
  </si>
  <si>
    <t>O00558</t>
  </si>
  <si>
    <t>2026-11-21</t>
  </si>
  <si>
    <t>O00559</t>
  </si>
  <si>
    <t>O00560</t>
  </si>
  <si>
    <t>O00561</t>
  </si>
  <si>
    <t>2026-10-12</t>
  </si>
  <si>
    <t>O00562</t>
  </si>
  <si>
    <t>O00563</t>
  </si>
  <si>
    <t>2026-02-18</t>
  </si>
  <si>
    <t>O00564</t>
  </si>
  <si>
    <t>2026-01-06</t>
  </si>
  <si>
    <t>O00565</t>
  </si>
  <si>
    <t>2026-09-29</t>
  </si>
  <si>
    <t>O00566</t>
  </si>
  <si>
    <t>O00567</t>
  </si>
  <si>
    <t>O00568</t>
  </si>
  <si>
    <t>2026-03-24</t>
  </si>
  <si>
    <t>O00569</t>
  </si>
  <si>
    <t>2026-10-06</t>
  </si>
  <si>
    <t>O00570</t>
  </si>
  <si>
    <t>O00571</t>
  </si>
  <si>
    <t>O00572</t>
  </si>
  <si>
    <t>2026-05-19</t>
  </si>
  <si>
    <t>O00573</t>
  </si>
  <si>
    <t>2026-02-15</t>
  </si>
  <si>
    <t>O00574</t>
  </si>
  <si>
    <t>2026-04-01</t>
  </si>
  <si>
    <t>O00575</t>
  </si>
  <si>
    <t>O00576</t>
  </si>
  <si>
    <t>O00577</t>
  </si>
  <si>
    <t>O00578</t>
  </si>
  <si>
    <t>O00579</t>
  </si>
  <si>
    <t>O00580</t>
  </si>
  <si>
    <t>2026-04-24</t>
  </si>
  <si>
    <t>O00581</t>
  </si>
  <si>
    <t>O00582</t>
  </si>
  <si>
    <t>2026-09-04</t>
  </si>
  <si>
    <t>O00583</t>
  </si>
  <si>
    <t>2026-02-08</t>
  </si>
  <si>
    <t>O00584</t>
  </si>
  <si>
    <t>2026-10-15</t>
  </si>
  <si>
    <t>O00585</t>
  </si>
  <si>
    <t>2026-03-27</t>
  </si>
  <si>
    <t>O00586</t>
  </si>
  <si>
    <t>O00587</t>
  </si>
  <si>
    <t>2026-08-20</t>
  </si>
  <si>
    <t>O00588</t>
  </si>
  <si>
    <t>O00589</t>
  </si>
  <si>
    <t>O00590</t>
  </si>
  <si>
    <t>O00591</t>
  </si>
  <si>
    <t>O00592</t>
  </si>
  <si>
    <t>2026-02-05</t>
  </si>
  <si>
    <t>O00593</t>
  </si>
  <si>
    <t>O00594</t>
  </si>
  <si>
    <t>O00595</t>
  </si>
  <si>
    <t>O00596</t>
  </si>
  <si>
    <t>O00597</t>
  </si>
  <si>
    <t>O00598</t>
  </si>
  <si>
    <t>2026-05-07</t>
  </si>
  <si>
    <t>O00599</t>
  </si>
  <si>
    <t>O00600</t>
  </si>
  <si>
    <t>2026-02-14</t>
  </si>
  <si>
    <t>O00601</t>
  </si>
  <si>
    <t>O00602</t>
  </si>
  <si>
    <t>O00603</t>
  </si>
  <si>
    <t>O00604</t>
  </si>
  <si>
    <t>2026-02-02</t>
  </si>
  <si>
    <t>O00605</t>
  </si>
  <si>
    <t>O00606</t>
  </si>
  <si>
    <t>2026-08-27</t>
  </si>
  <si>
    <t>O00607</t>
  </si>
  <si>
    <t>O00608</t>
  </si>
  <si>
    <t>2026-04-29</t>
  </si>
  <si>
    <t>O00609</t>
  </si>
  <si>
    <t>O00610</t>
  </si>
  <si>
    <t>O00611</t>
  </si>
  <si>
    <t>O00612</t>
  </si>
  <si>
    <t>O00613</t>
  </si>
  <si>
    <t>O00614</t>
  </si>
  <si>
    <t>O00615</t>
  </si>
  <si>
    <t>O00616</t>
  </si>
  <si>
    <t>2026-03-04</t>
  </si>
  <si>
    <t>O00617</t>
  </si>
  <si>
    <t>O00618</t>
  </si>
  <si>
    <t>O00619</t>
  </si>
  <si>
    <t>O00620</t>
  </si>
  <si>
    <t>O00621</t>
  </si>
  <si>
    <t>2026-04-15</t>
  </si>
  <si>
    <t>O00622</t>
  </si>
  <si>
    <t>O00623</t>
  </si>
  <si>
    <t>O00624</t>
  </si>
  <si>
    <t>O00625</t>
  </si>
  <si>
    <t>2026-09-01</t>
  </si>
  <si>
    <t>O00626</t>
  </si>
  <si>
    <t>2026-03-13</t>
  </si>
  <si>
    <t>O00627</t>
  </si>
  <si>
    <t>O00628</t>
  </si>
  <si>
    <t>2026-01-07</t>
  </si>
  <si>
    <t>O00629</t>
  </si>
  <si>
    <t>O00630</t>
  </si>
  <si>
    <t>O00631</t>
  </si>
  <si>
    <t>2026-10-19</t>
  </si>
  <si>
    <t>O00632</t>
  </si>
  <si>
    <t>O00633</t>
  </si>
  <si>
    <t>2026-01-04</t>
  </si>
  <si>
    <t>O00634</t>
  </si>
  <si>
    <t>O00635</t>
  </si>
  <si>
    <t>2026-11-03</t>
  </si>
  <si>
    <t>O00636</t>
  </si>
  <si>
    <t>2026-09-14</t>
  </si>
  <si>
    <t>O00637</t>
  </si>
  <si>
    <t>2026-10-14</t>
  </si>
  <si>
    <t>O00638</t>
  </si>
  <si>
    <t>2026-03-15</t>
  </si>
  <si>
    <t>O00639</t>
  </si>
  <si>
    <t>O00640</t>
  </si>
  <si>
    <t>O00641</t>
  </si>
  <si>
    <t>O00642</t>
  </si>
  <si>
    <t>O00643</t>
  </si>
  <si>
    <t>O00644</t>
  </si>
  <si>
    <t>O00645</t>
  </si>
  <si>
    <t>2026-01-05</t>
  </si>
  <si>
    <t>O00646</t>
  </si>
  <si>
    <t>2026-05-12</t>
  </si>
  <si>
    <t>O00647</t>
  </si>
  <si>
    <t>2026-10-23</t>
  </si>
  <si>
    <t>O00648</t>
  </si>
  <si>
    <t>2026-10-05</t>
  </si>
  <si>
    <t>O00649</t>
  </si>
  <si>
    <t>2026-05-13</t>
  </si>
  <si>
    <t>O00650</t>
  </si>
  <si>
    <t>O00651</t>
  </si>
  <si>
    <t>O00652</t>
  </si>
  <si>
    <t>O00653</t>
  </si>
  <si>
    <t>O00654</t>
  </si>
  <si>
    <t>2026-10-21</t>
  </si>
  <si>
    <t>O00655</t>
  </si>
  <si>
    <t>O00656</t>
  </si>
  <si>
    <t>O00657</t>
  </si>
  <si>
    <t>O00658</t>
  </si>
  <si>
    <t>O00659</t>
  </si>
  <si>
    <t>O00660</t>
  </si>
  <si>
    <t>O00661</t>
  </si>
  <si>
    <t>O00662</t>
  </si>
  <si>
    <t>O00663</t>
  </si>
  <si>
    <t>2026-10-18</t>
  </si>
  <si>
    <t>O00664</t>
  </si>
  <si>
    <t>27/07/2026</t>
  </si>
  <si>
    <t>O00665</t>
  </si>
  <si>
    <t>O00666</t>
  </si>
  <si>
    <t>O00667</t>
  </si>
  <si>
    <t>2026-04-20</t>
  </si>
  <si>
    <t>O00668</t>
  </si>
  <si>
    <t>O00669</t>
  </si>
  <si>
    <t>07/11/2026</t>
  </si>
  <si>
    <t>O00670</t>
  </si>
  <si>
    <t>O00671</t>
  </si>
  <si>
    <t>O00672</t>
  </si>
  <si>
    <t>O00673</t>
  </si>
  <si>
    <t>2026-09-16</t>
  </si>
  <si>
    <t>O00674</t>
  </si>
  <si>
    <t>O00675</t>
  </si>
  <si>
    <t>2026-10-01</t>
  </si>
  <si>
    <t>O00676</t>
  </si>
  <si>
    <t>O00677</t>
  </si>
  <si>
    <t>O00678</t>
  </si>
  <si>
    <t>O00679</t>
  </si>
  <si>
    <t>O00680</t>
  </si>
  <si>
    <t>O00681</t>
  </si>
  <si>
    <t>O00682</t>
  </si>
  <si>
    <t>08/02/2026</t>
  </si>
  <si>
    <t>O00683</t>
  </si>
  <si>
    <t>O00684</t>
  </si>
  <si>
    <t>O00685</t>
  </si>
  <si>
    <t>O00686</t>
  </si>
  <si>
    <t>O00687</t>
  </si>
  <si>
    <t>O00688</t>
  </si>
  <si>
    <t>O00689</t>
  </si>
  <si>
    <t>O00690</t>
  </si>
  <si>
    <t>O00691</t>
  </si>
  <si>
    <t>O00692</t>
  </si>
  <si>
    <t>06/11/2026</t>
  </si>
  <si>
    <t>O00693</t>
  </si>
  <si>
    <t>O00694</t>
  </si>
  <si>
    <t>O00695</t>
  </si>
  <si>
    <t>2026-04-19</t>
  </si>
  <si>
    <t>O00696</t>
  </si>
  <si>
    <t>O00697</t>
  </si>
  <si>
    <t>O00698</t>
  </si>
  <si>
    <t>O00699</t>
  </si>
  <si>
    <t>O00700</t>
  </si>
  <si>
    <t>O00701</t>
  </si>
  <si>
    <t>O00702</t>
  </si>
  <si>
    <t>O00703</t>
  </si>
  <si>
    <t>O00704</t>
  </si>
  <si>
    <t>O00705</t>
  </si>
  <si>
    <t>2026-10-24</t>
  </si>
  <si>
    <t>O00706</t>
  </si>
  <si>
    <t>O00707</t>
  </si>
  <si>
    <t>O00708</t>
  </si>
  <si>
    <t>O00709</t>
  </si>
  <si>
    <t>O00710</t>
  </si>
  <si>
    <t>O00711</t>
  </si>
  <si>
    <t>O00712</t>
  </si>
  <si>
    <t>O00713</t>
  </si>
  <si>
    <t>O00714</t>
  </si>
  <si>
    <t>2026-03-20</t>
  </si>
  <si>
    <t>O00715</t>
  </si>
  <si>
    <t>O00716</t>
  </si>
  <si>
    <t>2026-02-07</t>
  </si>
  <si>
    <t>O00717</t>
  </si>
  <si>
    <t>2026-01-17</t>
  </si>
  <si>
    <t>O00718</t>
  </si>
  <si>
    <t>O00719</t>
  </si>
  <si>
    <t>2026-10-13</t>
  </si>
  <si>
    <t>O00720</t>
  </si>
  <si>
    <t>O00721</t>
  </si>
  <si>
    <t>O00722</t>
  </si>
  <si>
    <t>2026-10-02</t>
  </si>
  <si>
    <t>O00723</t>
  </si>
  <si>
    <t>O00724</t>
  </si>
  <si>
    <t>2026-01-27</t>
  </si>
  <si>
    <t>O00725</t>
  </si>
  <si>
    <t>O00726</t>
  </si>
  <si>
    <t>O00727</t>
  </si>
  <si>
    <t>O00728</t>
  </si>
  <si>
    <t>2026-06-14</t>
  </si>
  <si>
    <t>O00729</t>
  </si>
  <si>
    <t>O00730</t>
  </si>
  <si>
    <t>2026-09-09</t>
  </si>
  <si>
    <t>O00731</t>
  </si>
  <si>
    <t>O00732</t>
  </si>
  <si>
    <t>O00733</t>
  </si>
  <si>
    <t>O00734</t>
  </si>
  <si>
    <t>2026-09-25</t>
  </si>
  <si>
    <t>O00735</t>
  </si>
  <si>
    <t>2026-08-24</t>
  </si>
  <si>
    <t>O00736</t>
  </si>
  <si>
    <t>O00737</t>
  </si>
  <si>
    <t>O00738</t>
  </si>
  <si>
    <t>O00739</t>
  </si>
  <si>
    <t>O00740</t>
  </si>
  <si>
    <t>O00741</t>
  </si>
  <si>
    <t>O00742</t>
  </si>
  <si>
    <t>O00743</t>
  </si>
  <si>
    <t>O00744</t>
  </si>
  <si>
    <t>O00745</t>
  </si>
  <si>
    <t>O00746</t>
  </si>
  <si>
    <t>O00747</t>
  </si>
  <si>
    <t>O00748</t>
  </si>
  <si>
    <t>O00749</t>
  </si>
  <si>
    <t>O00750</t>
  </si>
  <si>
    <t>2026-03-09</t>
  </si>
  <si>
    <t>O00751</t>
  </si>
  <si>
    <t>2026-04-06</t>
  </si>
  <si>
    <t>O00752</t>
  </si>
  <si>
    <t>O00753</t>
  </si>
  <si>
    <t>O00754</t>
  </si>
  <si>
    <t>O00755</t>
  </si>
  <si>
    <t>O00756</t>
  </si>
  <si>
    <t>2026-02-24</t>
  </si>
  <si>
    <t>O00757</t>
  </si>
  <si>
    <t>07/09/2026</t>
  </si>
  <si>
    <t>O00758</t>
  </si>
  <si>
    <t>O00759</t>
  </si>
  <si>
    <t>O00760</t>
  </si>
  <si>
    <t>O00761</t>
  </si>
  <si>
    <t>O00762</t>
  </si>
  <si>
    <t>2026-02-01</t>
  </si>
  <si>
    <t>O00763</t>
  </si>
  <si>
    <t>O00764</t>
  </si>
  <si>
    <t>O00765</t>
  </si>
  <si>
    <t>O00766</t>
  </si>
  <si>
    <t>O00767</t>
  </si>
  <si>
    <t>O00768</t>
  </si>
  <si>
    <t>2026-05-03</t>
  </si>
  <si>
    <t>O00769</t>
  </si>
  <si>
    <t>O00770</t>
  </si>
  <si>
    <t>O00771</t>
  </si>
  <si>
    <t>2026-02-06</t>
  </si>
  <si>
    <t>O00772</t>
  </si>
  <si>
    <t>O00773</t>
  </si>
  <si>
    <t>O00774</t>
  </si>
  <si>
    <t>O00775</t>
  </si>
  <si>
    <t>O00776</t>
  </si>
  <si>
    <t>O00777</t>
  </si>
  <si>
    <t>O00778</t>
  </si>
  <si>
    <t>O00779</t>
  </si>
  <si>
    <t>2026-05-01</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</si>
  <si>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</si>
  <si>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</si>
  <si>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</si>
  <si>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</si>
  <si>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</si>
  <si>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</si>
  <si>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</si>
  <si>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</si>
  <si>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</si>
  <si>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</si>
  <si>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</si>
  <si>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</si>
  <si>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</si>
  <si>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</si>
  <si>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</si>
  <si>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</si>
  <si>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</si>
  <si>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</si>
  <si>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</si>
  <si>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2026-03-14</t>
  </si>
  <si>
    <t>O00799</t>
  </si>
  <si>
    <t>O00800</t>
  </si>
  <si>
    <t>O00801</t>
  </si>
  <si>
    <t>O00802</t>
  </si>
  <si>
    <t>O00803</t>
  </si>
  <si>
    <t>O00804</t>
  </si>
  <si>
    <t>O00805</t>
  </si>
  <si>
    <t>2026-11-25</t>
  </si>
  <si>
    <t>O00806</t>
  </si>
  <si>
    <t>2026-05-31</t>
  </si>
  <si>
    <t>O00807</t>
  </si>
  <si>
    <t>10/11/2026</t>
  </si>
  <si>
    <t>O00808</t>
  </si>
  <si>
    <t>O00809</t>
  </si>
  <si>
    <t>2026-03-07</t>
  </si>
  <si>
    <t>O00810</t>
  </si>
  <si>
    <t>O00811</t>
  </si>
  <si>
    <t>O00812</t>
  </si>
  <si>
    <t>2026-11-28</t>
  </si>
  <si>
    <t>O00813</t>
  </si>
  <si>
    <t>2026-04-26</t>
  </si>
  <si>
    <t>O00814</t>
  </si>
  <si>
    <t>O00815</t>
  </si>
  <si>
    <t>O00816</t>
  </si>
  <si>
    <t>O00817</t>
  </si>
  <si>
    <t>O00818</t>
  </si>
  <si>
    <t>O00819</t>
  </si>
  <si>
    <t>O00820</t>
  </si>
  <si>
    <t>O00821</t>
  </si>
  <si>
    <t>O00822</t>
  </si>
  <si>
    <t>O00823</t>
  </si>
  <si>
    <t>O00824</t>
  </si>
  <si>
    <t>O00825</t>
  </si>
  <si>
    <t>O00826</t>
  </si>
  <si>
    <t>O00827</t>
  </si>
  <si>
    <t>O00828</t>
  </si>
  <si>
    <t>10/02/2026</t>
  </si>
  <si>
    <t>O00829</t>
  </si>
  <si>
    <t>O00830</t>
  </si>
  <si>
    <t>O00831</t>
  </si>
  <si>
    <t>O00832</t>
  </si>
  <si>
    <t>O00833</t>
  </si>
  <si>
    <t>O00834</t>
  </si>
  <si>
    <t>O00835</t>
  </si>
  <si>
    <t>O00836</t>
  </si>
  <si>
    <t>O00837</t>
  </si>
  <si>
    <t>O00838</t>
  </si>
  <si>
    <t>2026-09-17</t>
  </si>
  <si>
    <t>O00839</t>
  </si>
  <si>
    <t>2026-05-11</t>
  </si>
  <si>
    <t>O00840</t>
  </si>
  <si>
    <t>2026-10-25</t>
  </si>
  <si>
    <t>O00841</t>
  </si>
  <si>
    <t>O00842</t>
  </si>
  <si>
    <t>O00843</t>
  </si>
  <si>
    <t>O00844</t>
  </si>
  <si>
    <t>O00845</t>
  </si>
  <si>
    <t>O00846</t>
  </si>
  <si>
    <t>O00847</t>
  </si>
  <si>
    <t>O00848</t>
  </si>
  <si>
    <t>O00849</t>
  </si>
  <si>
    <t>O00850</t>
  </si>
  <si>
    <t>2026-02-09</t>
  </si>
  <si>
    <t>O00851</t>
  </si>
  <si>
    <t>O00852</t>
  </si>
  <si>
    <t>O00853</t>
  </si>
  <si>
    <t>O00854</t>
  </si>
  <si>
    <t>2026-02-21</t>
  </si>
  <si>
    <t>O00855</t>
  </si>
  <si>
    <t>O00856</t>
  </si>
  <si>
    <t>O00857</t>
  </si>
  <si>
    <t>2026-10-07</t>
  </si>
  <si>
    <t>O00858</t>
  </si>
  <si>
    <t>O00859</t>
  </si>
  <si>
    <t>2026-09-12</t>
  </si>
  <si>
    <t>O00860</t>
  </si>
  <si>
    <t>O00861</t>
  </si>
  <si>
    <t>O00862</t>
  </si>
  <si>
    <t>O00863</t>
  </si>
  <si>
    <t>O00864</t>
  </si>
  <si>
    <t>2026-04-23</t>
  </si>
  <si>
    <t>O00865</t>
  </si>
  <si>
    <t>O00866</t>
  </si>
  <si>
    <t>O00867</t>
  </si>
  <si>
    <t>O00868</t>
  </si>
  <si>
    <t>O00869</t>
  </si>
  <si>
    <t>O00870</t>
  </si>
  <si>
    <t>O00871</t>
  </si>
  <si>
    <t>2026-01-18</t>
  </si>
  <si>
    <t>O00872</t>
  </si>
  <si>
    <t>O00873</t>
  </si>
  <si>
    <t>24/08/2026</t>
  </si>
  <si>
    <t>O00874</t>
  </si>
  <si>
    <t>O00875</t>
  </si>
  <si>
    <t>O00876</t>
  </si>
  <si>
    <t>O00877</t>
  </si>
  <si>
    <t>O00878</t>
  </si>
  <si>
    <t>O00879</t>
  </si>
  <si>
    <t>O00880</t>
  </si>
  <si>
    <t>O00881</t>
  </si>
  <si>
    <t>O00882</t>
  </si>
  <si>
    <t>O00883</t>
  </si>
  <si>
    <t>O00884</t>
  </si>
  <si>
    <t>O00885</t>
  </si>
  <si>
    <t>2026-04-11</t>
  </si>
  <si>
    <t>O00886</t>
  </si>
  <si>
    <t>O00887</t>
  </si>
  <si>
    <t>O00888</t>
  </si>
  <si>
    <t>O00889</t>
  </si>
  <si>
    <t>O00890</t>
  </si>
  <si>
    <t>O00891</t>
  </si>
  <si>
    <t>O00892</t>
  </si>
  <si>
    <t>03/04/2026</t>
  </si>
  <si>
    <t>O00893</t>
  </si>
  <si>
    <t>O00894</t>
  </si>
  <si>
    <t>O00895</t>
  </si>
  <si>
    <t>O00896</t>
  </si>
  <si>
    <t>O00897</t>
  </si>
  <si>
    <t>O00898</t>
  </si>
  <si>
    <t>O00899</t>
  </si>
  <si>
    <t>O00900</t>
  </si>
  <si>
    <t>O00901</t>
  </si>
  <si>
    <t>O00902</t>
  </si>
  <si>
    <t>O00903</t>
  </si>
  <si>
    <t>O00904</t>
  </si>
  <si>
    <t>2026-01-29</t>
  </si>
  <si>
    <t>O00905</t>
  </si>
  <si>
    <t>2026-10-31</t>
  </si>
  <si>
    <t>O00906</t>
  </si>
  <si>
    <t>O00907</t>
  </si>
  <si>
    <t>O00908</t>
  </si>
  <si>
    <t>O00909</t>
  </si>
  <si>
    <t>O00910</t>
  </si>
  <si>
    <t>04/01/2026</t>
  </si>
  <si>
    <t>O00911</t>
  </si>
  <si>
    <t>O00912</t>
  </si>
  <si>
    <t>O00913</t>
  </si>
  <si>
    <t>O00914</t>
  </si>
  <si>
    <t>O00915</t>
  </si>
  <si>
    <t>2026-04-17</t>
  </si>
  <si>
    <t>O00916</t>
  </si>
  <si>
    <t>O00917</t>
  </si>
  <si>
    <t>O00918</t>
  </si>
  <si>
    <t>O00919</t>
  </si>
  <si>
    <t>2026-09-27</t>
  </si>
  <si>
    <t>O00920</t>
  </si>
  <si>
    <t>O00921</t>
  </si>
  <si>
    <t>O00922</t>
  </si>
  <si>
    <t>O00923</t>
  </si>
  <si>
    <t>O00924</t>
  </si>
  <si>
    <t>O00925</t>
  </si>
  <si>
    <t>O00926</t>
  </si>
  <si>
    <t>O00927</t>
  </si>
  <si>
    <t>O00928</t>
  </si>
  <si>
    <t>O00929</t>
  </si>
  <si>
    <t>2026-08-31</t>
  </si>
  <si>
    <t>O00930</t>
  </si>
  <si>
    <t>O00931</t>
  </si>
  <si>
    <t>O00932</t>
  </si>
  <si>
    <t>O00933</t>
  </si>
  <si>
    <t>O00934</t>
  </si>
  <si>
    <t>O00935</t>
  </si>
  <si>
    <t>O00936</t>
  </si>
  <si>
    <t>2026-10-03</t>
  </si>
  <si>
    <t>O00937</t>
  </si>
  <si>
    <t>O00938</t>
  </si>
  <si>
    <t>O00939</t>
  </si>
  <si>
    <t>2026-04-03</t>
  </si>
  <si>
    <t>O00940</t>
  </si>
  <si>
    <t>O00941</t>
  </si>
  <si>
    <t>O00942</t>
  </si>
  <si>
    <t>O00943</t>
  </si>
  <si>
    <t>2026-10-26</t>
  </si>
  <si>
    <t>O00944</t>
  </si>
  <si>
    <t>O00945</t>
  </si>
  <si>
    <t>O00946</t>
  </si>
  <si>
    <t>O00947</t>
  </si>
  <si>
    <t>O00948</t>
  </si>
  <si>
    <t>O00949</t>
  </si>
  <si>
    <t>O00950</t>
  </si>
  <si>
    <t>O00951</t>
  </si>
  <si>
    <t>O00952</t>
  </si>
  <si>
    <t>O00953</t>
  </si>
  <si>
    <t>O00954</t>
  </si>
  <si>
    <t>O00955</t>
  </si>
  <si>
    <t>O00956</t>
  </si>
  <si>
    <t>2026-05-20</t>
  </si>
  <si>
    <t>O00957</t>
  </si>
  <si>
    <t>O00958</t>
  </si>
  <si>
    <t>O00959</t>
  </si>
  <si>
    <t>O00960</t>
  </si>
  <si>
    <t>O00961</t>
  </si>
  <si>
    <t>O00962</t>
  </si>
  <si>
    <t>2026-09-03</t>
  </si>
  <si>
    <t>O00963</t>
  </si>
  <si>
    <t>O00964</t>
  </si>
  <si>
    <t>O00965</t>
  </si>
  <si>
    <t>O00966</t>
  </si>
  <si>
    <t>O00967</t>
  </si>
  <si>
    <t>O00968</t>
  </si>
  <si>
    <t>O00969</t>
  </si>
  <si>
    <t>2026-02-04</t>
  </si>
  <si>
    <t>O00970</t>
  </si>
  <si>
    <t>O00971</t>
  </si>
  <si>
    <t>O00972</t>
  </si>
  <si>
    <t>O00973</t>
  </si>
  <si>
    <t>O00974</t>
  </si>
  <si>
    <t>2026-03-28</t>
  </si>
  <si>
    <t>O00975</t>
  </si>
  <si>
    <t>2026-11-12</t>
  </si>
  <si>
    <t>O00976</t>
  </si>
  <si>
    <t>O00977</t>
  </si>
  <si>
    <t>O00978</t>
  </si>
  <si>
    <t>O00979</t>
  </si>
  <si>
    <t>2026-11-15</t>
  </si>
  <si>
    <t>O00980</t>
  </si>
  <si>
    <t>O00981</t>
  </si>
  <si>
    <t>O00982</t>
  </si>
  <si>
    <t>O00983</t>
  </si>
  <si>
    <t>2026-01-22</t>
  </si>
  <si>
    <t>O00984</t>
  </si>
  <si>
    <t>2026-05-02</t>
  </si>
  <si>
    <t>O00985</t>
  </si>
  <si>
    <t>2026-08-30</t>
  </si>
  <si>
    <t>O00986</t>
  </si>
  <si>
    <t>2026-11-17</t>
  </si>
  <si>
    <t>O00987</t>
  </si>
  <si>
    <t>O00988</t>
  </si>
  <si>
    <t>O00989</t>
  </si>
  <si>
    <t>O00990</t>
  </si>
  <si>
    <t>O00991</t>
  </si>
  <si>
    <t>O00992</t>
  </si>
  <si>
    <t>2026-11-02</t>
  </si>
  <si>
    <t>O00993</t>
  </si>
  <si>
    <t>O00994</t>
  </si>
  <si>
    <t>O00995</t>
  </si>
  <si>
    <t>O00996</t>
  </si>
  <si>
    <t>O00997</t>
  </si>
  <si>
    <t>O00998</t>
  </si>
  <si>
    <t>O00999</t>
  </si>
  <si>
    <t>2026-05-04</t>
  </si>
  <si>
    <t>O01000</t>
  </si>
  <si>
    <t>O01001</t>
  </si>
  <si>
    <t>O01002</t>
  </si>
  <si>
    <t>O01003</t>
  </si>
  <si>
    <t>O01004</t>
  </si>
  <si>
    <t>O01005</t>
  </si>
  <si>
    <t>2026-04-13</t>
  </si>
  <si>
    <t>O01006</t>
  </si>
  <si>
    <t>O01007</t>
  </si>
  <si>
    <t>O01008</t>
  </si>
  <si>
    <t>O01009</t>
  </si>
  <si>
    <t>O01010</t>
  </si>
  <si>
    <t>O01011</t>
  </si>
  <si>
    <t>O01012</t>
  </si>
  <si>
    <t>O01013</t>
  </si>
  <si>
    <t>O01014</t>
  </si>
  <si>
    <t>O01015</t>
  </si>
  <si>
    <t>O01016</t>
  </si>
  <si>
    <t>O01017</t>
  </si>
  <si>
    <t>O01018</t>
  </si>
  <si>
    <t>O01019</t>
  </si>
  <si>
    <t>12/08/2026</t>
  </si>
  <si>
    <t>O01020</t>
  </si>
  <si>
    <t>2026-01-24</t>
  </si>
  <si>
    <t>O01021</t>
  </si>
  <si>
    <t>O01022</t>
  </si>
  <si>
    <t>O01023</t>
  </si>
  <si>
    <t>O01024</t>
  </si>
  <si>
    <t>O01025</t>
  </si>
  <si>
    <t>O01026</t>
  </si>
  <si>
    <t>O01027</t>
  </si>
  <si>
    <t>O01028</t>
  </si>
  <si>
    <t>O01029</t>
  </si>
  <si>
    <t>O01030</t>
  </si>
  <si>
    <t>O01031</t>
  </si>
  <si>
    <t>O01032</t>
  </si>
  <si>
    <t>O01033</t>
  </si>
  <si>
    <t>O01034</t>
  </si>
  <si>
    <t>O01035</t>
  </si>
  <si>
    <t>2026-10-10</t>
  </si>
  <si>
    <t>O01036</t>
  </si>
  <si>
    <t>O01037</t>
  </si>
  <si>
    <t>O01038</t>
  </si>
  <si>
    <t>O01039</t>
  </si>
  <si>
    <t>O01040</t>
  </si>
  <si>
    <t>O01041</t>
  </si>
  <si>
    <t>O01042</t>
  </si>
  <si>
    <t>O01043</t>
  </si>
  <si>
    <t>O01044</t>
  </si>
  <si>
    <t>O01045</t>
  </si>
  <si>
    <t>2026-01-19</t>
  </si>
  <si>
    <t>O01046</t>
  </si>
  <si>
    <t>O01047</t>
  </si>
  <si>
    <t>O01048</t>
  </si>
  <si>
    <t>O01049</t>
  </si>
  <si>
    <t>O01050</t>
  </si>
  <si>
    <t>O01051</t>
  </si>
  <si>
    <t>2026-01-10</t>
  </si>
  <si>
    <t>O01052</t>
  </si>
  <si>
    <t>O01053</t>
  </si>
  <si>
    <t>O01054</t>
  </si>
  <si>
    <t>O01055</t>
  </si>
  <si>
    <t>O01056</t>
  </si>
  <si>
    <t>2026-09-11</t>
  </si>
  <si>
    <t>O01057</t>
  </si>
  <si>
    <t>O01058</t>
  </si>
  <si>
    <t>O01059</t>
  </si>
  <si>
    <t>O01060</t>
  </si>
  <si>
    <t>O01061</t>
  </si>
  <si>
    <t>O01062</t>
  </si>
  <si>
    <t>O01063</t>
  </si>
  <si>
    <t>O01064</t>
  </si>
  <si>
    <t>O01065</t>
  </si>
  <si>
    <t>O01066</t>
  </si>
  <si>
    <t>O01067</t>
  </si>
  <si>
    <t>O01068</t>
  </si>
  <si>
    <t>O01069</t>
  </si>
  <si>
    <t>O01070</t>
  </si>
  <si>
    <t>O01071</t>
  </si>
  <si>
    <t>O01072</t>
  </si>
  <si>
    <t>O01073</t>
  </si>
  <si>
    <t>O01074</t>
  </si>
  <si>
    <t>O01075</t>
  </si>
  <si>
    <t>O01076</t>
  </si>
  <si>
    <t>O01077</t>
  </si>
  <si>
    <t>O01078</t>
  </si>
  <si>
    <t>O01079</t>
  </si>
  <si>
    <t>O01080</t>
  </si>
  <si>
    <t>O01081</t>
  </si>
  <si>
    <t>O01082</t>
  </si>
  <si>
    <t>O01083</t>
  </si>
  <si>
    <t>O01084</t>
  </si>
  <si>
    <t>O01085</t>
  </si>
  <si>
    <t>O01086</t>
  </si>
  <si>
    <t>O01087</t>
  </si>
  <si>
    <t>O01088</t>
  </si>
  <si>
    <t>O01089</t>
  </si>
  <si>
    <t>O01090</t>
  </si>
  <si>
    <t>O01091</t>
  </si>
  <si>
    <t>O01092</t>
  </si>
  <si>
    <t>O01093</t>
  </si>
  <si>
    <t>O01094</t>
  </si>
  <si>
    <t>O01095</t>
  </si>
  <si>
    <t>01/09/2026</t>
  </si>
  <si>
    <t>O01096</t>
  </si>
  <si>
    <t>O01097</t>
  </si>
  <si>
    <t>O01098</t>
  </si>
  <si>
    <t>O01099</t>
  </si>
  <si>
    <t>O01100</t>
  </si>
  <si>
    <t>O01101</t>
  </si>
  <si>
    <t>O01102</t>
  </si>
  <si>
    <t>O01103</t>
  </si>
  <si>
    <t>O01104</t>
  </si>
  <si>
    <t>O01105</t>
  </si>
  <si>
    <t>O01106</t>
  </si>
  <si>
    <t>O01107</t>
  </si>
  <si>
    <t>O01108</t>
  </si>
  <si>
    <t>O01109</t>
  </si>
  <si>
    <t>O01110</t>
  </si>
  <si>
    <t>O01111</t>
  </si>
  <si>
    <t>O01112</t>
  </si>
  <si>
    <t>O01113</t>
  </si>
  <si>
    <t>O01114</t>
  </si>
  <si>
    <t>O01115</t>
  </si>
  <si>
    <t>2026-04-18</t>
  </si>
  <si>
    <t>O01116</t>
  </si>
  <si>
    <t>O01117</t>
  </si>
  <si>
    <t>O01118</t>
  </si>
  <si>
    <t>2026-05-26</t>
  </si>
  <si>
    <t>O01119</t>
  </si>
  <si>
    <t>O01120</t>
  </si>
  <si>
    <t>O01121</t>
  </si>
  <si>
    <t>O01122</t>
  </si>
  <si>
    <t>O01123</t>
  </si>
  <si>
    <t>O01124</t>
  </si>
  <si>
    <t>O01125</t>
  </si>
  <si>
    <t>2026-09-02</t>
  </si>
  <si>
    <t>O01126</t>
  </si>
  <si>
    <t>O01127</t>
  </si>
  <si>
    <t>2026-08-19</t>
  </si>
  <si>
    <t>O01128</t>
  </si>
  <si>
    <t>O01129</t>
  </si>
  <si>
    <t>O01130</t>
  </si>
  <si>
    <t>O01131</t>
  </si>
  <si>
    <t>O01132</t>
  </si>
  <si>
    <t>O01133</t>
  </si>
  <si>
    <t>O01134</t>
  </si>
  <si>
    <t>O01135</t>
  </si>
  <si>
    <t>O01136</t>
  </si>
  <si>
    <t>O01137</t>
  </si>
  <si>
    <t>O01138</t>
  </si>
  <si>
    <t>O01139</t>
  </si>
  <si>
    <t>08/03/2026</t>
  </si>
  <si>
    <t>O01140</t>
  </si>
  <si>
    <t>O01141</t>
  </si>
  <si>
    <t>O01142</t>
  </si>
  <si>
    <t>O01143</t>
  </si>
  <si>
    <t>O01144</t>
  </si>
  <si>
    <t>O01145</t>
  </si>
  <si>
    <t>2026-03-21</t>
  </si>
  <si>
    <t>O01146</t>
  </si>
  <si>
    <t>O01147</t>
  </si>
  <si>
    <t>O01148</t>
  </si>
  <si>
    <t>O01149</t>
  </si>
  <si>
    <t>O01150</t>
  </si>
  <si>
    <t>O01151</t>
  </si>
  <si>
    <t>O01152</t>
  </si>
  <si>
    <t>O01153</t>
  </si>
  <si>
    <t>O01154</t>
  </si>
  <si>
    <t>O01155</t>
  </si>
  <si>
    <t>O01156</t>
  </si>
  <si>
    <t>O01157</t>
  </si>
  <si>
    <t>O01158</t>
  </si>
  <si>
    <t>O01159</t>
  </si>
  <si>
    <t>O01160</t>
  </si>
  <si>
    <t>O01161</t>
  </si>
  <si>
    <t>O01162</t>
  </si>
  <si>
    <t>2026-05-24</t>
  </si>
  <si>
    <t>O01163</t>
  </si>
  <si>
    <t>O01164</t>
  </si>
  <si>
    <t>O01165</t>
  </si>
  <si>
    <t>O01166</t>
  </si>
  <si>
    <t>O01167</t>
  </si>
  <si>
    <t>O01168</t>
  </si>
  <si>
    <t>2026-08-18</t>
  </si>
  <si>
    <t>O01169</t>
  </si>
  <si>
    <t>O01170</t>
  </si>
  <si>
    <t>O01171</t>
  </si>
  <si>
    <t>03/06/2026</t>
  </si>
  <si>
    <t>O01172</t>
  </si>
  <si>
    <t>O01173</t>
  </si>
  <si>
    <t>2026-10-16</t>
  </si>
  <si>
    <t>O01174</t>
  </si>
  <si>
    <t>02/06/2026</t>
  </si>
  <si>
    <t>O01175</t>
  </si>
  <si>
    <t>O01176</t>
  </si>
  <si>
    <t>O01177</t>
  </si>
  <si>
    <t>O01178</t>
  </si>
  <si>
    <t>O01179</t>
  </si>
  <si>
    <t>O01180</t>
  </si>
  <si>
    <t>O01181</t>
  </si>
  <si>
    <t>2026-04-14</t>
  </si>
  <si>
    <t>O01182</t>
  </si>
  <si>
    <t>O01183</t>
  </si>
  <si>
    <t>O01184</t>
  </si>
  <si>
    <t>O01185</t>
  </si>
  <si>
    <t>O01186</t>
  </si>
  <si>
    <t>O01187</t>
  </si>
  <si>
    <t>O01188</t>
  </si>
  <si>
    <t>O01189</t>
  </si>
  <si>
    <t>O01190</t>
  </si>
  <si>
    <t>O01191</t>
  </si>
  <si>
    <t>2026-03-06</t>
  </si>
  <si>
    <t>O01192</t>
  </si>
  <si>
    <t>O01193</t>
  </si>
  <si>
    <t>O01194</t>
  </si>
  <si>
    <t>O01195</t>
  </si>
  <si>
    <t>O01196</t>
  </si>
  <si>
    <t>O01197</t>
  </si>
  <si>
    <t>2026-09-10</t>
  </si>
  <si>
    <t>O01198</t>
  </si>
  <si>
    <t>O01199</t>
  </si>
  <si>
    <t>O01200</t>
  </si>
  <si>
    <t>O01201</t>
  </si>
  <si>
    <t>2026-08-17</t>
  </si>
  <si>
    <t>O01202</t>
  </si>
  <si>
    <t>O01203</t>
  </si>
  <si>
    <t>O01204</t>
  </si>
  <si>
    <t>O01205</t>
  </si>
  <si>
    <t>2026-08-21</t>
  </si>
  <si>
    <t>O01206</t>
  </si>
  <si>
    <t>O01207</t>
  </si>
  <si>
    <t>01/08/2026</t>
  </si>
  <si>
    <t>O01208</t>
  </si>
  <si>
    <t>2026-04-22</t>
  </si>
  <si>
    <t>O01209</t>
  </si>
  <si>
    <t>O01210</t>
  </si>
  <si>
    <t>O01211</t>
  </si>
  <si>
    <t>O01212</t>
  </si>
  <si>
    <t>O01213</t>
  </si>
  <si>
    <t>O01214</t>
  </si>
  <si>
    <t>O01215</t>
  </si>
  <si>
    <t>O01216</t>
  </si>
  <si>
    <t>O01217</t>
  </si>
  <si>
    <t>2026-11-01</t>
  </si>
  <si>
    <t>O01218</t>
  </si>
  <si>
    <t>O01219</t>
  </si>
  <si>
    <t>O01220</t>
  </si>
  <si>
    <t>O01221</t>
  </si>
  <si>
    <t>O01222</t>
  </si>
  <si>
    <t>O01223</t>
  </si>
  <si>
    <t>O01224</t>
  </si>
  <si>
    <t>O01225</t>
  </si>
  <si>
    <t>O01226</t>
  </si>
  <si>
    <t>O01227</t>
  </si>
  <si>
    <t>O01228</t>
  </si>
  <si>
    <t>08/04/2026</t>
  </si>
  <si>
    <t>O01229</t>
  </si>
  <si>
    <t>O01230</t>
  </si>
  <si>
    <t>O01231</t>
  </si>
  <si>
    <t>O01232</t>
  </si>
  <si>
    <t>O01233</t>
  </si>
  <si>
    <t>O01234</t>
  </si>
  <si>
    <t>2026-11-22</t>
  </si>
  <si>
    <t>O01235</t>
  </si>
  <si>
    <t>O01236</t>
  </si>
  <si>
    <t>O01237</t>
  </si>
  <si>
    <t>O01238</t>
  </si>
  <si>
    <t>O01239</t>
  </si>
  <si>
    <t>O01240</t>
  </si>
  <si>
    <t>O01241</t>
  </si>
  <si>
    <t>O01242</t>
  </si>
  <si>
    <t>O01243</t>
  </si>
  <si>
    <t>O01244</t>
  </si>
  <si>
    <t>O01245</t>
  </si>
  <si>
    <t>O01246</t>
  </si>
  <si>
    <t>O01247</t>
  </si>
  <si>
    <t>O01248</t>
  </si>
  <si>
    <t>O01249</t>
  </si>
  <si>
    <t>O01250</t>
  </si>
  <si>
    <t>O01251</t>
  </si>
  <si>
    <t>O01252</t>
  </si>
  <si>
    <t>O01253</t>
  </si>
  <si>
    <t>O01254</t>
  </si>
  <si>
    <t>O01255</t>
  </si>
  <si>
    <t>O01256</t>
  </si>
  <si>
    <t>2026-10-04</t>
  </si>
  <si>
    <t>O01257</t>
  </si>
  <si>
    <t>O01258</t>
  </si>
  <si>
    <t>O01259</t>
  </si>
  <si>
    <t>02/12/2026</t>
  </si>
  <si>
    <t>O01260</t>
  </si>
  <si>
    <t>O01261</t>
  </si>
  <si>
    <t>O01262</t>
  </si>
  <si>
    <t>O01263</t>
  </si>
  <si>
    <t>O01264</t>
  </si>
  <si>
    <t>O01265</t>
  </si>
  <si>
    <t>O01266</t>
  </si>
  <si>
    <t>2026-10-22</t>
  </si>
  <si>
    <t>O01267</t>
  </si>
  <si>
    <t>O01268</t>
  </si>
  <si>
    <t>O01269</t>
  </si>
  <si>
    <t>O01270</t>
  </si>
  <si>
    <t>O01271</t>
  </si>
  <si>
    <t>O01272</t>
  </si>
  <si>
    <t>O01273</t>
  </si>
  <si>
    <t>O01274</t>
  </si>
  <si>
    <t>O01275</t>
  </si>
  <si>
    <t>O01276</t>
  </si>
  <si>
    <t>O01277</t>
  </si>
  <si>
    <t>O01278</t>
  </si>
  <si>
    <t>O01279</t>
  </si>
  <si>
    <t>O01280</t>
  </si>
  <si>
    <t>O01281</t>
  </si>
  <si>
    <t>2026-09-30</t>
  </si>
  <si>
    <t>O01282</t>
  </si>
  <si>
    <t>O01283</t>
  </si>
  <si>
    <t>O01284</t>
  </si>
  <si>
    <t>O01285</t>
  </si>
  <si>
    <t>O01286</t>
  </si>
  <si>
    <t>O01287</t>
  </si>
  <si>
    <t>O01288</t>
  </si>
  <si>
    <t>O01289</t>
  </si>
  <si>
    <t>02/09/2026</t>
  </si>
  <si>
    <t>O01290</t>
  </si>
  <si>
    <t>O01291</t>
  </si>
  <si>
    <t>O01292</t>
  </si>
  <si>
    <t>2026-02-23</t>
  </si>
  <si>
    <t>O01293</t>
  </si>
  <si>
    <t>O01294</t>
  </si>
  <si>
    <t>O01295</t>
  </si>
  <si>
    <t>11/01/2026</t>
  </si>
  <si>
    <t>O01296</t>
  </si>
  <si>
    <t>O01297</t>
  </si>
  <si>
    <t>O01298</t>
  </si>
  <si>
    <t>O01299</t>
  </si>
  <si>
    <t>O01300</t>
  </si>
  <si>
    <t>O01301</t>
  </si>
  <si>
    <t>O01302</t>
  </si>
  <si>
    <t>O01303</t>
  </si>
  <si>
    <t>O01304</t>
  </si>
  <si>
    <t>O01305</t>
  </si>
  <si>
    <t>O01306</t>
  </si>
  <si>
    <t>O01307</t>
  </si>
  <si>
    <t>O01308</t>
  </si>
  <si>
    <t>O01309</t>
  </si>
  <si>
    <t>O01310</t>
  </si>
  <si>
    <t>O01311</t>
  </si>
  <si>
    <t>O01312</t>
  </si>
  <si>
    <t>O01313</t>
  </si>
  <si>
    <t>Aggregate Function</t>
  </si>
  <si>
    <t>SUM</t>
  </si>
  <si>
    <t>Column1</t>
  </si>
  <si>
    <t>MIN</t>
  </si>
  <si>
    <t>MAX</t>
  </si>
  <si>
    <t>AVERAGE</t>
  </si>
  <si>
    <t>Total Count</t>
  </si>
  <si>
    <t>30 COUNTIF</t>
  </si>
  <si>
    <t xml:space="preserve">SUMIF </t>
  </si>
  <si>
    <t>COUNTIF</t>
  </si>
  <si>
    <t>Index Match</t>
  </si>
  <si>
    <t>Vlookup</t>
  </si>
  <si>
    <t>Grand Total</t>
  </si>
  <si>
    <t>Sum of quantity</t>
  </si>
  <si>
    <t>Months</t>
  </si>
  <si>
    <t>Payment_method</t>
  </si>
  <si>
    <t>Sum of total_price</t>
  </si>
  <si>
    <t>Count of order_id</t>
  </si>
  <si>
    <t xml:space="preserve">Total Customer </t>
  </si>
  <si>
    <t>Total Price</t>
  </si>
  <si>
    <t>Total  Quantity</t>
  </si>
  <si>
    <t>Jan</t>
  </si>
  <si>
    <t>Feb</t>
  </si>
  <si>
    <t>Mar</t>
  </si>
  <si>
    <t>Apr</t>
  </si>
  <si>
    <t>May</t>
  </si>
  <si>
    <t>Jun</t>
  </si>
  <si>
    <t>Jul</t>
  </si>
  <si>
    <t>Aug</t>
  </si>
  <si>
    <t>Sep</t>
  </si>
  <si>
    <t>Oct</t>
  </si>
  <si>
    <t>Nov</t>
  </si>
  <si>
    <t>Dec</t>
  </si>
  <si>
    <t>Month</t>
  </si>
  <si>
    <t>Product_name</t>
  </si>
  <si>
    <t>Status</t>
  </si>
  <si>
    <t xml:space="preserve">Details for Total Customer </t>
  </si>
  <si>
    <t>Total Cost Price</t>
  </si>
  <si>
    <t>Total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</si>
</sst>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3" borderId="0" xfId="0" applyFill="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center"/>
    </xf>
    <xf numFmtId="14" fontId="0" fillId="0" borderId="0" xfId="0" applyNumberFormat="1"/>
    <xf numFmtId="0" fontId="1" fillId="0" borderId="0" xfId="0" applyFont="1"/>
    <xf numFmtId="0" fontId="1" fillId="0" borderId="0" xfId="0" applyFont="1" applyAlignment="1">
      <alignment horizontal="center"/>
    </xf>
    <xf numFmtId="0" fontId="3" fillId="0" borderId="0" xfId="0" applyFont="1" applyAlignment="1">
      <alignment horizontal="center"/>
    </xf>
    <xf numFmtId="0" fontId="4" fillId="4" borderId="0" xfId="0" applyFont="1" applyFill="1" applyAlignment="1">
      <alignment horizontal="center"/>
    </xf>
    <xf numFmtId="0" fontId="3" fillId="4" borderId="0" xfId="0" applyFont="1" applyFill="1" applyAlignment="1">
      <alignment horizontal="center"/>
    </xf>
  </cellXfs>
  <cellStyles count="1">
    <cellStyle name="Normal" xfId="0" builtinId="0"/>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ont>
        <sz val="12"/>
      </font>
    </dxf>
    <dxf>
      <font>
        <sz val="12"/>
      </font>
    </dxf>
    <dxf>
      <font>
        <b/>
      </font>
    </dxf>
    <dxf>
      <font>
        <sz val="12"/>
      </font>
    </dxf>
    <dxf>
      <font>
        <sz val="12"/>
      </font>
    </dxf>
    <dxf>
      <font>
        <b/>
      </font>
    </dxf>
    <dxf>
      <font>
        <sz val="12"/>
      </font>
    </dxf>
    <dxf>
      <font>
        <sz val="12"/>
      </font>
    </dxf>
    <dxf>
      <font>
        <b/>
      </font>
    </dxf>
    <dxf>
      <fill>
        <patternFill patternType="solid">
          <bgColor theme="0"/>
        </patternFill>
      </fill>
    </dxf>
    <dxf>
      <fill>
        <patternFill patternType="solid">
          <bgColor theme="0"/>
        </patternFill>
      </fill>
    </dxf>
    <dxf>
      <fill>
        <patternFill patternType="solid">
          <bgColor theme="0"/>
        </patternFill>
      </fill>
    </dxf>
    <dxf>
      <alignment horizontal="center"/>
    </dxf>
    <dxf>
      <alignment horizontal="center"/>
    </dxf>
    <dxf>
      <alignment horizontal="center"/>
    </dxf>
    <dxf>
      <alignment horizontal="center"/>
    </dxf>
    <dxf>
      <alignment horizontal="center"/>
    </dxf>
    <dxf>
      <alignment horizontal="center"/>
    </dxf>
    <dxf>
      <fill>
        <patternFill patternType="solid">
          <bgColor theme="0"/>
        </patternFill>
      </fill>
    </dxf>
    <dxf>
      <alignment horizontal="center"/>
    </dxf>
    <dxf>
      <font>
        <b/>
      </font>
    </dxf>
    <dxf>
      <font>
        <b/>
      </font>
    </dxf>
    <dxf>
      <alignment horizontal="center"/>
    </dxf>
    <dxf>
      <font>
        <b/>
      </font>
    </dxf>
    <dxf>
      <font>
        <sz val="12"/>
      </font>
    </dxf>
    <dxf>
      <alignment horizontal="center"/>
    </dxf>
    <dxf>
      <font>
        <sz val="12"/>
      </font>
    </dxf>
    <dxf>
      <font>
        <b/>
      </font>
    </dxf>
    <dxf>
      <fill>
        <patternFill patternType="solid">
          <bgColor theme="0"/>
        </patternFill>
      </fil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73246364905662"/>
          <c:y val="0.28921359001934638"/>
          <c:w val="0.82505839423841221"/>
          <c:h val="0.59338380905585086"/>
        </c:manualLayout>
      </c:layout>
      <c:barChart>
        <c:barDir val="col"/>
        <c:grouping val="clustered"/>
        <c:varyColors val="0"/>
        <c:ser>
          <c:idx val="0"/>
          <c:order val="0"/>
          <c:tx>
            <c:strRef>
              <c:f>Sheet5!$B$7</c:f>
              <c:strCache>
                <c:ptCount val="1"/>
                <c:pt idx="0">
                  <c:v>Total</c:v>
                </c:pt>
              </c:strCache>
            </c:strRef>
          </c:tx>
          <c:spPr>
            <a:solidFill>
              <a:schemeClr val="accent6"/>
            </a:solidFill>
            <a:ln>
              <a:noFill/>
            </a:ln>
            <a:effectLst/>
          </c:spPr>
          <c:invertIfNegative val="0"/>
          <c:cat>
            <c:strRef>
              <c:f>Sheet5!$A$8:$A$20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Sheet5!$B$8:$B$20</c:f>
              <c:numCache>
                <c:formatCode>General</c:formatCode>
                <c:ptCount val="12"/>
                <c:pt idx="0">
                  <c:v>3417.709999999995</c:v>
                </c:pt>
                <c:pt idx="1">
                  <c:v>3634.3999999999942</c:v>
                </c:pt>
                <c:pt idx="2">
                  <c:v>3320.5499999999934</c:v>
                </c:pt>
                <c:pt idx="3">
                  <c:v>3613.0899999999929</c:v>
                </c:pt>
                <c:pt idx="4">
                  <c:v>3463.5499999999934</c:v>
                </c:pt>
                <c:pt idx="5">
                  <c:v>5099.1099999999888</c:v>
                </c:pt>
                <c:pt idx="6">
                  <c:v>4875.4799999999923</c:v>
                </c:pt>
                <c:pt idx="7">
                  <c:v>3944.8899999999931</c:v>
                </c:pt>
                <c:pt idx="8">
                  <c:v>3603.6099999999938</c:v>
                </c:pt>
                <c:pt idx="9">
                  <c:v>3801.3199999999933</c:v>
                </c:pt>
                <c:pt idx="10">
                  <c:v>3595.4799999999946</c:v>
                </c:pt>
                <c:pt idx="11">
                  <c:v>3640.4899999999961</c:v>
                </c:pt>
              </c:numCache>
            </c:numRef>
          </c:val>
          <c:extLst>
            <c:ext xmlns:c16="http://schemas.microsoft.com/office/drawing/2014/chart" uri="{C3380CC4-5D6E-409C-BE32-E72D297353CC}">
              <c16:uniqueId val="{00000000-C12D-4B70-A4B0-50AABB6E709C}"/>
            </c:ext>
          </c:extLst>
        </c:ser>
        <c:dLbls>
          <c:showLegendKey val="0"/>
          <c:showVal val="0"/>
          <c:showCatName val="0"/>
          <c:showSerName val="0"/>
          <c:showPercent val="0"/>
          <c:showBubbleSize val="0"/>
        </c:dLbls>
        <c:gapWidth val="219"/>
        <c:overlap val="-27"/>
        <c:axId val="310546944"/>
        <c:axId val="692474768"/>
      </c:barChart>
      <c:catAx>
        <c:axId val="3105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74768"/>
        <c:crosses val="autoZero"/>
        <c:auto val="1"/>
        <c:lblAlgn val="ctr"/>
        <c:lblOffset val="100"/>
        <c:noMultiLvlLbl val="0"/>
      </c:catAx>
      <c:valAx>
        <c:axId val="69247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[Book1.xlsx]Sheet5!PivotTable9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by Total order-Id and Quantity</a:t>
            </a:r>
            <a:endParaRPr lang="en-US"/>
          </a:p>
        </c:rich>
      </c:tx>
      <c:layout>
        <c:manualLayout>
          <c:xMode val="edge"/>
          <c:yMode val="edge"/>
          <c:x val="0.17168709398322368"/>
          <c:y val="4.41356914952253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217575782301821E-2"/>
          <c:y val="0.25231353453338728"/>
          <c:w val="0.88205703567592919"/>
          <c:h val="0.40863324620895636"/>
        </c:manualLayout>
      </c:layout>
      <c:bar3DChart>
        <c:barDir val="col"/>
        <c:grouping val="clustered"/>
        <c:varyColors val="0"/>
        <c:ser>
          <c:idx val="0"/>
          <c:order val="0"/>
          <c:tx>
            <c:strRef>
              <c:f>Sheet5!$B$25</c:f>
              <c:strCache>
                <c:ptCount val="1"/>
                <c:pt idx="0">
                  <c:v>Count of order_id</c:v>
                </c:pt>
              </c:strCache>
            </c:strRef>
          </c:tx>
          <c:spPr>
            <a:solidFill>
              <a:schemeClr val="accent3">
                <a:shade val="76000"/>
              </a:schemeClr>
            </a:solidFill>
            <a:ln>
              <a:noFill/>
            </a:ln>
            <a:effectLst/>
            <a:sp3d/>
          </c:spPr>
          <c:invertIfNegative val="0"/>
          <c:cat>
            <c:strRef>
              <c:f>Sheet5!$A$26:$A$31</c:f>
              <c:strCache>
                <c:ptCount val="5"/>
                <c:pt idx="0">
                  <c:v>Cancelado</c:v>
                </c:pt>
                <c:pt idx="1">
                  <c:v>Devuelto</c:v>
                </c:pt>
                <c:pt idx="2">
                  <c:v>En transito</c:v>
                </c:pt>
                <c:pt idx="3">
                  <c:v>Entregado</c:v>
                </c:pt>
                <c:pt idx="4">
                  <c:v>Procesando</c:v>
                </c:pt>
              </c:strCache>
            </c:strRef>
          </c:cat>
          <c:val>
            <c:numRef>
              <c:f>Sheet5!$B$26:$B$31</c:f>
              <c:numCache>
                <c:formatCode>General</c:formatCode>
                <c:ptCount val="5"/>
                <c:pt idx="0">
                  <c:v>96</c:v>
                </c:pt>
                <c:pt idx="1">
                  <c:v>102</c:v>
                </c:pt>
                <c:pt idx="2">
                  <c:v>244</c:v>
                </c:pt>
                <c:pt idx="3">
                  <c:v>768</c:v>
                </c:pt>
                <c:pt idx="4">
                  <c:v>116</c:v>
                </c:pt>
              </c:numCache>
            </c:numRef>
          </c:val>
          <c:extLst>
            <c:ext xmlns:c16="http://schemas.microsoft.com/office/drawing/2014/chart" uri="{C3380CC4-5D6E-409C-BE32-E72D297353CC}">
              <c16:uniqueId val="{00000000-E522-4F76-B543-496C6C16F3ED}"/>
            </c:ext>
          </c:extLst>
        </c:ser>
        <c:ser>
          <c:idx val="1"/>
          <c:order val="1"/>
          <c:tx>
            <c:strRef>
              <c:f>Sheet5!$C$25</c:f>
              <c:strCache>
                <c:ptCount val="1"/>
                <c:pt idx="0">
                  <c:v>Sum of quantity</c:v>
                </c:pt>
              </c:strCache>
            </c:strRef>
          </c:tx>
          <c:spPr>
            <a:solidFill>
              <a:schemeClr val="accent3">
                <a:tint val="77000"/>
              </a:schemeClr>
            </a:solidFill>
            <a:ln>
              <a:noFill/>
            </a:ln>
            <a:effectLst/>
            <a:sp3d/>
          </c:spPr>
          <c:invertIfNegative val="0"/>
          <c:cat>
            <c:strRef>
              <c:f>Sheet5!$A$26:$A$31</c:f>
              <c:strCache>
                <c:ptCount val="5"/>
                <c:pt idx="0">
                  <c:v>Cancelado</c:v>
                </c:pt>
                <c:pt idx="1">
                  <c:v>Devuelto</c:v>
                </c:pt>
                <c:pt idx="2">
                  <c:v>En transito</c:v>
                </c:pt>
                <c:pt idx="3">
                  <c:v>Entregado</c:v>
                </c:pt>
                <c:pt idx="4">
                  <c:v>Procesando</c:v>
                </c:pt>
              </c:strCache>
            </c:strRef>
          </c:cat>
          <c:val>
            <c:numRef>
              <c:f>Sheet5!$C$26:$C$31</c:f>
              <c:numCache>
                <c:formatCode>General</c:formatCode>
                <c:ptCount val="5"/>
                <c:pt idx="0">
                  <c:v>146</c:v>
                </c:pt>
                <c:pt idx="1">
                  <c:v>149</c:v>
                </c:pt>
                <c:pt idx="2">
                  <c:v>353</c:v>
                </c:pt>
                <c:pt idx="3">
                  <c:v>1164</c:v>
                </c:pt>
                <c:pt idx="4">
                  <c:v>186</c:v>
                </c:pt>
              </c:numCache>
            </c:numRef>
          </c:val>
          <c:extLst>
            <c:ext xmlns:c16="http://schemas.microsoft.com/office/drawing/2014/chart" uri="{C3380CC4-5D6E-409C-BE32-E72D297353CC}">
              <c16:uniqueId val="{00000001-E522-4F76-B543-496C6C16F3ED}"/>
            </c:ext>
          </c:extLst>
        </c:ser>
        <c:dLbls>
          <c:showLegendKey val="0"/>
          <c:showVal val="0"/>
          <c:showCatName val="0"/>
          <c:showSerName val="0"/>
          <c:showPercent val="0"/>
          <c:showBubbleSize val="0"/>
        </c:dLbls>
        <c:gapWidth val="150"/>
        <c:shape val="box"/>
        <c:axId val="310528848"/>
        <c:axId val="734364560"/>
        <c:axId val="0"/>
      </c:bar3DChart>
      <c:catAx>
        <c:axId val="310528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64560"/>
        <c:crosses val="autoZero"/>
        <c:auto val="1"/>
        <c:lblAlgn val="ctr"/>
        <c:lblOffset val="100"/>
        <c:noMultiLvlLbl val="0"/>
      </c:catAx>
      <c:valAx>
        <c:axId val="73436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52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[Book1.xlsx]Sheet5!PivotTable8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 Sales By Product</a:t>
            </a:r>
          </a:p>
        </c:rich>
      </c:tx>
      <c:layout>
        <c:manualLayout>
          <c:xMode val="edge"/>
          <c:yMode val="edge"/>
          <c:x val="0.3353055555555555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a:sp3d contourW="25400">
            <a:contourClr>
              <a:schemeClr val="lt1"/>
            </a:contourClr>
          </a:sp3d>
        </c:spPr>
        <c:dLbl>
          <c:idx val="0"/>
          <c:layout>
            <c:manualLayout>
              <c:x val="-8.4587926509186354E-2"/>
              <c:y val="-0.1219896471274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a:sp3d contourW="25400">
            <a:contourClr>
              <a:schemeClr val="lt1"/>
            </a:contourClr>
          </a:sp3d>
        </c:spPr>
      </c:pivotFmt>
      <c:pivotFmt>
        <c:idx val="4"/>
        <c:spPr>
          <a:solidFill>
            <a:schemeClr val="accent3"/>
          </a:solidFill>
          <a:ln w="19050">
            <a:solidFill>
              <a:schemeClr val="lt1"/>
            </a:solidFill>
          </a:ln>
          <a:effectLst/>
          <a:sp3d contourW="25400">
            <a:contourClr>
              <a:schemeClr val="lt1"/>
            </a:contourClr>
          </a:sp3d>
        </c:spPr>
      </c:pivotFmt>
      <c:pivotFmt>
        <c:idx val="5"/>
        <c:spPr>
          <a:solidFill>
            <a:schemeClr val="accent3"/>
          </a:solidFill>
          <a:ln w="19050">
            <a:solidFill>
              <a:schemeClr val="lt1"/>
            </a:solidFill>
          </a:ln>
          <a:effectLst/>
          <a:sp3d contourW="25400">
            <a:contourClr>
              <a:schemeClr val="lt1"/>
            </a:contourClr>
          </a:sp3d>
        </c:spPr>
        <c:dLbl>
          <c:idx val="0"/>
          <c:layout>
            <c:manualLayout>
              <c:x val="-8.4587926509186354E-2"/>
              <c:y val="-0.1219896471274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a:sp3d contourW="25400">
            <a:contourClr>
              <a:schemeClr val="lt1"/>
            </a:contourClr>
          </a:sp3d>
        </c:spPr>
      </c:pivotFmt>
      <c:pivotFmt>
        <c:idx val="7"/>
        <c:spPr>
          <a:solidFill>
            <a:schemeClr val="accent3"/>
          </a:solidFill>
          <a:ln w="19050">
            <a:solidFill>
              <a:schemeClr val="lt1"/>
            </a:solidFill>
          </a:ln>
          <a:effectLst/>
          <a:sp3d contourW="25400">
            <a:contourClr>
              <a:schemeClr val="lt1"/>
            </a:contourClr>
          </a:sp3d>
        </c:spPr>
      </c:pivotFmt>
      <c:pivotFmt>
        <c:idx val="8"/>
        <c:spPr>
          <a:solidFill>
            <a:schemeClr val="accent3"/>
          </a:solidFill>
          <a:ln w="19050">
            <a:solidFill>
              <a:schemeClr val="lt1"/>
            </a:solidFill>
          </a:ln>
          <a:effectLst/>
          <a:sp3d contourW="25400">
            <a:contourClr>
              <a:schemeClr val="lt1"/>
            </a:contourClr>
          </a:sp3d>
        </c:spPr>
      </c:pivotFmt>
      <c:pivotFmt>
        <c:idx val="9"/>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3"/>
          </a:solidFill>
          <a:ln w="25400">
            <a:solidFill>
              <a:schemeClr val="lt1"/>
            </a:solidFill>
          </a:ln>
          <a:effectLst/>
          <a:sp3d contourW="25400">
            <a:contourClr>
              <a:schemeClr val="lt1"/>
            </a:contourClr>
          </a:sp3d>
        </c:spPr>
      </c:pivotFmt>
      <c:pivotFmt>
        <c:idx val="12"/>
        <c:spPr>
          <a:solidFill>
            <a:schemeClr val="accent3"/>
          </a:solidFill>
          <a:ln w="25400">
            <a:solidFill>
              <a:schemeClr val="lt1"/>
            </a:solidFill>
          </a:ln>
          <a:effectLst/>
          <a:sp3d contourW="25400">
            <a:contourClr>
              <a:schemeClr val="lt1"/>
            </a:contourClr>
          </a:sp3d>
        </c:spPr>
        <c:dLbl>
          <c:idx val="0"/>
          <c:layout>
            <c:manualLayout>
              <c:x val="-0.11032218095763016"/>
              <c:y val="-0.16043761630198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25400">
            <a:solidFill>
              <a:schemeClr val="lt1"/>
            </a:solidFill>
          </a:ln>
          <a:effectLst/>
          <a:sp3d contourW="25400">
            <a:contourClr>
              <a:schemeClr val="lt1"/>
            </a:contourClr>
          </a:sp3d>
        </c:spPr>
      </c:pivotFmt>
      <c:pivotFmt>
        <c:idx val="14"/>
        <c:spPr>
          <a:solidFill>
            <a:schemeClr val="accent3"/>
          </a:solidFill>
          <a:ln w="25400">
            <a:solidFill>
              <a:schemeClr val="lt1"/>
            </a:solidFill>
          </a:ln>
          <a:effectLst/>
          <a:sp3d contourW="25400">
            <a:contourClr>
              <a:schemeClr val="lt1"/>
            </a:contourClr>
          </a:sp3d>
        </c:spPr>
      </c:pivotFmt>
      <c:pivotFmt>
        <c:idx val="15"/>
        <c:spPr>
          <a:solidFill>
            <a:schemeClr val="accent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6934447315248"/>
          <c:y val="0.2155376889802843"/>
          <c:w val="0.48588779162621387"/>
          <c:h val="0.62515869494717047"/>
        </c:manualLayout>
      </c:layout>
      <c:pie3DChart>
        <c:varyColors val="1"/>
        <c:ser>
          <c:idx val="0"/>
          <c:order val="0"/>
          <c:tx>
            <c:strRef>
              <c:f>Sheet5!$E$17</c:f>
              <c:strCache>
                <c:ptCount val="1"/>
                <c:pt idx="0">
                  <c:v>Total</c:v>
                </c:pt>
              </c:strCache>
            </c:strRef>
          </c:tx>
          <c:dPt>
            <c:idx val="0"/>
            <c:bubble3D val="0"/>
            <c:spPr>
              <a:solidFill>
                <a:schemeClr val="accent3">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22-4909-99B6-52E0D92846E7}"/>
              </c:ext>
            </c:extLst>
          </c:dPt>
          <c:dPt>
            <c:idx val="1"/>
            <c:bubble3D val="0"/>
            <c:spPr>
              <a:solidFill>
                <a:schemeClr val="accent3">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22-4909-99B6-52E0D92846E7}"/>
              </c:ext>
            </c:extLst>
          </c:dPt>
          <c:dPt>
            <c:idx val="2"/>
            <c:bubble3D val="0"/>
            <c:spPr>
              <a:solidFill>
                <a:schemeClr val="accent3">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22-4909-99B6-52E0D92846E7}"/>
              </c:ext>
            </c:extLst>
          </c:dPt>
          <c:dPt>
            <c:idx val="3"/>
            <c:bubble3D val="0"/>
            <c:spPr>
              <a:solidFill>
                <a:schemeClr val="accent3">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D22-4909-99B6-52E0D92846E7}"/>
              </c:ext>
            </c:extLst>
          </c:dPt>
          <c:dPt>
            <c:idx val="4"/>
            <c:bubble3D val="0"/>
            <c:spPr>
              <a:solidFill>
                <a:schemeClr val="accent3">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D22-4909-99B6-52E0D92846E7}"/>
              </c:ext>
            </c:extLst>
          </c:dPt>
          <c:dPt>
            <c:idx val="5"/>
            <c:bubble3D val="0"/>
            <c:spPr>
              <a:solidFill>
                <a:schemeClr val="accent3">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DD22-4909-99B6-52E0D92846E7}"/>
              </c:ext>
            </c:extLst>
          </c:dPt>
          <c:dLbls>
            <c:dLbl>
              <c:idx val="2"/>
              <c:layout>
                <c:manualLayout>
                  <c:x val="-0.11032218095763016"/>
                  <c:y val="-0.160437616301986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22-4909-99B6-52E0D92846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Sheet5!$D$18:$D$24</c:f>
              <c:strCache>
                <c:ptCount val="6"/>
                <c:pt idx="0">
                  <c:v>Fuente de agua para gatos</c:v>
                </c:pt>
                <c:pt idx="1">
                  <c:v>Lampara LED con control tactil</c:v>
                </c:pt>
                <c:pt idx="2">
                  <c:v>Muñequeras con peso 1kg</c:v>
                </c:pt>
                <c:pt idx="3">
                  <c:v>Proyector de estrellas para techo</c:v>
                </c:pt>
                <c:pt idx="4">
                  <c:v>Suplemento vitaminico para perros</c:v>
                </c:pt>
                <c:pt idx="5">
                  <c:v>Tapete de yoga antideslizante</c:v>
                </c:pt>
              </c:strCache>
            </c:strRef>
          </c:cat>
          <c:val>
            <c:numRef>
              <c:f>Sheet5!$E$18:$E$24</c:f>
              <c:numCache>
                <c:formatCode>General</c:formatCode>
                <c:ptCount val="6"/>
                <c:pt idx="0">
                  <c:v>9618.409999999978</c:v>
                </c:pt>
                <c:pt idx="1">
                  <c:v>6123.669999999981</c:v>
                </c:pt>
                <c:pt idx="2">
                  <c:v>4537.439999999985</c:v>
                </c:pt>
                <c:pt idx="3">
                  <c:v>11582.269999999973</c:v>
                </c:pt>
                <c:pt idx="4">
                  <c:v>6369.2799999999761</c:v>
                </c:pt>
                <c:pt idx="5">
                  <c:v>7778.6099999999788</c:v>
                </c:pt>
              </c:numCache>
            </c:numRef>
          </c:val>
          <c:extLst>
            <c:ext xmlns:c16="http://schemas.microsoft.com/office/drawing/2014/chart" uri="{C3380CC4-5D6E-409C-BE32-E72D297353CC}">
              <c16:uniqueId val="{0000000C-DD22-4909-99B6-52E0D92846E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9700868160710683"/>
          <c:y val="0.15465121720744027"/>
          <c:w val="0.3"/>
          <c:h val="0.76055883639545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[Book1.xlsx]Sheet5!PivotTable7</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Payment Method By Total Sales</a:t>
            </a:r>
          </a:p>
          <a:p>
            <a:pPr algn="ctr">
              <a:defRPr/>
            </a:pPr>
            <a:endParaRPr lang="en-US"/>
          </a:p>
        </c:rich>
      </c:tx>
      <c:layout>
        <c:manualLayout>
          <c:xMode val="edge"/>
          <c:yMode val="edge"/>
          <c:x val="0.25672981928023386"/>
          <c:y val="3.608786990187522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Sheet5!$H$3</c:f>
              <c:strCache>
                <c:ptCount val="1"/>
                <c:pt idx="0">
                  <c:v>Total</c:v>
                </c:pt>
              </c:strCache>
            </c:strRef>
          </c:tx>
          <c:spPr>
            <a:solidFill>
              <a:schemeClr val="accent6"/>
            </a:solidFill>
            <a:ln>
              <a:noFill/>
            </a:ln>
            <a:effectLst/>
            <a:sp3d/>
          </c:spPr>
          <c:invertIfNegative val="0"/>
          <c:cat>
            <c:strRef>
              <c:f>Sheet5!$G$4:$G$8</c:f>
              <c:strCache>
                <c:ptCount val="4"/>
                <c:pt idx="0">
                  <c:v>Contraentrega</c:v>
                </c:pt>
                <c:pt idx="1">
                  <c:v>Nequi</c:v>
                </c:pt>
                <c:pt idx="2">
                  <c:v>PSE</c:v>
                </c:pt>
                <c:pt idx="3">
                  <c:v>Tarjeta de credito</c:v>
                </c:pt>
              </c:strCache>
            </c:strRef>
          </c:cat>
          <c:val>
            <c:numRef>
              <c:f>Sheet5!$H$4:$H$8</c:f>
              <c:numCache>
                <c:formatCode>General</c:formatCode>
                <c:ptCount val="4"/>
                <c:pt idx="0">
                  <c:v>11274.369999999959</c:v>
                </c:pt>
                <c:pt idx="1">
                  <c:v>12173.889999999963</c:v>
                </c:pt>
                <c:pt idx="2">
                  <c:v>11741.609999999959</c:v>
                </c:pt>
                <c:pt idx="3">
                  <c:v>10819.80999999997</c:v>
                </c:pt>
              </c:numCache>
            </c:numRef>
          </c:val>
          <c:extLst>
            <c:ext xmlns:c16="http://schemas.microsoft.com/office/drawing/2014/chart" uri="{C3380CC4-5D6E-409C-BE32-E72D297353CC}">
              <c16:uniqueId val="{00000000-6C1B-462A-9F54-866A5DB59C4A}"/>
            </c:ext>
          </c:extLst>
        </c:ser>
        <c:dLbls>
          <c:showLegendKey val="0"/>
          <c:showVal val="0"/>
          <c:showCatName val="0"/>
          <c:showSerName val="0"/>
          <c:showPercent val="0"/>
          <c:showBubbleSize val="0"/>
        </c:dLbls>
        <c:gapWidth val="150"/>
        <c:shape val="box"/>
        <c:axId val="176491712"/>
        <c:axId val="734245040"/>
        <c:axId val="0"/>
      </c:bar3DChart>
      <c:catAx>
        <c:axId val="17649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45040"/>
        <c:crosses val="autoZero"/>
        <c:auto val="1"/>
        <c:lblAlgn val="ctr"/>
        <c:lblOffset val="100"/>
        <c:noMultiLvlLbl val="0"/>
      </c:catAx>
      <c:valAx>
        <c:axId val="734245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540407</xdr:colOff>
      <xdr:row>16</xdr:row>
      <xdr:rowOff>134664</xdr:rowOff>
    </xdr:from>
    <xdr:to>
      <xdr:col>12</xdr:col>
      <xdr:colOff>529896</xdr:colOff>
      <xdr:row>30</xdr:row>
      <xdr:rowOff>130948</xdr:rowOff>
    </xdr:to>
    <mc:AlternateContent xmlns:mc="http://schemas.openxmlformats.org/markup-compatibility/2006" xmlns:a14="http://schemas.microsoft.com/office/drawing/2010/main">
      <mc:Choice Requires="a14">
        <xdr:graphicFrame macro="">
          <xdr:nvGraphicFramePr>
            <xdr:cNvPr id="9" name="product_name">
              <a:extLst>
                <a:ext uri="{FF2B5EF4-FFF2-40B4-BE49-F238E27FC236}">
                  <a16:creationId xmlns:a16="http://schemas.microsoft.com/office/drawing/2014/main" id="{E9574EAA-6544-313A-0F6A-DF89277F34DD}"/>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787393" y="3092198"/>
              <a:ext cx="1816202" cy="2571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9071</xdr:colOff>
      <xdr:row>0</xdr:row>
      <xdr:rowOff>9071</xdr:rowOff>
    </xdr:from>
    <xdr:to>
      <xdr:col>16</xdr:col>
      <xdr:colOff>571500</xdr:colOff>
      <xdr:row>33</xdr:row>
      <xdr:rowOff>45357</xdr:rowOff>
    </xdr:to>
    <xdr:sp macro="" textlink="">
      <xdr:nvSpPr>
        <xdr:cNvPr id="2" name="Rectangle 1">
          <a:extLst>
            <a:ext uri="{FF2B5EF4-FFF2-40B4-BE49-F238E27FC236}">
              <a16:creationId xmlns:a16="http://schemas.microsoft.com/office/drawing/2014/main" id="{30227C49-3224-8CBD-A8D2-3AC1DEADAF88}"/>
            </a:ext>
          </a:extLst>
        </xdr:cNvPr>
        <xdr:cNvSpPr/>
      </xdr:nvSpPr>
      <xdr:spPr>
        <a:xfrm>
          <a:off x="9071" y="9071"/>
          <a:ext cx="10287000" cy="6023429"/>
        </a:xfrm>
        <a:prstGeom prst="rect">
          <a:avLst/>
        </a:prstGeom>
        <a:effectLst>
          <a:glow rad="1397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89806</xdr:colOff>
      <xdr:row>4</xdr:row>
      <xdr:rowOff>36286</xdr:rowOff>
    </xdr:from>
    <xdr:to>
      <xdr:col>3</xdr:col>
      <xdr:colOff>598714</xdr:colOff>
      <xdr:row>32</xdr:row>
      <xdr:rowOff>126999</xdr:rowOff>
    </xdr:to>
    <xdr:sp macro="" textlink="">
      <xdr:nvSpPr>
        <xdr:cNvPr id="3" name="Rectangle 2">
          <a:extLst>
            <a:ext uri="{FF2B5EF4-FFF2-40B4-BE49-F238E27FC236}">
              <a16:creationId xmlns:a16="http://schemas.microsoft.com/office/drawing/2014/main" id="{CA32C49D-01F5-62DC-750F-76EF1E350231}"/>
            </a:ext>
          </a:extLst>
        </xdr:cNvPr>
        <xdr:cNvSpPr/>
      </xdr:nvSpPr>
      <xdr:spPr>
        <a:xfrm>
          <a:off x="89806" y="762000"/>
          <a:ext cx="2332265" cy="5170713"/>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308429</xdr:colOff>
      <xdr:row>20</xdr:row>
      <xdr:rowOff>118836</xdr:rowOff>
    </xdr:from>
    <xdr:to>
      <xdr:col>16</xdr:col>
      <xdr:colOff>462643</xdr:colOff>
      <xdr:row>32</xdr:row>
      <xdr:rowOff>163285</xdr:rowOff>
    </xdr:to>
    <xdr:sp macro="" textlink="">
      <xdr:nvSpPr>
        <xdr:cNvPr id="4" name="Rectangle 3">
          <a:extLst>
            <a:ext uri="{FF2B5EF4-FFF2-40B4-BE49-F238E27FC236}">
              <a16:creationId xmlns:a16="http://schemas.microsoft.com/office/drawing/2014/main" id="{4316355B-7218-3B68-65EF-BB0EBE283FD2}"/>
            </a:ext>
          </a:extLst>
        </xdr:cNvPr>
        <xdr:cNvSpPr/>
      </xdr:nvSpPr>
      <xdr:spPr>
        <a:xfrm>
          <a:off x="6386286" y="3747407"/>
          <a:ext cx="3800928" cy="2221592"/>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102508</xdr:colOff>
      <xdr:row>20</xdr:row>
      <xdr:rowOff>124281</xdr:rowOff>
    </xdr:from>
    <xdr:to>
      <xdr:col>10</xdr:col>
      <xdr:colOff>172358</xdr:colOff>
      <xdr:row>32</xdr:row>
      <xdr:rowOff>136074</xdr:rowOff>
    </xdr:to>
    <xdr:sp macro="" textlink="">
      <xdr:nvSpPr>
        <xdr:cNvPr id="5" name="Rectangle 4">
          <a:extLst>
            <a:ext uri="{FF2B5EF4-FFF2-40B4-BE49-F238E27FC236}">
              <a16:creationId xmlns:a16="http://schemas.microsoft.com/office/drawing/2014/main" id="{FF523CC5-5135-4137-BDED-3D73CF996369}"/>
            </a:ext>
          </a:extLst>
        </xdr:cNvPr>
        <xdr:cNvSpPr/>
      </xdr:nvSpPr>
      <xdr:spPr>
        <a:xfrm>
          <a:off x="2533651" y="3752852"/>
          <a:ext cx="3716564" cy="2188936"/>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303893</xdr:colOff>
      <xdr:row>8</xdr:row>
      <xdr:rowOff>43543</xdr:rowOff>
    </xdr:from>
    <xdr:to>
      <xdr:col>16</xdr:col>
      <xdr:colOff>462643</xdr:colOff>
      <xdr:row>20</xdr:row>
      <xdr:rowOff>81645</xdr:rowOff>
    </xdr:to>
    <xdr:sp macro="" textlink="">
      <xdr:nvSpPr>
        <xdr:cNvPr id="6" name="Rectangle 5">
          <a:extLst>
            <a:ext uri="{FF2B5EF4-FFF2-40B4-BE49-F238E27FC236}">
              <a16:creationId xmlns:a16="http://schemas.microsoft.com/office/drawing/2014/main" id="{B7BC7F19-80A3-462D-BBBC-529B20F6C73D}"/>
            </a:ext>
          </a:extLst>
        </xdr:cNvPr>
        <xdr:cNvSpPr/>
      </xdr:nvSpPr>
      <xdr:spPr>
        <a:xfrm>
          <a:off x="6381750" y="1494972"/>
          <a:ext cx="3805464" cy="2215244"/>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113393</xdr:colOff>
      <xdr:row>8</xdr:row>
      <xdr:rowOff>54428</xdr:rowOff>
    </xdr:from>
    <xdr:to>
      <xdr:col>10</xdr:col>
      <xdr:colOff>199572</xdr:colOff>
      <xdr:row>20</xdr:row>
      <xdr:rowOff>0</xdr:rowOff>
    </xdr:to>
    <xdr:sp macro="" textlink="">
      <xdr:nvSpPr>
        <xdr:cNvPr id="7" name="Rectangle 6">
          <a:extLst>
            <a:ext uri="{FF2B5EF4-FFF2-40B4-BE49-F238E27FC236}">
              <a16:creationId xmlns:a16="http://schemas.microsoft.com/office/drawing/2014/main" id="{EEDC8600-1133-46D0-B3F8-9CEBFAE9692F}"/>
            </a:ext>
          </a:extLst>
        </xdr:cNvPr>
        <xdr:cNvSpPr/>
      </xdr:nvSpPr>
      <xdr:spPr>
        <a:xfrm>
          <a:off x="2544536" y="1505857"/>
          <a:ext cx="3732893" cy="2122714"/>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163286</xdr:colOff>
      <xdr:row>4</xdr:row>
      <xdr:rowOff>36285</xdr:rowOff>
    </xdr:from>
    <xdr:to>
      <xdr:col>6</xdr:col>
      <xdr:colOff>480786</xdr:colOff>
      <xdr:row>7</xdr:row>
      <xdr:rowOff>136071</xdr:rowOff>
    </xdr:to>
    <xdr:sp macro="" textlink="">
      <xdr:nvSpPr>
        <xdr:cNvPr id="8" name="Rectangle: Rounded Corners 7">
          <a:extLst>
            <a:ext uri="{FF2B5EF4-FFF2-40B4-BE49-F238E27FC236}">
              <a16:creationId xmlns:a16="http://schemas.microsoft.com/office/drawing/2014/main" id="{FA397F39-BFFC-CA41-F2EA-16A20BD3250C}"/>
            </a:ext>
          </a:extLst>
        </xdr:cNvPr>
        <xdr:cNvSpPr/>
      </xdr:nvSpPr>
      <xdr:spPr>
        <a:xfrm>
          <a:off x="2594429" y="761999"/>
          <a:ext cx="1533071" cy="644072"/>
        </a:xfrm>
        <a:prstGeom prst="round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553359</xdr:colOff>
      <xdr:row>4</xdr:row>
      <xdr:rowOff>34472</xdr:rowOff>
    </xdr:from>
    <xdr:to>
      <xdr:col>9</xdr:col>
      <xdr:colOff>145144</xdr:colOff>
      <xdr:row>7</xdr:row>
      <xdr:rowOff>134258</xdr:rowOff>
    </xdr:to>
    <xdr:sp macro="" textlink="">
      <xdr:nvSpPr>
        <xdr:cNvPr id="9" name="Rectangle: Rounded Corners 8">
          <a:extLst>
            <a:ext uri="{FF2B5EF4-FFF2-40B4-BE49-F238E27FC236}">
              <a16:creationId xmlns:a16="http://schemas.microsoft.com/office/drawing/2014/main" id="{5B35C39F-AC49-4437-9DD2-17DE35B5B133}"/>
            </a:ext>
          </a:extLst>
        </xdr:cNvPr>
        <xdr:cNvSpPr/>
      </xdr:nvSpPr>
      <xdr:spPr>
        <a:xfrm>
          <a:off x="4200073" y="760186"/>
          <a:ext cx="1415142" cy="644072"/>
        </a:xfrm>
        <a:prstGeom prst="round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250371</xdr:colOff>
      <xdr:row>4</xdr:row>
      <xdr:rowOff>45358</xdr:rowOff>
    </xdr:from>
    <xdr:to>
      <xdr:col>11</xdr:col>
      <xdr:colOff>471714</xdr:colOff>
      <xdr:row>7</xdr:row>
      <xdr:rowOff>127001</xdr:rowOff>
    </xdr:to>
    <xdr:sp macro="" textlink="">
      <xdr:nvSpPr>
        <xdr:cNvPr id="10" name="Rectangle: Rounded Corners 9">
          <a:extLst>
            <a:ext uri="{FF2B5EF4-FFF2-40B4-BE49-F238E27FC236}">
              <a16:creationId xmlns:a16="http://schemas.microsoft.com/office/drawing/2014/main" id="{4C18FC74-2216-40E3-AABC-4B5D22E96ACB}"/>
            </a:ext>
          </a:extLst>
        </xdr:cNvPr>
        <xdr:cNvSpPr/>
      </xdr:nvSpPr>
      <xdr:spPr>
        <a:xfrm>
          <a:off x="5720442" y="771072"/>
          <a:ext cx="1436915" cy="625929"/>
        </a:xfrm>
        <a:prstGeom prst="round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145143</xdr:colOff>
      <xdr:row>13</xdr:row>
      <xdr:rowOff>36286</xdr:rowOff>
    </xdr:from>
    <xdr:to>
      <xdr:col>3</xdr:col>
      <xdr:colOff>508000</xdr:colOff>
      <xdr:row>24</xdr:row>
      <xdr:rowOff>27214</xdr:rowOff>
    </xdr:to>
    <mc:AlternateContent xmlns:mc="http://schemas.openxmlformats.org/markup-compatibility/2006" xmlns:a14="http://schemas.microsoft.com/office/drawing/2010/main">
      <mc:Choice Requires="a14">
        <xdr:graphicFrame macro="">
          <xdr:nvGraphicFramePr>
            <xdr:cNvPr id="12" name="product_name 1">
              <a:extLst>
                <a:ext uri="{FF2B5EF4-FFF2-40B4-BE49-F238E27FC236}">
                  <a16:creationId xmlns:a16="http://schemas.microsoft.com/office/drawing/2014/main" id="{6FA86E33-CDCD-4E3B-BD30-B0B85D99DAEC}"/>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45143" y="2486989"/>
              <a:ext cx="2178560" cy="206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163286</xdr:colOff>
      <xdr:row>8</xdr:row>
      <xdr:rowOff>97063</xdr:rowOff>
    </xdr:from>
    <xdr:to>
      <xdr:col>10</xdr:col>
      <xdr:colOff>127001</xdr:colOff>
      <xdr:row>19</xdr:row>
      <xdr:rowOff>145143</xdr:rowOff>
    </xdr:to>
    <xdr:graphicFrame macro="">
      <xdr:nvGraphicFramePr>
        <xdr:cNvPr id="17" name="Chart 16">
          <a:extLst>
            <a:ext uri="{FF2B5EF4-FFF2-40B4-BE49-F238E27FC236}">
              <a16:creationId xmlns:a16="http://schemas.microsoft.com/office/drawing/2014/main" id="{A239DCA7-EA63-4F02-B7C8-EC8D74ADD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341993</xdr:colOff>
      <xdr:row>8</xdr:row>
      <xdr:rowOff>72571</xdr:rowOff>
    </xdr:from>
    <xdr:to>
      <xdr:col>16</xdr:col>
      <xdr:colOff>371929</xdr:colOff>
      <xdr:row>20</xdr:row>
      <xdr:rowOff>1</xdr:rowOff>
    </xdr:to>
    <xdr:graphicFrame macro="">
      <xdr:nvGraphicFramePr>
        <xdr:cNvPr id="20" name="Chart 19">
          <a:extLst>
            <a:ext uri="{FF2B5EF4-FFF2-40B4-BE49-F238E27FC236}">
              <a16:creationId xmlns:a16="http://schemas.microsoft.com/office/drawing/2014/main" id="{DB37F480-B6D1-478D-B4E9-E9654FC00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326571</xdr:colOff>
      <xdr:row>20</xdr:row>
      <xdr:rowOff>161474</xdr:rowOff>
    </xdr:from>
    <xdr:to>
      <xdr:col>16</xdr:col>
      <xdr:colOff>317500</xdr:colOff>
      <xdr:row>32</xdr:row>
      <xdr:rowOff>108858</xdr:rowOff>
    </xdr:to>
    <xdr:graphicFrame macro="">
      <xdr:nvGraphicFramePr>
        <xdr:cNvPr id="22" name="Chart 21">
          <a:extLst>
            <a:ext uri="{FF2B5EF4-FFF2-40B4-BE49-F238E27FC236}">
              <a16:creationId xmlns:a16="http://schemas.microsoft.com/office/drawing/2014/main" id="{846BEF50-0783-4F9D-B267-3444C7D1F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129724</xdr:colOff>
      <xdr:row>20</xdr:row>
      <xdr:rowOff>172357</xdr:rowOff>
    </xdr:from>
    <xdr:to>
      <xdr:col>10</xdr:col>
      <xdr:colOff>145144</xdr:colOff>
      <xdr:row>32</xdr:row>
      <xdr:rowOff>63499</xdr:rowOff>
    </xdr:to>
    <xdr:graphicFrame macro="">
      <xdr:nvGraphicFramePr>
        <xdr:cNvPr id="24" name="Chart 23">
          <a:extLst>
            <a:ext uri="{FF2B5EF4-FFF2-40B4-BE49-F238E27FC236}">
              <a16:creationId xmlns:a16="http://schemas.microsoft.com/office/drawing/2014/main" id="{49D459A3-881D-40FC-8BAE-4C9E5A052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235858</xdr:colOff>
      <xdr:row>4</xdr:row>
      <xdr:rowOff>163286</xdr:rowOff>
    </xdr:from>
    <xdr:to>
      <xdr:col>6</xdr:col>
      <xdr:colOff>391957</xdr:colOff>
      <xdr:row>7</xdr:row>
      <xdr:rowOff>31771</xdr:rowOff>
    </xdr:to>
    <xdr:pic>
      <xdr:nvPicPr>
        <xdr:cNvPr id="35" name="Picture 34">
          <a:extLst>
            <a:ext uri="{FF2B5EF4-FFF2-40B4-BE49-F238E27FC236}">
              <a16:creationId xmlns:a16="http://schemas.microsoft.com/office/drawing/2014/main" id="{04442809-7EAC-2988-52E7-4D9915AB803F}"/>
            </a:ext>
          </a:extLst>
        </xdr:cNvPr>
        <xdr:cNvPicPr>
          <a:picLocks noChangeAspect="1"/>
        </xdr:cNvPicPr>
      </xdr:nvPicPr>
      <xdr:blipFill>
        <a:blip xmlns:r="http://schemas.openxmlformats.org/officeDocument/2006/relationships" r:embed="rId5">
          <a:duotone>
            <a:prstClr val="black"/>
            <a:schemeClr val="accent3">
              <a:tint val="45000"/>
              <a:satMod val="400000"/>
            </a:schemeClr>
          </a:duotone>
        </a:blip>
        <a:stretch>
          <a:fillRect/>
        </a:stretch>
      </xdr:blipFill>
      <xdr:spPr>
        <a:xfrm>
          <a:off x="2667001" y="889000"/>
          <a:ext cx="1371670" cy="4127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7</xdr:col>
      <xdr:colOff>45358</xdr:colOff>
      <xdr:row>4</xdr:row>
      <xdr:rowOff>136072</xdr:rowOff>
    </xdr:from>
    <xdr:to>
      <xdr:col>9</xdr:col>
      <xdr:colOff>27215</xdr:colOff>
      <xdr:row>7</xdr:row>
      <xdr:rowOff>4557</xdr:rowOff>
    </xdr:to>
    <xdr:pic>
      <xdr:nvPicPr>
        <xdr:cNvPr id="38" name="Picture 37">
          <a:extLst>
            <a:ext uri="{FF2B5EF4-FFF2-40B4-BE49-F238E27FC236}">
              <a16:creationId xmlns:a16="http://schemas.microsoft.com/office/drawing/2014/main" id="{E695D745-5A55-D736-6265-EB19C03DF6A6}"/>
            </a:ext>
          </a:extLst>
        </xdr:cNvPr>
        <xdr:cNvPicPr>
          <a:picLocks noChangeAspect="1"/>
        </xdr:cNvPicPr>
      </xdr:nvPicPr>
      <xdr:blipFill>
        <a:blip xmlns:r="http://schemas.openxmlformats.org/officeDocument/2006/relationships" r:embed="rId6">
          <a:duotone>
            <a:prstClr val="black"/>
            <a:schemeClr val="accent3">
              <a:tint val="45000"/>
              <a:satMod val="400000"/>
            </a:schemeClr>
          </a:duotone>
        </a:blip>
        <a:stretch>
          <a:fillRect/>
        </a:stretch>
      </xdr:blipFill>
      <xdr:spPr>
        <a:xfrm>
          <a:off x="4299858" y="861786"/>
          <a:ext cx="1197428" cy="4127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9</xdr:col>
      <xdr:colOff>335645</xdr:colOff>
      <xdr:row>4</xdr:row>
      <xdr:rowOff>145144</xdr:rowOff>
    </xdr:from>
    <xdr:to>
      <xdr:col>11</xdr:col>
      <xdr:colOff>371087</xdr:colOff>
      <xdr:row>7</xdr:row>
      <xdr:rowOff>13629</xdr:rowOff>
    </xdr:to>
    <xdr:pic>
      <xdr:nvPicPr>
        <xdr:cNvPr id="41" name="Picture 40">
          <a:extLst>
            <a:ext uri="{FF2B5EF4-FFF2-40B4-BE49-F238E27FC236}">
              <a16:creationId xmlns:a16="http://schemas.microsoft.com/office/drawing/2014/main" id="{B6591C83-B375-A275-F87E-7016F2495C55}"/>
            </a:ext>
          </a:extLst>
        </xdr:cNvPr>
        <xdr:cNvPicPr>
          <a:picLocks noChangeAspect="1"/>
        </xdr:cNvPicPr>
      </xdr:nvPicPr>
      <xdr:blipFill>
        <a:blip xmlns:r="http://schemas.openxmlformats.org/officeDocument/2006/relationships" r:embed="rId7">
          <a:duotone>
            <a:prstClr val="black"/>
            <a:schemeClr val="accent3">
              <a:tint val="45000"/>
              <a:satMod val="400000"/>
            </a:schemeClr>
          </a:duotone>
        </a:blip>
        <a:stretch>
          <a:fillRect/>
        </a:stretch>
      </xdr:blipFill>
      <xdr:spPr>
        <a:xfrm>
          <a:off x="5805716" y="870858"/>
          <a:ext cx="1251014" cy="4127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11</xdr:col>
      <xdr:colOff>584198</xdr:colOff>
      <xdr:row>4</xdr:row>
      <xdr:rowOff>45357</xdr:rowOff>
    </xdr:from>
    <xdr:to>
      <xdr:col>14</xdr:col>
      <xdr:colOff>181428</xdr:colOff>
      <xdr:row>7</xdr:row>
      <xdr:rowOff>145143</xdr:rowOff>
    </xdr:to>
    <xdr:sp macro="" textlink="">
      <xdr:nvSpPr>
        <xdr:cNvPr id="42" name="Rectangle: Rounded Corners 41">
          <a:extLst>
            <a:ext uri="{FF2B5EF4-FFF2-40B4-BE49-F238E27FC236}">
              <a16:creationId xmlns:a16="http://schemas.microsoft.com/office/drawing/2014/main" id="{3AE8E515-26D5-44B7-996F-D0E3F09864BD}"/>
            </a:ext>
          </a:extLst>
        </xdr:cNvPr>
        <xdr:cNvSpPr/>
      </xdr:nvSpPr>
      <xdr:spPr>
        <a:xfrm>
          <a:off x="7269841" y="771071"/>
          <a:ext cx="1420587" cy="644072"/>
        </a:xfrm>
        <a:prstGeom prst="round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292102</xdr:colOff>
      <xdr:row>4</xdr:row>
      <xdr:rowOff>29030</xdr:rowOff>
    </xdr:from>
    <xdr:to>
      <xdr:col>16</xdr:col>
      <xdr:colOff>462644</xdr:colOff>
      <xdr:row>7</xdr:row>
      <xdr:rowOff>128816</xdr:rowOff>
    </xdr:to>
    <xdr:sp macro="" textlink="">
      <xdr:nvSpPr>
        <xdr:cNvPr id="43" name="Rectangle: Rounded Corners 42">
          <a:extLst>
            <a:ext uri="{FF2B5EF4-FFF2-40B4-BE49-F238E27FC236}">
              <a16:creationId xmlns:a16="http://schemas.microsoft.com/office/drawing/2014/main" id="{E2334670-6C67-4D21-B402-19208015CA6E}"/>
            </a:ext>
          </a:extLst>
        </xdr:cNvPr>
        <xdr:cNvSpPr/>
      </xdr:nvSpPr>
      <xdr:spPr>
        <a:xfrm>
          <a:off x="8801102" y="754744"/>
          <a:ext cx="1386113" cy="644072"/>
        </a:xfrm>
        <a:prstGeom prst="round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117927</xdr:colOff>
      <xdr:row>4</xdr:row>
      <xdr:rowOff>163286</xdr:rowOff>
    </xdr:from>
    <xdr:to>
      <xdr:col>14</xdr:col>
      <xdr:colOff>20013</xdr:colOff>
      <xdr:row>7</xdr:row>
      <xdr:rowOff>12720</xdr:rowOff>
    </xdr:to>
    <xdr:pic>
      <xdr:nvPicPr>
        <xdr:cNvPr id="51" name="Picture 50">
          <a:extLst>
            <a:ext uri="{FF2B5EF4-FFF2-40B4-BE49-F238E27FC236}">
              <a16:creationId xmlns:a16="http://schemas.microsoft.com/office/drawing/2014/main" id="{87B48734-8748-6033-2E24-DDE06E00C275}"/>
            </a:ext>
          </a:extLst>
        </xdr:cNvPr>
        <xdr:cNvPicPr>
          <a:picLocks noChangeAspect="1"/>
        </xdr:cNvPicPr>
      </xdr:nvPicPr>
      <xdr:blipFill>
        <a:blip xmlns:r="http://schemas.openxmlformats.org/officeDocument/2006/relationships" r:embed="rId8">
          <a:duotone>
            <a:prstClr val="black"/>
            <a:schemeClr val="accent3">
              <a:tint val="45000"/>
              <a:satMod val="400000"/>
            </a:schemeClr>
          </a:duotone>
        </a:blip>
        <a:stretch>
          <a:fillRect/>
        </a:stretch>
      </xdr:blipFill>
      <xdr:spPr>
        <a:xfrm>
          <a:off x="7411356" y="889000"/>
          <a:ext cx="1117657" cy="393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14</xdr:col>
      <xdr:colOff>435428</xdr:colOff>
      <xdr:row>4</xdr:row>
      <xdr:rowOff>145144</xdr:rowOff>
    </xdr:from>
    <xdr:to>
      <xdr:col>16</xdr:col>
      <xdr:colOff>312113</xdr:colOff>
      <xdr:row>6</xdr:row>
      <xdr:rowOff>176007</xdr:rowOff>
    </xdr:to>
    <xdr:pic>
      <xdr:nvPicPr>
        <xdr:cNvPr id="54" name="Picture 53">
          <a:extLst>
            <a:ext uri="{FF2B5EF4-FFF2-40B4-BE49-F238E27FC236}">
              <a16:creationId xmlns:a16="http://schemas.microsoft.com/office/drawing/2014/main" id="{F1EBB96F-43EE-0385-855A-EBE902824CAD}"/>
            </a:ext>
          </a:extLst>
        </xdr:cNvPr>
        <xdr:cNvPicPr>
          <a:picLocks noChangeAspect="1"/>
        </xdr:cNvPicPr>
      </xdr:nvPicPr>
      <xdr:blipFill>
        <a:blip xmlns:r="http://schemas.openxmlformats.org/officeDocument/2006/relationships" r:embed="rId9">
          <a:duotone>
            <a:prstClr val="black"/>
            <a:schemeClr val="accent3">
              <a:tint val="45000"/>
              <a:satMod val="400000"/>
            </a:schemeClr>
          </a:duotone>
        </a:blip>
        <a:stretch>
          <a:fillRect/>
        </a:stretch>
      </xdr:blipFill>
      <xdr:spPr>
        <a:xfrm>
          <a:off x="8944428" y="870858"/>
          <a:ext cx="1092256" cy="3937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81643</xdr:colOff>
      <xdr:row>0</xdr:row>
      <xdr:rowOff>90714</xdr:rowOff>
    </xdr:from>
    <xdr:to>
      <xdr:col>16</xdr:col>
      <xdr:colOff>526143</xdr:colOff>
      <xdr:row>3</xdr:row>
      <xdr:rowOff>108857</xdr:rowOff>
    </xdr:to>
    <xdr:sp macro="" textlink="">
      <xdr:nvSpPr>
        <xdr:cNvPr id="55" name="Rectangle 54">
          <a:extLst>
            <a:ext uri="{FF2B5EF4-FFF2-40B4-BE49-F238E27FC236}">
              <a16:creationId xmlns:a16="http://schemas.microsoft.com/office/drawing/2014/main" id="{E6D1DFC3-96DD-4ECE-E6EB-A51C17574D72}"/>
            </a:ext>
          </a:extLst>
        </xdr:cNvPr>
        <xdr:cNvSpPr/>
      </xdr:nvSpPr>
      <xdr:spPr>
        <a:xfrm>
          <a:off x="81643" y="90714"/>
          <a:ext cx="10169071" cy="562429"/>
        </a:xfrm>
        <a:prstGeom prst="rect">
          <a:avLst/>
        </a:prstGeom>
        <a:effectLst>
          <a:glow rad="635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a:latin typeface="Algerian" panose="04020705040A02060702" pitchFamily="82" charset="0"/>
            </a:rPr>
            <a:t>E-COMMERCE SALES</a:t>
          </a:r>
          <a:r>
            <a:rPr lang="en-US" sz="2800" baseline="0">
              <a:latin typeface="Algerian" panose="04020705040A02060702" pitchFamily="82" charset="0"/>
            </a:rPr>
            <a:t> ANALYSIS</a:t>
          </a:r>
          <a:r>
            <a:rPr lang="en-US" sz="2800">
              <a:latin typeface="Algerian" panose="04020705040A02060702" pitchFamily="82" charset="0"/>
            </a:rPr>
            <a:t> DASHBOARD</a:t>
          </a:r>
        </a:p>
      </xdr:txBody>
    </xdr:sp>
    <xdr:clientData/>
  </xdr:twoCellAnchor>
  <xdr:twoCellAnchor editAs="oneCell">
    <xdr:from>
      <xdr:col>0</xdr:col>
      <xdr:colOff>126091</xdr:colOff>
      <xdr:row>4</xdr:row>
      <xdr:rowOff>72573</xdr:rowOff>
    </xdr:from>
    <xdr:to>
      <xdr:col>3</xdr:col>
      <xdr:colOff>571499</xdr:colOff>
      <xdr:row>12</xdr:row>
      <xdr:rowOff>136072</xdr:rowOff>
    </xdr:to>
    <xdr:pic>
      <xdr:nvPicPr>
        <xdr:cNvPr id="57" name="Picture 56">
          <a:extLst>
            <a:ext uri="{FF2B5EF4-FFF2-40B4-BE49-F238E27FC236}">
              <a16:creationId xmlns:a16="http://schemas.microsoft.com/office/drawing/2014/main" id="{09CF893A-8367-B7D1-1EFB-70580ADD16B8}"/>
            </a:ext>
          </a:extLst>
        </xdr:cNvPr>
        <xdr:cNvPicPr>
          <a:picLocks noChangeAspect="1"/>
        </xdr:cNvPicPr>
      </xdr:nvPicPr>
      <xdr:blipFill>
        <a:blip xmlns:r="http://schemas.openxmlformats.org/officeDocument/2006/relationships" r:embed="rId10"/>
        <a:stretch>
          <a:fillRect/>
        </a:stretch>
      </xdr:blipFill>
      <xdr:spPr>
        <a:xfrm>
          <a:off x="126091" y="798287"/>
          <a:ext cx="2268765" cy="1514928"/>
        </a:xfrm>
        <a:prstGeom prst="rect">
          <a:avLst/>
        </a:prstGeom>
      </xdr:spPr>
    </xdr:pic>
    <xdr:clientData/>
  </xdr:twoCellAnchor>
  <xdr:twoCellAnchor editAs="oneCell">
    <xdr:from>
      <xdr:col>0</xdr:col>
      <xdr:colOff>178594</xdr:colOff>
      <xdr:row>24</xdr:row>
      <xdr:rowOff>89298</xdr:rowOff>
    </xdr:from>
    <xdr:to>
      <xdr:col>3</xdr:col>
      <xdr:colOff>515938</xdr:colOff>
      <xdr:row>32</xdr:row>
      <xdr:rowOff>59532</xdr:rowOff>
    </xdr:to>
    <xdr:pic>
      <xdr:nvPicPr>
        <xdr:cNvPr id="62" name="Picture 61">
          <a:extLst>
            <a:ext uri="{FF2B5EF4-FFF2-40B4-BE49-F238E27FC236}">
              <a16:creationId xmlns:a16="http://schemas.microsoft.com/office/drawing/2014/main" id="{1197135F-F342-F421-5686-38B431B775A8}"/>
            </a:ext>
          </a:extLst>
        </xdr:cNvPr>
        <xdr:cNvPicPr>
          <a:picLocks noChangeAspect="1"/>
        </xdr:cNvPicPr>
      </xdr:nvPicPr>
      <xdr:blipFill>
        <a:blip xmlns:r="http://schemas.openxmlformats.org/officeDocument/2006/relationships" r:embed="rId11"/>
        <a:stretch>
          <a:fillRect/>
        </a:stretch>
      </xdr:blipFill>
      <xdr:spPr>
        <a:xfrm>
          <a:off x="178594" y="4613673"/>
          <a:ext cx="2153047" cy="14783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3.67009965278" createdVersion="8" refreshedVersion="8" minRefreshableVersion="3" recordCount="1326" xr:uid="{AE4B7243-DAC4-41EA-9F98-A240EE369DBD}">
  <cacheSource type="worksheet">
    <worksheetSource name="orders_desnormalizado_prueba_selected_columns"/>
  </cacheSource>
  <cacheFields count="15">
    <cacheField name="order_id" numFmtId="0">
      <sharedItems count="1313">
        <s v="O00001"/>
        <s v="O00002"/>
        <s v="O00003"/>
        <s v="O00004"/>
        <s v="O00005"/>
        <s v="O00006"/>
        <s v="O00007"/>
        <s v="O00008"/>
        <s v="O00009"/>
        <s v="O00010"/>
        <s v="O00011"/>
        <s v="O00012"/>
        <s v="O00013"/>
        <s v="O00014"/>
        <s v="O00015"/>
        <s v="O00016"/>
        <s v="O00017"/>
        <s v="O00018"/>
        <s v="O00019"/>
        <s v="O00020"/>
        <s v="O00021"/>
        <s v="O00022"/>
        <s v="O00023"/>
        <s v="O00024"/>
        <s v="O00025"/>
        <s v="O00026"/>
        <s v="O00027"/>
        <s v="O00028"/>
        <s v="O00029"/>
        <s v="O00030"/>
        <s v="O00031"/>
        <s v="O00032"/>
        <s v="O00033"/>
        <s v="O00034"/>
        <s v="O00035"/>
        <s v="O00036"/>
        <s v="O00037"/>
        <s v="O00038"/>
        <s v="O00039"/>
        <s v="O00040"/>
        <s v="O00041"/>
        <s v="O00042"/>
        <s v="O00043"/>
        <s v="O00044"/>
        <s v="O00045"/>
        <s v="O00046"/>
        <s v="O00047"/>
        <s v="O00048"/>
        <s v="O00049"/>
        <s v="O00050"/>
        <s v="O00051"/>
        <s v="O00052"/>
        <s v="O00053"/>
        <s v="O00054"/>
        <s v="O00055"/>
        <s v="O00056"/>
        <s v="O00057"/>
        <s v="O00058"/>
        <s v="O00059"/>
        <s v="O00060"/>
        <s v="O00061"/>
        <s v="O00062"/>
        <s v="O00063"/>
        <s v="O00064"/>
        <s v="O00065"/>
        <s v="O00066"/>
        <s v="O00067"/>
        <s v="O00068"/>
        <s v="O00069"/>
        <s v="O00070"/>
        <s v="O00071"/>
        <s v="O00072"/>
        <s v="O00073"/>
        <s v="O00074"/>
        <s v="O00075"/>
        <s v="O00076"/>
        <s v="O00077"/>
        <s v="O00078"/>
        <s v="O00079"/>
        <s v="O00080"/>
        <s v="O00081"/>
        <s v="O00082"/>
        <s v="O00083"/>
        <s v="O00084"/>
        <s v="O00085"/>
        <s v="O00086"/>
        <s v="O00087"/>
        <s v="O00088"/>
        <s v="O00089"/>
        <s v="O00090"/>
        <s v="O00091"/>
        <s v="O00092"/>
        <s v="O00093"/>
        <s v="O00094"/>
        <s v="O00095"/>
        <s v="O00096"/>
        <s v="O00097"/>
        <s v="O00098"/>
        <s v="O00099"/>
        <s v="O00100"/>
        <s v="O00101"/>
        <s v="O00102"/>
        <s v="O00103"/>
        <s v="O00104"/>
        <s v="O00105"/>
        <s v="O00106"/>
        <s v="O00107"/>
        <s v="O00108"/>
        <s v="O00109"/>
        <s v="O00110"/>
        <s v="O00111"/>
        <s v="O00112"/>
        <s v="O00113"/>
        <s v="O00114"/>
        <s v="O00115"/>
        <s v="O00116"/>
        <s v="O00117"/>
        <s v="O00118"/>
        <s v="O00119"/>
        <s v="O00120"/>
        <s v="O00121"/>
        <s v="O00122"/>
        <s v="O00123"/>
        <s v="O00124"/>
        <s v="O00125"/>
        <s v="O00126"/>
        <s v="O00127"/>
        <s v="O00128"/>
        <s v="O00129"/>
        <s v="O00130"/>
        <s v="O00131"/>
        <s v="O00132"/>
        <s v="O00133"/>
        <s v="O00134"/>
        <s v="O00135"/>
        <s v="O00136"/>
        <s v="O00137"/>
        <s v="O00138"/>
        <s v="O00139"/>
        <s v="O00140"/>
        <s v="O00141"/>
        <s v="O00142"/>
        <s v="O00143"/>
        <s v="O00144"/>
        <s v="O00145"/>
        <s v="O00146"/>
        <s v="O00147"/>
        <s v="O00148"/>
        <s v="O00149"/>
        <s v="O00150"/>
        <s v="O00151"/>
        <s v="O00152"/>
        <s v="O00153"/>
        <s v="O00154"/>
        <s v="O00155"/>
        <s v="O00156"/>
        <s v="O00157"/>
        <s v="O00158"/>
        <s v="O00159"/>
        <s v="O00160"/>
        <s v="O00161"/>
        <s v="O00162"/>
        <s v="O00163"/>
        <s v="O00164"/>
        <s v="O00165"/>
        <s v="O00166"/>
        <s v="O00167"/>
        <s v="O00168"/>
        <s v="O00169"/>
        <s v="O00170"/>
        <s v="O00171"/>
        <s v="O00172"/>
        <s v="O00173"/>
        <s v="O00174"/>
        <s v="O00175"/>
        <s v="O00176"/>
        <s v="O00177"/>
        <s v="O00178"/>
        <s v="O00179"/>
        <s v="O00180"/>
        <s v="O00181"/>
        <s v="O00182"/>
        <s v="O00183"/>
        <s v="O00184"/>
        <s v="O00185"/>
        <s v="O00186"/>
        <s v="O00187"/>
        <s v="O00188"/>
        <s v="O00189"/>
        <s v="O00190"/>
        <s v="O00191"/>
        <s v="O00192"/>
        <s v="O00193"/>
        <s v="O00194"/>
        <s v="O00195"/>
        <s v="O00196"/>
        <s v="O00197"/>
        <s v="O00198"/>
        <s v="O00199"/>
        <s v="O00200"/>
        <s v="O00201"/>
        <s v="O00202"/>
        <s v="O00203"/>
        <s v="O00204"/>
        <s v="O00205"/>
        <s v="O00206"/>
        <s v="O00207"/>
        <s v="O00208"/>
        <s v="O00209"/>
        <s v="O00210"/>
        <s v="O00211"/>
        <s v="O00212"/>
        <s v="O00213"/>
        <s v="O00214"/>
        <s v="O00215"/>
        <s v="O00216"/>
        <s v="O00217"/>
        <s v="O00218"/>
        <s v="O00219"/>
        <s v="O00220"/>
        <s v="O00221"/>
        <s v="O00222"/>
        <s v="O00223"/>
        <s v="O00224"/>
        <s v="O00225"/>
        <s v="O00226"/>
        <s v="O00227"/>
        <s v="O00228"/>
        <s v="O00229"/>
        <s v="O00230"/>
        <s v="O00231"/>
        <s v="O00232"/>
        <s v="O00233"/>
        <s v="O00234"/>
        <s v="O00235"/>
        <s v="O00236"/>
        <s v="O00237"/>
        <s v="O00238"/>
        <s v="O00239"/>
        <s v="O00240"/>
        <s v="O00241"/>
        <s v="O00242"/>
        <s v="O00243"/>
        <s v="O00244"/>
        <s v="O00245"/>
        <s v="O00246"/>
        <s v="O00247"/>
        <s v="O00248"/>
        <s v="O00249"/>
        <s v="O00250"/>
        <s v="O00251"/>
        <s v="O00252"/>
        <s v="O00253"/>
        <s v="O00254"/>
        <s v="O00255"/>
        <s v="O00256"/>
        <s v="O00257"/>
        <s v="O00258"/>
        <s v="O00259"/>
        <s v="O00260"/>
        <s v="O00261"/>
        <s v="O00262"/>
        <s v="O00263"/>
        <s v="O00264"/>
        <s v="O00265"/>
        <s v="O00266"/>
        <s v="O00267"/>
        <s v="O00268"/>
        <s v="O00269"/>
        <s v="O00270"/>
        <s v="O00271"/>
        <s v="O00272"/>
        <s v="O00273"/>
        <s v="O00274"/>
        <s v="O00275"/>
        <s v="O00276"/>
        <s v="O00277"/>
        <s v="O00278"/>
        <s v="O00279"/>
        <s v="O00280"/>
        <s v="O00281"/>
        <s v="O00282"/>
        <s v="O00283"/>
        <s v="O00284"/>
        <s v="O00285"/>
        <s v="O00286"/>
        <s v="O00287"/>
        <s v="O00288"/>
        <s v="O00289"/>
        <s v="O00290"/>
        <s v="O00291"/>
        <s v="O00292"/>
        <s v="O00293"/>
        <s v="O00294"/>
        <s v="O00295"/>
        <s v="O00296"/>
        <s v="O00297"/>
        <s v="O00298"/>
        <s v="O00299"/>
        <s v="O00300"/>
        <s v="O00301"/>
        <s v="O00302"/>
        <s v="O00303"/>
        <s v="O00304"/>
        <s v="O00305"/>
        <s v="O00306"/>
        <s v="O00307"/>
        <s v="O00308"/>
        <s v="O00309"/>
        <s v="O00310"/>
        <s v="O00311"/>
        <s v="O00312"/>
        <s v="O00313"/>
        <s v="O00314"/>
        <s v="O00315"/>
        <s v="O00316"/>
        <s v="O00317"/>
        <s v="O00318"/>
        <s v="O00319"/>
        <s v="O00320"/>
        <s v="O00321"/>
        <s v="O00322"/>
        <s v="O00323"/>
        <s v="O00324"/>
        <s v="O00325"/>
        <s v="O00326"/>
        <s v="O00327"/>
        <s v="O00328"/>
        <s v="O00329"/>
        <s v="O00330"/>
        <s v="O00331"/>
        <s v="O00332"/>
        <s v="O00333"/>
        <s v="O00334"/>
        <s v="O00335"/>
        <s v="O00336"/>
        <s v="O00337"/>
        <s v="O00338"/>
        <s v="O00339"/>
        <s v="O00340"/>
        <s v="O00341"/>
        <s v="O00342"/>
        <s v="O00343"/>
        <s v="O00344"/>
        <s v="O00345"/>
        <s v="O00346"/>
        <s v="O00347"/>
        <s v="O00348"/>
        <s v="O00349"/>
        <s v="O00350"/>
        <s v="O00351"/>
        <s v="O00352"/>
        <s v="O00353"/>
        <s v="O00354"/>
        <s v="O00355"/>
        <s v="O00356"/>
        <s v="O00357"/>
        <s v="O00358"/>
        <s v="O00359"/>
        <s v="O00360"/>
        <s v="O00361"/>
        <s v="O00362"/>
        <s v="O00363"/>
        <s v="O00364"/>
        <s v="O00365"/>
        <s v="O00366"/>
        <s v="O00367"/>
        <s v="O00368"/>
        <s v="O00369"/>
        <s v="O00370"/>
        <s v="O00371"/>
        <s v="O00372"/>
        <s v="O00373"/>
        <s v="O00374"/>
        <s v="O00375"/>
        <s v="O00376"/>
        <s v="O00377"/>
        <s v="O00378"/>
        <s v="O00379"/>
        <s v="O00380"/>
        <s v="O00381"/>
        <s v="O00382"/>
        <s v="O00383"/>
        <s v="O00384"/>
        <s v="O00385"/>
        <s v="O00386"/>
        <s v="O00387"/>
        <s v="O00388"/>
        <s v="O00389"/>
        <s v="O00390"/>
        <s v="O00391"/>
        <s v="O00392"/>
        <s v="O00393"/>
        <s v="O00394"/>
        <s v="O00395"/>
        <s v="O00396"/>
        <s v="O00397"/>
        <s v="O00398"/>
        <s v="O00399"/>
        <s v="O00400"/>
        <s v="O00401"/>
        <s v="O00402"/>
        <s v="O00403"/>
        <s v="O00404"/>
        <s v="O00405"/>
        <s v="O00406"/>
        <s v="O00407"/>
        <s v="O00408"/>
        <s v="O00409"/>
        <s v="O00410"/>
        <s v="O00411"/>
        <s v="O00412"/>
        <s v="O00413"/>
        <s v="O00414"/>
        <s v="O00415"/>
        <s v="O00416"/>
        <s v="O00417"/>
        <s v="O00418"/>
        <s v="O00419"/>
        <s v="O00420"/>
        <s v="O00421"/>
        <s v="O00422"/>
        <s v="O00423"/>
        <s v="O00424"/>
        <s v="O00425"/>
        <s v="O00426"/>
        <s v="O00427"/>
        <s v="O00428"/>
        <s v="O00429"/>
        <s v="O00430"/>
        <s v="O00431"/>
        <s v="O00432"/>
        <s v="O00433"/>
        <s v="O00434"/>
        <s v="O00435"/>
        <s v="O00436"/>
        <s v="O00437"/>
        <s v="O00438"/>
        <s v="O00439"/>
        <s v="O00440"/>
        <s v="O00441"/>
        <s v="O00442"/>
        <s v="O00443"/>
        <s v="O00444"/>
        <s v="O00445"/>
        <s v="O00446"/>
        <s v="O00447"/>
        <s v="O00448"/>
        <s v="O00449"/>
        <s v="O00450"/>
        <s v="O00451"/>
        <s v="O00452"/>
        <s v="O00453"/>
        <s v="O00454"/>
        <s v="O00455"/>
        <s v="O00456"/>
        <s v="O00457"/>
        <s v="O00458"/>
        <s v="O00459"/>
        <s v="O00460"/>
        <s v="O00461"/>
        <s v="O00462"/>
        <s v="O00463"/>
        <s v="O00464"/>
        <s v="O00465"/>
        <s v="O00466"/>
        <s v="O00467"/>
        <s v="O00468"/>
        <s v="O00469"/>
        <s v="O00470"/>
        <s v="O00471"/>
        <s v="O00472"/>
        <s v="O00473"/>
        <s v="O00474"/>
        <s v="O00475"/>
        <s v="O00476"/>
        <s v="O00477"/>
        <s v="O00478"/>
        <s v="O00479"/>
        <s v="O00480"/>
        <s v="O00481"/>
        <s v="O00482"/>
        <s v="O00483"/>
        <s v="O00484"/>
        <s v="O00485"/>
        <s v="O00486"/>
        <s v="O00487"/>
        <s v="O00488"/>
        <s v="O00489"/>
        <s v="O00490"/>
        <s v="O00491"/>
        <s v="O00492"/>
        <s v="O00493"/>
        <s v="O00494"/>
        <s v="O00495"/>
        <s v="O00496"/>
        <s v="O00497"/>
        <s v="O00498"/>
        <s v="O00499"/>
        <s v="O00500"/>
        <s v="O00501"/>
        <s v="O00502"/>
        <s v="O00503"/>
        <s v="O00504"/>
        <s v="O00505"/>
        <s v="O00506"/>
        <s v="O00507"/>
        <s v="O00508"/>
        <s v="O00509"/>
        <s v="O00510"/>
        <s v="O00511"/>
        <s v="O00512"/>
        <s v="O00513"/>
        <s v="O00514"/>
        <s v="O00515"/>
        <s v="O00516"/>
        <s v="O00517"/>
        <s v="O00518"/>
        <s v="O00519"/>
        <s v="O00520"/>
        <s v="O00521"/>
        <s v="O00522"/>
        <s v="O00523"/>
        <s v="O00524"/>
        <s v="O00525"/>
        <s v="O00526"/>
        <s v="O00527"/>
        <s v="O00528"/>
        <s v="O00529"/>
        <s v="O00530"/>
        <s v="O00531"/>
        <s v="O00532"/>
        <s v="O00533"/>
        <s v="O00534"/>
        <s v="O00535"/>
        <s v="O00536"/>
        <s v="O00537"/>
        <s v="O00538"/>
        <s v="O00539"/>
        <s v="O00540"/>
        <s v="O00541"/>
        <s v="O00542"/>
        <s v="O00543"/>
        <s v="O00544"/>
        <s v="O00545"/>
        <s v="O00546"/>
        <s v="O00547"/>
        <s v="O00548"/>
        <s v="O00549"/>
        <s v="O00550"/>
        <s v="O00551"/>
        <s v="O00552"/>
        <s v="O00553"/>
        <s v="O00554"/>
        <s v="O00555"/>
        <s v="O00556"/>
        <s v="O00557"/>
        <s v="O00558"/>
        <s v="O00559"/>
        <s v="O00560"/>
        <s v="O00561"/>
        <s v="O00562"/>
        <s v="O00563"/>
        <s v="O00564"/>
        <s v="O00565"/>
        <s v="O00566"/>
        <s v="O00567"/>
        <s v="O00568"/>
        <s v="O00569"/>
        <s v="O00570"/>
        <s v="O00571"/>
        <s v="O00572"/>
        <s v="O00573"/>
        <s v="O00574"/>
        <s v="O00575"/>
        <s v="O00576"/>
        <s v="O00577"/>
        <s v="O00578"/>
        <s v="O00579"/>
        <s v="O00580"/>
        <s v="O00581"/>
        <s v="O00582"/>
        <s v="O00583"/>
        <s v="O00584"/>
        <s v="O00585"/>
        <s v="O00586"/>
        <s v="O00587"/>
        <s v="O00588"/>
        <s v="O00589"/>
        <s v="O00590"/>
        <s v="O00591"/>
        <s v="O00592"/>
        <s v="O00593"/>
        <s v="O00594"/>
        <s v="O00595"/>
        <s v="O00596"/>
        <s v="O00597"/>
        <s v="O00598"/>
        <s v="O00599"/>
        <s v="O00600"/>
        <s v="O00601"/>
        <s v="O00602"/>
        <s v="O00603"/>
        <s v="O00604"/>
        <s v="O00605"/>
        <s v="O00606"/>
        <s v="O00607"/>
        <s v="O00608"/>
        <s v="O00609"/>
        <s v="O00610"/>
        <s v="O00611"/>
        <s v="O00612"/>
        <s v="O00613"/>
        <s v="O00614"/>
        <s v="O00615"/>
        <s v="O00616"/>
        <s v="O00617"/>
        <s v="O00618"/>
        <s v="O00619"/>
        <s v="O00620"/>
        <s v="O00621"/>
        <s v="O00622"/>
        <s v="O00623"/>
        <s v="O00624"/>
        <s v="O00625"/>
        <s v="O00626"/>
        <s v="O00627"/>
        <s v="O00628"/>
        <s v="O00629"/>
        <s v="O00630"/>
        <s v="O00631"/>
        <s v="O00632"/>
        <s v="O00633"/>
        <s v="O00634"/>
        <s v="O00635"/>
        <s v="O00636"/>
        <s v="O00637"/>
        <s v="O00638"/>
        <s v="O00639"/>
        <s v="O00640"/>
        <s v="O00641"/>
        <s v="O00642"/>
        <s v="O00643"/>
        <s v="O00644"/>
        <s v="O00645"/>
        <s v="O00646"/>
        <s v="O00647"/>
        <s v="O00648"/>
        <s v="O00649"/>
        <s v="O00650"/>
        <s v="O00651"/>
        <s v="O00652"/>
        <s v="O00653"/>
        <s v="O00654"/>
        <s v="O00655"/>
        <s v="O00656"/>
        <s v="O00657"/>
        <s v="O00658"/>
        <s v="O00659"/>
        <s v="O00660"/>
        <s v="O00661"/>
        <s v="O00662"/>
        <s v="O00663"/>
        <s v="O00664"/>
        <s v="O00665"/>
        <s v="O00666"/>
        <s v="O00667"/>
        <s v="O00668"/>
        <s v="O00669"/>
        <s v="O00670"/>
        <s v="O00671"/>
        <s v="O00672"/>
        <s v="O00673"/>
        <s v="O00674"/>
        <s v="O00675"/>
        <s v="O00676"/>
        <s v="O00677"/>
        <s v="O00678"/>
        <s v="O00679"/>
        <s v="O00680"/>
        <s v="O00681"/>
        <s v="O00682"/>
        <s v="O00683"/>
        <s v="O00684"/>
        <s v="O00685"/>
        <s v="O00686"/>
        <s v="O00687"/>
        <s v="O00688"/>
        <s v="O00689"/>
        <s v="O00690"/>
        <s v="O00691"/>
        <s v="O00692"/>
        <s v="O00693"/>
        <s v="O00694"/>
        <s v="O00695"/>
        <s v="O00696"/>
        <s v="O00697"/>
        <s v="O00698"/>
        <s v="O00699"/>
        <s v="O00700"/>
        <s v="O00701"/>
        <s v="O00702"/>
        <s v="O00703"/>
        <s v="O00704"/>
        <s v="O00705"/>
        <s v="O00706"/>
        <s v="O00707"/>
        <s v="O00708"/>
        <s v="O00709"/>
        <s v="O00710"/>
        <s v="O00711"/>
        <s v="O00712"/>
        <s v="O00713"/>
        <s v="O00714"/>
        <s v="O00715"/>
        <s v="O00716"/>
        <s v="O00717"/>
        <s v="O00718"/>
        <s v="O00719"/>
        <s v="O00720"/>
        <s v="O00721"/>
        <s v="O00722"/>
        <s v="O00723"/>
        <s v="O00724"/>
        <s v="O00725"/>
        <s v="O00726"/>
        <s v="O00727"/>
        <s v="O00728"/>
        <s v="O00729"/>
        <s v="O00730"/>
        <s v="O00731"/>
        <s v="O00732"/>
        <s v="O00733"/>
        <s v="O00734"/>
        <s v="O00735"/>
        <s v="O00736"/>
        <s v="O00737"/>
        <s v="O00738"/>
        <s v="O00739"/>
        <s v="O00740"/>
        <s v="O00741"/>
        <s v="O00742"/>
        <s v="O00743"/>
        <s v="O00744"/>
        <s v="O00745"/>
        <s v="O00746"/>
        <s v="O00747"/>
        <s v="O00748"/>
        <s v="O00749"/>
        <s v="O00750"/>
        <s v="O00751"/>
        <s v="O00752"/>
        <s v="O00753"/>
        <s v="O00754"/>
        <s v="O00755"/>
        <s v="O00756"/>
        <s v="O00757"/>
        <s v="O00758"/>
        <s v="O00759"/>
        <s v="O00760"/>
        <s v="O00761"/>
        <s v="O00762"/>
        <s v="O00763"/>
        <s v="O00764"/>
        <s v="O00765"/>
        <s v="O00766"/>
        <s v="O00767"/>
        <s v="O00768"/>
        <s v="O00769"/>
        <s v="O00770"/>
        <s v="O00771"/>
        <s v="O00772"/>
        <s v="O00773"/>
        <s v="O00774"/>
        <s v="O00775"/>
        <s v="O00776"/>
        <s v="O00777"/>
        <s v="O00778"/>
        <s v="O00779"/>
        <s v="O00780"/>
        <s v="O00781"/>
        <s v="O00782"/>
        <s v="O00783"/>
        <s v="O00784"/>
        <s v="O00785"/>
        <s v="O00786"/>
        <s v="O00787"/>
        <s v="O00788"/>
        <s v="O00789"/>
        <s v="O00790"/>
        <s v="O00791"/>
        <s v="O00792"/>
        <s v="O00793"/>
        <s v="O00794"/>
        <s v="O00795"/>
        <s v="O00796"/>
        <s v="O00797"/>
        <s v="O00798"/>
        <s v="O00799"/>
        <s v="O00800"/>
        <s v="O00801"/>
        <s v="O00802"/>
        <s v="O00803"/>
        <s v="O00804"/>
        <s v="O00805"/>
        <s v="O00806"/>
        <s v="O00807"/>
        <s v="O00808"/>
        <s v="O00809"/>
        <s v="O00810"/>
        <s v="O00811"/>
        <s v="O00812"/>
        <s v="O00813"/>
        <s v="O00814"/>
        <s v="O00815"/>
        <s v="O00816"/>
        <s v="O00817"/>
        <s v="O00818"/>
        <s v="O00819"/>
        <s v="O00820"/>
        <s v="O00821"/>
        <s v="O00822"/>
        <s v="O00823"/>
        <s v="O00824"/>
        <s v="O00825"/>
        <s v="O00826"/>
        <s v="O00827"/>
        <s v="O00828"/>
        <s v="O00829"/>
        <s v="O00830"/>
        <s v="O00831"/>
        <s v="O00832"/>
        <s v="O00833"/>
        <s v="O00834"/>
        <s v="O00835"/>
        <s v="O00836"/>
        <s v="O00837"/>
        <s v="O00838"/>
        <s v="O00839"/>
        <s v="O00840"/>
        <s v="O00841"/>
        <s v="O00842"/>
        <s v="O00843"/>
        <s v="O00844"/>
        <s v="O00845"/>
        <s v="O00846"/>
        <s v="O00847"/>
        <s v="O00848"/>
        <s v="O00849"/>
        <s v="O00850"/>
        <s v="O00851"/>
        <s v="O00852"/>
        <s v="O00853"/>
        <s v="O00854"/>
        <s v="O00855"/>
        <s v="O00856"/>
        <s v="O00857"/>
        <s v="O00858"/>
        <s v="O00859"/>
        <s v="O00860"/>
        <s v="O00861"/>
        <s v="O00862"/>
        <s v="O00863"/>
        <s v="O00864"/>
        <s v="O00865"/>
        <s v="O00866"/>
        <s v="O00867"/>
        <s v="O00868"/>
        <s v="O00869"/>
        <s v="O00870"/>
        <s v="O00871"/>
        <s v="O00872"/>
        <s v="O00873"/>
        <s v="O00874"/>
        <s v="O00875"/>
        <s v="O00876"/>
        <s v="O00877"/>
        <s v="O00878"/>
        <s v="O00879"/>
        <s v="O00880"/>
        <s v="O00881"/>
        <s v="O00882"/>
        <s v="O00883"/>
        <s v="O00884"/>
        <s v="O00885"/>
        <s v="O00886"/>
        <s v="O00887"/>
        <s v="O00888"/>
        <s v="O00889"/>
        <s v="O00890"/>
        <s v="O00891"/>
        <s v="O00892"/>
        <s v="O00893"/>
        <s v="O00894"/>
        <s v="O00895"/>
        <s v="O00896"/>
        <s v="O00897"/>
        <s v="O00898"/>
        <s v="O00899"/>
        <s v="O00900"/>
        <s v="O00901"/>
        <s v="O00902"/>
        <s v="O00903"/>
        <s v="O00904"/>
        <s v="O00905"/>
        <s v="O00906"/>
        <s v="O00907"/>
        <s v="O00908"/>
        <s v="O00909"/>
        <s v="O00910"/>
        <s v="O00911"/>
        <s v="O00912"/>
        <s v="O00913"/>
        <s v="O00914"/>
        <s v="O00915"/>
        <s v="O00916"/>
        <s v="O00917"/>
        <s v="O00918"/>
        <s v="O00919"/>
        <s v="O00920"/>
        <s v="O00921"/>
        <s v="O00922"/>
        <s v="O00923"/>
        <s v="O00924"/>
        <s v="O00925"/>
        <s v="O00926"/>
        <s v="O00927"/>
        <s v="O00928"/>
        <s v="O00929"/>
        <s v="O00930"/>
        <s v="O00931"/>
        <s v="O00932"/>
        <s v="O00933"/>
        <s v="O00934"/>
        <s v="O00935"/>
        <s v="O00936"/>
        <s v="O00937"/>
        <s v="O00938"/>
        <s v="O00939"/>
        <s v="O00940"/>
        <s v="O00941"/>
        <s v="O00942"/>
        <s v="O00943"/>
        <s v="O00944"/>
        <s v="O00945"/>
        <s v="O00946"/>
        <s v="O00947"/>
        <s v="O00948"/>
        <s v="O00949"/>
        <s v="O00950"/>
        <s v="O00951"/>
        <s v="O00952"/>
        <s v="O00953"/>
        <s v="O00954"/>
        <s v="O00955"/>
        <s v="O00956"/>
        <s v="O00957"/>
        <s v="O00958"/>
        <s v="O00959"/>
        <s v="O00960"/>
        <s v="O00961"/>
        <s v="O00962"/>
        <s v="O00963"/>
        <s v="O00964"/>
        <s v="O00965"/>
        <s v="O00966"/>
        <s v="O00967"/>
        <s v="O00968"/>
        <s v="O00969"/>
        <s v="O00970"/>
        <s v="O00971"/>
        <s v="O00972"/>
        <s v="O00973"/>
        <s v="O00974"/>
        <s v="O00975"/>
        <s v="O00976"/>
        <s v="O00977"/>
        <s v="O00978"/>
        <s v="O00979"/>
        <s v="O00980"/>
        <s v="O00981"/>
        <s v="O00982"/>
        <s v="O00983"/>
        <s v="O00984"/>
        <s v="O00985"/>
        <s v="O00986"/>
        <s v="O00987"/>
        <s v="O00988"/>
        <s v="O00989"/>
        <s v="O00990"/>
        <s v="O00991"/>
        <s v="O00992"/>
        <s v="O00993"/>
        <s v="O00994"/>
        <s v="O00995"/>
        <s v="O00996"/>
        <s v="O00997"/>
        <s v="O00998"/>
        <s v="O00999"/>
        <s v="O01000"/>
        <s v="O01001"/>
        <s v="O01002"/>
        <s v="O01003"/>
        <s v="O01004"/>
        <s v="O01005"/>
        <s v="O01006"/>
        <s v="O01007"/>
        <s v="O01008"/>
        <s v="O01009"/>
        <s v="O01010"/>
        <s v="O01011"/>
        <s v="O01012"/>
        <s v="O01013"/>
        <s v="O01014"/>
        <s v="O01015"/>
        <s v="O01016"/>
        <s v="O01017"/>
        <s v="O01018"/>
        <s v="O01019"/>
        <s v="O01020"/>
        <s v="O01021"/>
        <s v="O01022"/>
        <s v="O01023"/>
        <s v="O01024"/>
        <s v="O01025"/>
        <s v="O01026"/>
        <s v="O01027"/>
        <s v="O01028"/>
        <s v="O01029"/>
        <s v="O01030"/>
        <s v="O01031"/>
        <s v="O01032"/>
        <s v="O01033"/>
        <s v="O01034"/>
        <s v="O01035"/>
        <s v="O01036"/>
        <s v="O01037"/>
        <s v="O01038"/>
        <s v="O01039"/>
        <s v="O01040"/>
        <s v="O01041"/>
        <s v="O01042"/>
        <s v="O01043"/>
        <s v="O01044"/>
        <s v="O01045"/>
        <s v="O01046"/>
        <s v="O01047"/>
        <s v="O01048"/>
        <s v="O01049"/>
        <s v="O01050"/>
        <s v="O01051"/>
        <s v="O01052"/>
        <s v="O01053"/>
        <s v="O01054"/>
        <s v="O01055"/>
        <s v="O01056"/>
        <s v="O01057"/>
        <s v="O01058"/>
        <s v="O01059"/>
        <s v="O01060"/>
        <s v="O01061"/>
        <s v="O01062"/>
        <s v="O01063"/>
        <s v="O01064"/>
        <s v="O01065"/>
        <s v="O01066"/>
        <s v="O01067"/>
        <s v="O01068"/>
        <s v="O01069"/>
        <s v="O01070"/>
        <s v="O01071"/>
        <s v="O01072"/>
        <s v="O01073"/>
        <s v="O01074"/>
        <s v="O01075"/>
        <s v="O01076"/>
        <s v="O01077"/>
        <s v="O01078"/>
        <s v="O01079"/>
        <s v="O01080"/>
        <s v="O01081"/>
        <s v="O01082"/>
        <s v="O01083"/>
        <s v="O01084"/>
        <s v="O01085"/>
        <s v="O01086"/>
        <s v="O01087"/>
        <s v="O01088"/>
        <s v="O01089"/>
        <s v="O01090"/>
        <s v="O01091"/>
        <s v="O01092"/>
        <s v="O01093"/>
        <s v="O01094"/>
        <s v="O01095"/>
        <s v="O01096"/>
        <s v="O01097"/>
        <s v="O01098"/>
        <s v="O01099"/>
        <s v="O01100"/>
        <s v="O01101"/>
        <s v="O01102"/>
        <s v="O01103"/>
        <s v="O01104"/>
        <s v="O01105"/>
        <s v="O01106"/>
        <s v="O01107"/>
        <s v="O01108"/>
        <s v="O01109"/>
        <s v="O01110"/>
        <s v="O01111"/>
        <s v="O01112"/>
        <s v="O01113"/>
        <s v="O01114"/>
        <s v="O01115"/>
        <s v="O01116"/>
        <s v="O01117"/>
        <s v="O01118"/>
        <s v="O01119"/>
        <s v="O01120"/>
        <s v="O01121"/>
        <s v="O01122"/>
        <s v="O01123"/>
        <s v="O01124"/>
        <s v="O01125"/>
        <s v="O01126"/>
        <s v="O01127"/>
        <s v="O01128"/>
        <s v="O01129"/>
        <s v="O01130"/>
        <s v="O01131"/>
        <s v="O01132"/>
        <s v="O01133"/>
        <s v="O01134"/>
        <s v="O01135"/>
        <s v="O01136"/>
        <s v="O01137"/>
        <s v="O01138"/>
        <s v="O01139"/>
        <s v="O01140"/>
        <s v="O01141"/>
        <s v="O01142"/>
        <s v="O01143"/>
        <s v="O01144"/>
        <s v="O01145"/>
        <s v="O01146"/>
        <s v="O01147"/>
        <s v="O01148"/>
        <s v="O01149"/>
        <s v="O01150"/>
        <s v="O01151"/>
        <s v="O01152"/>
        <s v="O01153"/>
        <s v="O01154"/>
        <s v="O01155"/>
        <s v="O01156"/>
        <s v="O01157"/>
        <s v="O01158"/>
        <s v="O01159"/>
        <s v="O01160"/>
        <s v="O01161"/>
        <s v="O01162"/>
        <s v="O01163"/>
        <s v="O01164"/>
        <s v="O01165"/>
        <s v="O01166"/>
        <s v="O01167"/>
        <s v="O01168"/>
        <s v="O01169"/>
        <s v="O01170"/>
        <s v="O01171"/>
        <s v="O01172"/>
        <s v="O01173"/>
        <s v="O01174"/>
        <s v="O01175"/>
        <s v="O01176"/>
        <s v="O01177"/>
        <s v="O01178"/>
        <s v="O01179"/>
        <s v="O01180"/>
        <s v="O01181"/>
        <s v="O01182"/>
        <s v="O01183"/>
        <s v="O01184"/>
        <s v="O01185"/>
        <s v="O01186"/>
        <s v="O01187"/>
        <s v="O01188"/>
        <s v="O01189"/>
        <s v="O01190"/>
        <s v="O01191"/>
        <s v="O01192"/>
        <s v="O01193"/>
        <s v="O01194"/>
        <s v="O01195"/>
        <s v="O01196"/>
        <s v="O01197"/>
        <s v="O01198"/>
        <s v="O01199"/>
        <s v="O01200"/>
        <s v="O01201"/>
        <s v="O01202"/>
        <s v="O01203"/>
        <s v="O01204"/>
        <s v="O01205"/>
        <s v="O01206"/>
        <s v="O01207"/>
        <s v="O01208"/>
        <s v="O01209"/>
        <s v="O01210"/>
        <s v="O01211"/>
        <s v="O01212"/>
        <s v="O01213"/>
        <s v="O01214"/>
        <s v="O01215"/>
        <s v="O01216"/>
        <s v="O01217"/>
        <s v="O01218"/>
        <s v="O01219"/>
        <s v="O01220"/>
        <s v="O01221"/>
        <s v="O01222"/>
        <s v="O01223"/>
        <s v="O01224"/>
        <s v="O01225"/>
        <s v="O01226"/>
        <s v="O01227"/>
        <s v="O01228"/>
        <s v="O01229"/>
        <s v="O01230"/>
        <s v="O01231"/>
        <s v="O01232"/>
        <s v="O01233"/>
        <s v="O01234"/>
        <s v="O01235"/>
        <s v="O01236"/>
        <s v="O01237"/>
        <s v="O01238"/>
        <s v="O01239"/>
        <s v="O01240"/>
        <s v="O01241"/>
        <s v="O01242"/>
        <s v="O01243"/>
        <s v="O01244"/>
        <s v="O01245"/>
        <s v="O01246"/>
        <s v="O01247"/>
        <s v="O01248"/>
        <s v="O01249"/>
        <s v="O01250"/>
        <s v="O01251"/>
        <s v="O01252"/>
        <s v="O01253"/>
        <s v="O01254"/>
        <s v="O01255"/>
        <s v="O01256"/>
        <s v="O01257"/>
        <s v="O01258"/>
        <s v="O01259"/>
        <s v="O01260"/>
        <s v="O01261"/>
        <s v="O01262"/>
        <s v="O01263"/>
        <s v="O01264"/>
        <s v="O01265"/>
        <s v="O01266"/>
        <s v="O01267"/>
        <s v="O01268"/>
        <s v="O01269"/>
        <s v="O01270"/>
        <s v="O01271"/>
        <s v="O01272"/>
        <s v="O01273"/>
        <s v="O01274"/>
        <s v="O01275"/>
        <s v="O01276"/>
        <s v="O01277"/>
        <s v="O01278"/>
        <s v="O01279"/>
        <s v="O01280"/>
        <s v="O01281"/>
        <s v="O01282"/>
        <s v="O01283"/>
        <s v="O01284"/>
        <s v="O01285"/>
        <s v="O01286"/>
        <s v="O01287"/>
        <s v="O01288"/>
        <s v="O01289"/>
        <s v="O01290"/>
        <s v="O01291"/>
        <s v="O01292"/>
        <s v="O01293"/>
        <s v="O01294"/>
        <s v="O01295"/>
        <s v="O01296"/>
        <s v="O01297"/>
        <s v="O01298"/>
        <s v="O01299"/>
        <s v="O01300"/>
        <s v="O01301"/>
        <s v="O01302"/>
        <s v="O01303"/>
        <s v="O01304"/>
        <s v="O01305"/>
        <s v="O01306"/>
        <s v="O01307"/>
        <s v="O01308"/>
        <s v="O01309"/>
        <s v="O01310"/>
        <s v="O01311"/>
        <s v="O01312"/>
        <s v="O01313"/>
      </sharedItems>
    </cacheField>
    <cacheField name="quantity" numFmtId="0">
      <sharedItems containsSemiMixedTypes="0" containsString="0" containsNumber="1" containsInteger="1" minValue="1" maxValue="3" count="3">
        <n v="2"/>
        <n v="1"/>
        <n v="3"/>
      </sharedItems>
    </cacheField>
    <cacheField name="unit_price" numFmtId="0">
      <sharedItems containsSemiMixedTypes="0" containsString="0" containsNumber="1" minValue="16.989999999999998" maxValue="34.99" count="6">
        <n v="21.99"/>
        <n v="30.99"/>
        <n v="16.989999999999998"/>
        <n v="27.99"/>
        <n v="34.99"/>
        <n v="18.989999999999998"/>
      </sharedItems>
    </cacheField>
    <cacheField name="total_price" numFmtId="0">
      <sharedItems containsSemiMixedTypes="0" containsString="0" containsNumber="1" minValue="16.989999999999998" maxValue="84.97" count="307">
        <n v="37.979999999999997"/>
        <n v="53.78"/>
        <n v="21.99"/>
        <n v="29.18"/>
        <n v="16.989999999999998"/>
        <n v="27.99"/>
        <n v="30.99"/>
        <n v="84.73"/>
        <n v="18.989999999999998"/>
        <n v="34.99"/>
        <n v="52.48"/>
        <n v="66.88"/>
        <n v="32.78"/>
        <n v="40.18"/>
        <n v="45.28"/>
        <n v="74.53"/>
        <n v="48.38"/>
        <n v="60.98"/>
        <n v="38.130000000000003"/>
        <n v="40.049999999999997"/>
        <n v="48.81"/>
        <n v="66.599999999999994"/>
        <n v="40.950000000000003"/>
        <n v="74.900000000000006"/>
        <n v="73.91"/>
        <n v="37.68"/>
        <n v="53.13"/>
        <n v="67.510000000000005"/>
        <n v="60.26"/>
        <n v="73.73"/>
        <n v="53.11"/>
        <n v="84"/>
        <n v="73.64"/>
        <n v="48.54"/>
        <n v="67.92"/>
        <n v="60.06"/>
        <n v="32.83"/>
        <n v="52.09"/>
        <n v="29.64"/>
        <n v="82.45"/>
        <n v="38.020000000000003"/>
        <n v="44.82"/>
        <n v="74.33"/>
        <n v="67.569999999999993"/>
        <n v="73.459999999999994"/>
        <n v="48.29"/>
        <n v="52.35"/>
        <n v="53.58"/>
        <n v="73.31"/>
        <n v="37.85"/>
        <n v="29.24"/>
        <n v="60.08"/>
        <n v="29.59"/>
        <n v="54.2"/>
        <n v="32.61"/>
        <n v="83.83"/>
        <n v="51.88"/>
        <n v="48.65"/>
        <n v="45.77"/>
        <n v="38"/>
        <n v="74.959999999999994"/>
        <n v="29.07"/>
        <n v="74.83"/>
        <n v="32.479999999999997"/>
        <n v="44.87"/>
        <n v="29.53"/>
        <n v="53.27"/>
        <n v="66.67"/>
        <n v="29.3"/>
        <n v="84.13"/>
        <n v="40.08"/>
        <n v="61.01"/>
        <n v="74.849999999999994"/>
        <n v="83.1"/>
        <n v="29.48"/>
        <n v="53.26"/>
        <n v="45.7"/>
        <n v="29.34"/>
        <n v="32.729999999999997"/>
        <n v="83.88"/>
        <n v="84.2"/>
        <n v="61.06"/>
        <n v="60.13"/>
        <n v="29.66"/>
        <n v="38.18"/>
        <n v="83.72"/>
        <n v="45.85"/>
        <n v="67.849999999999994"/>
        <n v="52.43"/>
        <n v="38.36"/>
        <n v="48.16"/>
        <n v="59.9"/>
        <n v="84.67"/>
        <n v="45.49"/>
        <n v="52.41"/>
        <n v="53.07"/>
        <n v="29.62"/>
        <n v="83.12"/>
        <n v="60.35"/>
        <n v="33.119999999999997"/>
        <n v="82.76"/>
        <n v="33.06"/>
        <n v="53.03"/>
        <n v="38.07"/>
        <n v="40.67"/>
        <n v="32.92"/>
        <n v="54.21"/>
        <n v="51.96"/>
        <n v="41.04"/>
        <n v="44.74"/>
        <n v="45.51"/>
        <n v="32.71"/>
        <n v="40.15"/>
        <n v="73.5"/>
        <n v="53.45"/>
        <n v="45.58"/>
        <n v="48.72"/>
        <n v="29.42"/>
        <n v="60.76"/>
        <n v="32.86"/>
        <n v="66.989999999999995"/>
        <n v="74.650000000000006"/>
        <n v="44.9"/>
        <n v="37.69"/>
        <n v="51.92"/>
        <n v="45.8"/>
        <n v="47.87"/>
        <n v="74.790000000000006"/>
        <n v="33.11"/>
        <n v="73.569999999999993"/>
        <n v="74.11"/>
        <n v="82.97"/>
        <n v="82.43"/>
        <n v="66.290000000000006"/>
        <n v="60.43"/>
        <n v="66.930000000000007"/>
        <n v="45.88"/>
        <n v="73.489999999999995"/>
        <n v="52.04"/>
        <n v="38.479999999999997"/>
        <n v="65.930000000000007"/>
        <n v="83.71"/>
        <n v="53.68"/>
        <n v="53.56"/>
        <n v="32.880000000000003"/>
        <n v="48.82"/>
        <n v="67.36"/>
        <n v="73.75"/>
        <n v="45.99"/>
        <n v="60.99"/>
        <n v="53.82"/>
        <n v="29.1"/>
        <n v="32.840000000000003"/>
        <n v="67.209999999999994"/>
        <n v="32.950000000000003"/>
        <n v="40.33"/>
        <n v="38.11"/>
        <n v="48.96"/>
        <n v="74.67"/>
        <n v="52.8"/>
        <n v="73.69"/>
        <n v="53.16"/>
        <n v="52.37"/>
        <n v="61.13"/>
        <n v="83.78"/>
        <n v="32.979999999999997"/>
        <n v="74.48"/>
        <n v="33"/>
        <n v="33.229999999999997"/>
        <n v="44.89"/>
        <n v="40.86"/>
        <n v="61.04"/>
        <n v="45.36"/>
        <n v="48.13"/>
        <n v="52.26"/>
        <n v="67.010000000000005"/>
        <n v="60.34"/>
        <n v="44.92"/>
        <n v="61.11"/>
        <n v="52.63"/>
        <n v="65.92"/>
        <n v="73.27"/>
        <n v="41.23"/>
        <n v="83.89"/>
        <n v="54.18"/>
        <n v="29.71"/>
        <n v="61.09"/>
        <n v="29.26"/>
        <n v="67.02"/>
        <n v="73.319999999999993"/>
        <n v="67.39"/>
        <n v="45.14"/>
        <n v="83.76"/>
        <n v="48.78"/>
        <n v="65.98"/>
        <n v="32.76"/>
        <n v="83.85"/>
        <n v="53.47"/>
        <n v="66.14"/>
        <n v="40.96"/>
        <n v="66.09"/>
        <n v="40.92"/>
        <n v="40.619999999999997"/>
        <n v="48.98"/>
        <n v="48"/>
        <n v="52.91"/>
        <n v="52.38"/>
        <n v="40.51"/>
        <n v="53.02"/>
        <n v="74.400000000000006"/>
        <n v="75.11"/>
        <n v="52.23"/>
        <n v="60.42"/>
        <n v="84.02"/>
        <n v="54.22"/>
        <n v="84.97"/>
        <n v="44.98"/>
        <n v="52.52"/>
        <n v="45.19"/>
        <n v="29.31"/>
        <n v="82.82"/>
        <n v="61.02"/>
        <n v="48.61"/>
        <n v="52.66"/>
        <n v="48.1"/>
        <n v="66.239999999999995"/>
        <n v="41.09"/>
        <n v="41.25"/>
        <n v="48.89"/>
        <n v="32.770000000000003"/>
        <n v="61.18"/>
        <n v="66.2"/>
        <n v="41.07"/>
        <n v="45.69"/>
        <n v="48.8"/>
        <n v="73.47"/>
        <n v="74.77"/>
        <n v="59.89"/>
        <n v="53.17"/>
        <n v="29.69"/>
        <n v="67.5"/>
        <n v="60.72"/>
        <n v="83.42"/>
        <n v="32.89"/>
        <n v="29.44"/>
        <n v="32.97"/>
        <n v="48.34"/>
        <n v="38.229999999999997"/>
        <n v="33.200000000000003"/>
        <n v="46.09"/>
        <n v="66.78"/>
        <n v="53.73"/>
        <n v="38.049999999999997"/>
        <n v="51.89"/>
        <n v="66.94"/>
        <n v="40.78"/>
        <n v="60.77"/>
        <n v="84.88"/>
        <n v="41.26"/>
        <n v="29.17"/>
        <n v="74.86"/>
        <n v="33.17"/>
        <n v="66.44"/>
        <n v="66.97"/>
        <n v="45.43"/>
        <n v="67.430000000000007"/>
        <n v="53.81"/>
        <n v="29.54"/>
        <n v="40.85"/>
        <n v="83.39"/>
        <n v="74.290000000000006"/>
        <n v="44.78"/>
        <n v="45.11"/>
        <n v="67.709999999999994"/>
        <n v="83.13"/>
        <n v="73.66"/>
        <n v="67.7"/>
        <n v="66.040000000000006"/>
        <n v="68"/>
        <n v="32.53"/>
        <n v="65.959999999999994"/>
        <n v="74.930000000000007"/>
        <n v="38.26"/>
        <n v="45.03"/>
        <n v="45.15"/>
        <n v="83.23"/>
        <n v="60.65"/>
        <n v="38.340000000000003"/>
        <n v="82.94"/>
        <n v="37.619999999999997"/>
        <n v="74.59"/>
        <n v="60.24"/>
        <n v="60.49"/>
        <n v="45.04"/>
        <n v="48.35"/>
        <n v="53.51"/>
        <n v="82.46"/>
        <n v="45.65"/>
        <n v="32.75"/>
        <n v="53.54"/>
        <n v="75.02"/>
        <n v="53.43"/>
        <n v="73.2"/>
        <n v="60.85"/>
        <n v="73.12"/>
        <n v="40.07"/>
        <n v="83.92"/>
      </sharedItems>
    </cacheField>
    <cacheField name="order_date" numFmtId="0">
      <sharedItems containsDate="1" containsMixedTypes="1" minDate="2026-01-19T00:00:00" maxDate="2026-11-20T00:00:00" count="395">
        <s v="2026-07-14"/>
        <s v="2026-07-19"/>
        <s v="2026-07-31"/>
        <s v="2026-07-27"/>
        <s v="2026-07-13"/>
        <s v="2026-06-13"/>
        <s v="2026-06-24"/>
        <s v="2026-06-02"/>
        <s v="2026-07-03"/>
        <s v="2026-07-08"/>
        <s v="2026-06-18"/>
        <s v="2026-07-24"/>
        <s v="2026-06-10"/>
        <s v="2026-07-18"/>
        <s v="2026-06-05"/>
        <s v="2026-06-20"/>
        <s v="2026-06-28"/>
        <s v="2026-06-27"/>
        <s v="2026-06-15"/>
        <s v="2026-07-09"/>
        <s v="2026-07-12"/>
        <s v="2026-08-11"/>
        <s v="2026-07-10"/>
        <s v="06/07/2026"/>
        <s v="2026-06-19"/>
        <s v="2026-07-25"/>
        <s v="2026-06-16"/>
        <s v="2026-07-29"/>
        <s v="2026-06-22"/>
        <s v="2026-06-11"/>
        <s v="2026-08-12"/>
        <s v="2026-06-08"/>
        <s v="2026-08-04"/>
        <s v="2026-06-21"/>
        <s v="2026-08-07"/>
        <s v="2026-08-13"/>
        <s v="2026-08-06"/>
        <s v="2026-07-15"/>
        <d v="2026-07-24T00:00:00"/>
        <s v="2026-08-09"/>
        <s v="2026-06-09"/>
        <s v="2026-08-01"/>
        <s v="2026-08-05"/>
        <s v="2026-06-06"/>
        <s v="2026-06-29"/>
        <s v="2026-06-12"/>
        <s v="12/06/2026"/>
        <s v="2026-07-30"/>
        <s v="16/07/2026"/>
        <s v="2026-07-17"/>
        <s v="2026-07-11"/>
        <s v="2026-07-07"/>
        <s v="08/07/2026"/>
        <s v="2026-07-01"/>
        <s v="2026-06-01"/>
        <s v="2026-06-30"/>
        <s v="2026-07-05"/>
        <s v="2026-07-22"/>
        <s v="2026-08-10"/>
        <s v="2026-08-08"/>
        <s v="2026-07-16"/>
        <s v="2026-07-26"/>
        <s v="12/07/2026"/>
        <s v="2026-07-21"/>
        <d v="2026-06-14T00:00:00"/>
        <s v="2026-08-02"/>
        <s v="2026-07-23"/>
        <s v="2026-07-06"/>
        <s v="2026-07-28"/>
        <s v="2026-06-17"/>
        <s v="10/07/2026"/>
        <s v="2026-08-03"/>
        <d v="2026-07-16T00:00:00"/>
        <s v="2026-06-07"/>
        <d v="2026-07-18T00:00:00"/>
        <s v="2026-08-14"/>
        <s v="2026-06-03"/>
        <d v="2026-06-18T00:00:00"/>
        <s v="2026-07-20"/>
        <d v="2026-07-23T00:00:00"/>
        <s v="2026-06-26"/>
        <s v="2026-06-04"/>
        <d v="2026-06-26T00:00:00"/>
        <s v="01/07/2026"/>
        <d v="2026-07-29T00:00:00"/>
        <s v="04/08/2026"/>
        <s v="10/08/2026"/>
        <s v="2026-07-02"/>
        <s v="2026-07-04"/>
        <s v="2026-06-23"/>
        <s v="2026-04-10"/>
        <s v="2026-02-22"/>
        <s v="2026-02-16"/>
        <s v="2026-11-09"/>
        <s v="2026-09-26"/>
        <s v="2026-12-04"/>
        <s v="2026-01-14"/>
        <s v="2026-11-18"/>
        <s v="2026-02-11"/>
        <s v="2026-01-08"/>
        <s v="2026-03-26"/>
        <s v="2026-09-19"/>
        <s v="01/01/2026"/>
        <s v="2026-09-20"/>
        <s v="2026-11-30"/>
        <s v="2026-11-20"/>
        <s v="2026-04-25"/>
        <s v="2026-10-20"/>
        <s v="2026-08-26"/>
        <s v="2026-10-30"/>
        <s v="2026-11-27"/>
        <s v="2026-11-05"/>
        <s v="2026-10-27"/>
        <s v="2026-11-04"/>
        <s v="2026-02-19"/>
        <d v="2026-09-25T00:00:00"/>
        <s v="2026-10-29"/>
        <s v="2026-01-20"/>
        <s v="2026-09-05"/>
        <s v="2026-09-18"/>
        <s v="2026-12-05"/>
        <s v="2026-02-10"/>
        <s v="2026-02-13"/>
        <s v="2026-05-14"/>
        <s v="2026-01-11"/>
        <s v="2026-09-22"/>
        <s v="2026-01-23"/>
        <s v="2026-08-16"/>
        <s v="2026-01-03"/>
        <s v="2026-09-28"/>
        <s v="11/04/2026"/>
        <s v="2026-01-25"/>
        <s v="2026-01-31"/>
        <s v="2026-05-27"/>
        <s v="2026-04-16"/>
        <s v="2026-08-28"/>
        <s v="2026-03-08"/>
        <s v="2026-11-11"/>
        <s v="2026-11-13"/>
        <s v="2026-08-22"/>
        <s v="2026-02-26"/>
        <s v="2026-09-07"/>
        <s v="2026-03-30"/>
        <d v="2026-10-28T00:00:00"/>
        <s v="2026-01-12"/>
        <s v="2026-10-08"/>
        <s v="2026-01-28"/>
        <s v="2026-03-16"/>
        <s v="2026-02-25"/>
        <s v="2026-03-18"/>
        <s v="2026-04-07"/>
        <s v="2026-02-03"/>
        <s v="2026-03-03"/>
        <s v="2026-03-01"/>
        <s v="2026-10-09"/>
        <s v="11/02/2026"/>
        <s v="2026-11-23"/>
        <s v="2026-04-27"/>
        <s v="2026-10-11"/>
        <s v="2026-09-24"/>
        <s v="2026-11-10"/>
        <s v="2026-03-11"/>
        <s v="09/03/2026"/>
        <s v="2026-05-22"/>
        <s v="2026-05-16"/>
        <s v="2026-03-12"/>
        <s v="2026-01-13"/>
        <s v="2026-01-16"/>
        <s v="2026-09-21"/>
        <s v="2026-12-03"/>
        <s v="2026-05-23"/>
        <s v="2026-08-15"/>
        <s v="2026-04-04"/>
        <s v="2026-08-29"/>
        <s v="2026-08-25"/>
        <s v="2026-04-12"/>
        <s v="2026-05-15"/>
        <s v="2026-11-19"/>
        <s v="2026-01-15"/>
        <s v="2026-11-08"/>
        <s v="2026-10-28"/>
        <s v="2026-01-09"/>
        <s v="2026-02-17"/>
        <s v="2026-12-02"/>
        <s v="2026-05-17"/>
        <s v="2026-03-05"/>
        <s v="2026-05-06"/>
        <s v="2026-05-25"/>
        <s v="2026-11-29"/>
        <s v="2026-04-28"/>
        <s v="2026-01-21"/>
        <s v="2026-03-23"/>
        <s v="2026-04-05"/>
        <s v="2026-05-10"/>
        <s v="2026-04-09"/>
        <s v="2026-12-06"/>
        <s v="2026-03-29"/>
        <s v="2026-11-14"/>
        <s v="05/05/2026"/>
        <s v="2026-03-02"/>
        <s v="2026-05-28"/>
        <s v="2026-09-23"/>
        <s v="2026-05-29"/>
        <s v="2026-08-23"/>
        <s v="2026-03-17"/>
        <d v="2026-02-18T00:00:00"/>
        <s v="2026-03-10"/>
        <s v="2026-01-01"/>
        <s v="2026-05-09"/>
        <s v="2026-03-22"/>
        <s v="2026-01-30"/>
        <s v="06/01/2026"/>
        <s v="2026-04-30"/>
        <s v="2026-10-17"/>
        <s v="2026-02-27"/>
        <s v="2026-05-18"/>
        <d v="2026-10-27T00:00:00"/>
        <s v="05/03/2026"/>
        <s v="2026-12-01"/>
        <s v="2026-11-26"/>
        <s v="2026-04-08"/>
        <s v="2026-04-21"/>
        <s v="2026-11-16"/>
        <s v="2026-11-06"/>
        <s v="2026-05-08"/>
        <s v="2026-02-28"/>
        <s v="2026-02-20"/>
        <s v="2026-11-21"/>
        <s v="2026-10-12"/>
        <s v="2026-02-18"/>
        <s v="2026-01-06"/>
        <s v="2026-09-29"/>
        <s v="2026-03-24"/>
        <s v="2026-10-06"/>
        <s v="2026-05-19"/>
        <s v="2026-02-15"/>
        <s v="2026-04-01"/>
        <s v="2026-04-24"/>
        <s v="2026-09-04"/>
        <s v="2026-02-08"/>
        <s v="2026-10-15"/>
        <s v="2026-03-27"/>
        <s v="2026-08-20"/>
        <s v="2026-02-05"/>
        <s v="2026-05-07"/>
        <s v="2026-02-14"/>
        <s v="2026-02-02"/>
        <s v="2026-08-27"/>
        <s v="2026-04-29"/>
        <d v="2026-02-20T00:00:00"/>
        <d v="2026-04-17T00:00:00"/>
        <s v="2026-03-04"/>
        <s v="2026-04-15"/>
        <s v="2026-09-01"/>
        <s v="2026-03-13"/>
        <s v="2026-01-07"/>
        <s v="2026-10-19"/>
        <s v="2026-01-04"/>
        <s v="2026-11-03"/>
        <s v="2026-09-14"/>
        <s v="2026-10-14"/>
        <s v="2026-03-15"/>
        <d v="2026-11-19T00:00:00"/>
        <s v="2026-01-05"/>
        <s v="2026-05-12"/>
        <s v="2026-10-23"/>
        <s v="2026-10-05"/>
        <s v="2026-05-13"/>
        <s v="2026-10-21"/>
        <s v="2026-10-18"/>
        <s v="27/07/2026"/>
        <s v="2026-04-20"/>
        <s v="07/11/2026"/>
        <s v="2026-09-16"/>
        <s v="2026-10-01"/>
        <s v="08/02/2026"/>
        <s v="06/11/2026"/>
        <s v="2026-04-19"/>
        <s v="2026-10-24"/>
        <s v="2026-03-20"/>
        <s v="2026-02-07"/>
        <s v="2026-01-17"/>
        <s v="2026-10-13"/>
        <s v="2026-10-02"/>
        <s v="2026-01-27"/>
        <s v="2026-06-14"/>
        <s v="2026-09-09"/>
        <s v="2026-09-25"/>
        <s v="2026-08-24"/>
        <s v="2026-03-09"/>
        <s v="2026-04-06"/>
        <s v="2026-02-24"/>
        <s v="07/09/2026"/>
        <d v="2026-07-17T00:00:00"/>
        <s v="2026-02-01"/>
        <s v="2026-05-03"/>
        <s v="2026-02-06"/>
        <s v="2026-05-01"/>
        <d v="2026-09-27T00:00:00"/>
        <d v="2026-07-26T00:00:00"/>
        <s v="2026-03-14"/>
        <d v="2026-02-23T00:00:00"/>
        <s v="2026-11-25"/>
        <s v="2026-05-31"/>
        <s v="10/11/2026"/>
        <s v="2026-03-07"/>
        <s v="2026-11-28"/>
        <s v="2026-04-26"/>
        <s v="10/02/2026"/>
        <s v="2026-09-17"/>
        <s v="2026-05-11"/>
        <s v="2026-10-25"/>
        <s v="2026-02-09"/>
        <s v="2026-02-21"/>
        <s v="2026-10-07"/>
        <s v="2026-09-12"/>
        <s v="2026-04-23"/>
        <s v="2026-01-18"/>
        <s v="24/08/2026"/>
        <s v="2026-04-11"/>
        <s v="03/04/2026"/>
        <d v="2026-08-25T00:00:00"/>
        <d v="2026-05-20T00:00:00"/>
        <s v="2026-01-29"/>
        <s v="2026-10-31"/>
        <s v="04/01/2026"/>
        <s v="2026-04-17"/>
        <d v="2026-04-28T00:00:00"/>
        <s v="2026-09-27"/>
        <s v="2026-08-31"/>
        <d v="2026-03-31T00:00:00"/>
        <s v="2026-10-03"/>
        <s v="2026-04-03"/>
        <s v="2026-10-26"/>
        <d v="2026-06-15T00:00:00"/>
        <s v="2026-05-20"/>
        <s v="2026-09-03"/>
        <s v="2026-02-04"/>
        <s v="2026-03-28"/>
        <s v="2026-11-12"/>
        <s v="2026-11-15"/>
        <s v="2026-01-22"/>
        <s v="2026-05-02"/>
        <s v="2026-08-30"/>
        <s v="2026-11-17"/>
        <s v="2026-11-02"/>
        <d v="2026-07-20T00:00:00"/>
        <s v="2026-05-04"/>
        <s v="2026-04-13"/>
        <s v="12/08/2026"/>
        <s v="2026-01-24"/>
        <d v="2026-05-23T00:00:00"/>
        <s v="2026-10-10"/>
        <s v="2026-01-19"/>
        <s v="2026-01-10"/>
        <s v="2026-09-11"/>
        <d v="2026-06-29T00:00:00"/>
        <d v="2026-03-22T00:00:00"/>
        <s v="01/09/2026"/>
        <d v="2026-01-19T00:00:00"/>
        <s v="2026-04-18"/>
        <s v="2026-05-26"/>
        <s v="2026-09-02"/>
        <s v="2026-08-19"/>
        <s v="08/03/2026"/>
        <s v="2026-03-21"/>
        <d v="2026-09-28T00:00:00"/>
        <s v="2026-05-24"/>
        <s v="2026-08-18"/>
        <s v="03/06/2026"/>
        <s v="2026-10-16"/>
        <s v="02/06/2026"/>
        <s v="2026-04-14"/>
        <s v="2026-03-06"/>
        <s v="2026-09-10"/>
        <s v="2026-08-17"/>
        <s v="2026-08-21"/>
        <s v="01/08/2026"/>
        <s v="2026-04-22"/>
        <s v="2026-11-01"/>
        <s v="08/04/2026"/>
        <d v="2026-09-21T00:00:00"/>
        <s v="2026-11-22"/>
        <d v="2026-10-30T00:00:00"/>
        <d v="2026-01-27T00:00:00"/>
        <s v="2026-10-04"/>
        <s v="02/12/2026"/>
        <s v="2026-10-22"/>
        <d v="2026-08-23T00:00:00"/>
        <s v="2026-09-30"/>
        <s v="02/09/2026"/>
        <s v="2026-02-23"/>
        <s v="11/01/2026"/>
        <d v="2026-08-29T00:00:00"/>
        <d v="2026-10-22T00:00:00"/>
      </sharedItems>
    </cacheField>
    <cacheField name="Months" numFmtId="0">
      <sharedItems count="12">
        <s v="Jul"/>
        <s v="Jun"/>
        <s v="Aug"/>
        <s v="Dec"/>
        <s v="Sep"/>
        <s v="Oct"/>
        <s v="Nov"/>
        <s v="Jan"/>
        <s v="Feb"/>
        <s v="Mar"/>
        <s v="Apr"/>
        <s v="May"/>
      </sharedItems>
    </cacheField>
    <cacheField name="status" numFmtId="0">
      <sharedItems count="5">
        <s v="Devuelto"/>
        <s v="Entregado"/>
        <s v="En transito"/>
        <s v="Cancelado"/>
        <s v="Procesando"/>
      </sharedItems>
    </cacheField>
    <cacheField name="delivery_days" numFmtId="0">
      <sharedItems containsSemiMixedTypes="0" containsString="0" containsNumber="1" containsInteger="1" minValue="0" maxValue="25"/>
    </cacheField>
    <cacheField name="Payment_method" numFmtId="0">
      <sharedItems count="4">
        <s v="Contraentrega"/>
        <s v="PSE"/>
        <s v="Nequi"/>
        <s v="Tarjeta de credito"/>
      </sharedItems>
    </cacheField>
    <cacheField name="product_name" numFmtId="0">
      <sharedItems count="6">
        <s v="Lampara LED con control tactil"/>
        <s v="Fuente de agua para gatos"/>
        <s v="Muñequeras con peso 1kg"/>
        <s v="Tapete de yoga antideslizante"/>
        <s v="Proyector de estrellas para techo"/>
        <s v="Suplemento vitaminico para perros"/>
      </sharedItems>
    </cacheField>
    <cacheField name="cost_price" numFmtId="0">
      <sharedItems containsSemiMixedTypes="0" containsString="0" containsNumber="1" minValue="5" maxValue="12.5"/>
    </cacheField>
    <cacheField name="Aggregate Function" numFmtId="0">
      <sharedItems containsString="0" containsBlank="1" containsNumber="1" minValue="0" maxValue="46009.679999999855"/>
    </cacheField>
    <cacheField name="Column1" numFmtId="0">
      <sharedItems containsBlank="1"/>
    </cacheField>
    <cacheField name="Index Match" numFmtId="0">
      <sharedItems containsBlank="1"/>
    </cacheField>
    <cacheField name="Vlookup" numFmtId="0">
      <sharedItems containsSemiMixedTypes="0" containsString="0" containsNumber="1" minValue="21.99" maxValue="84.73"/>
    </cacheField>
  </cacheFields>
  <extLst>
    <ext xmlns:x14="http://schemas.microsoft.com/office/spreadsheetml/2009/9/main" uri="{725AE2AE-9491-48be-B2B4-4EB974FC3084}">
      <x14:pivotCacheDefinition pivotCacheId="95651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6">
  <r>
    <x v="0"/>
    <x v="0"/>
    <x v="0"/>
    <x v="0"/>
    <x v="0"/>
    <x v="0"/>
    <x v="0"/>
    <n v="2"/>
    <x v="0"/>
    <x v="0"/>
    <n v="7"/>
    <n v="46009.679999999855"/>
    <s v="SUM"/>
    <e v="#N/A"/>
    <n v="37.979999999999997"/>
  </r>
  <r>
    <x v="1"/>
    <x v="0"/>
    <x v="1"/>
    <x v="1"/>
    <x v="1"/>
    <x v="0"/>
    <x v="1"/>
    <n v="3"/>
    <x v="1"/>
    <x v="1"/>
    <n v="10.5"/>
    <n v="16.989999999999998"/>
    <s v="MIN"/>
    <m/>
    <n v="37.979999999999997"/>
  </r>
  <r>
    <x v="2"/>
    <x v="1"/>
    <x v="0"/>
    <x v="2"/>
    <x v="2"/>
    <x v="0"/>
    <x v="2"/>
    <n v="0"/>
    <x v="1"/>
    <x v="0"/>
    <n v="7"/>
    <n v="84.97"/>
    <s v="MAX"/>
    <m/>
    <n v="21.99"/>
  </r>
  <r>
    <x v="3"/>
    <x v="0"/>
    <x v="2"/>
    <x v="3"/>
    <x v="3"/>
    <x v="0"/>
    <x v="1"/>
    <n v="19"/>
    <x v="2"/>
    <x v="2"/>
    <n v="5"/>
    <n v="34.698099547511205"/>
    <s v="AVERAGE"/>
    <m/>
    <n v="37.979999999999997"/>
  </r>
  <r>
    <x v="4"/>
    <x v="1"/>
    <x v="2"/>
    <x v="4"/>
    <x v="4"/>
    <x v="0"/>
    <x v="3"/>
    <n v="0"/>
    <x v="2"/>
    <x v="2"/>
    <n v="5"/>
    <n v="1326"/>
    <s v="Total Count"/>
    <m/>
    <n v="21.99"/>
  </r>
  <r>
    <x v="5"/>
    <x v="1"/>
    <x v="3"/>
    <x v="5"/>
    <x v="5"/>
    <x v="1"/>
    <x v="1"/>
    <n v="3"/>
    <x v="0"/>
    <x v="3"/>
    <n v="9"/>
    <n v="699"/>
    <s v="30 COUNTIF"/>
    <m/>
    <n v="21.99"/>
  </r>
  <r>
    <x v="6"/>
    <x v="1"/>
    <x v="1"/>
    <x v="6"/>
    <x v="6"/>
    <x v="1"/>
    <x v="1"/>
    <n v="2"/>
    <x v="1"/>
    <x v="1"/>
    <n v="10.5"/>
    <n v="0"/>
    <s v="COUNTIF"/>
    <m/>
    <n v="21.99"/>
  </r>
  <r>
    <x v="7"/>
    <x v="2"/>
    <x v="4"/>
    <x v="7"/>
    <x v="7"/>
    <x v="1"/>
    <x v="3"/>
    <n v="0"/>
    <x v="0"/>
    <x v="4"/>
    <n v="12.5"/>
    <n v="0"/>
    <s v="SUMIF "/>
    <m/>
    <n v="84.73"/>
  </r>
  <r>
    <x v="8"/>
    <x v="1"/>
    <x v="0"/>
    <x v="2"/>
    <x v="8"/>
    <x v="0"/>
    <x v="1"/>
    <n v="3"/>
    <x v="2"/>
    <x v="0"/>
    <n v="7"/>
    <m/>
    <m/>
    <m/>
    <n v="21.99"/>
  </r>
  <r>
    <x v="9"/>
    <x v="1"/>
    <x v="5"/>
    <x v="8"/>
    <x v="9"/>
    <x v="0"/>
    <x v="1"/>
    <n v="15"/>
    <x v="3"/>
    <x v="5"/>
    <n v="6"/>
    <m/>
    <m/>
    <m/>
    <n v="21.99"/>
  </r>
  <r>
    <x v="10"/>
    <x v="1"/>
    <x v="4"/>
    <x v="9"/>
    <x v="10"/>
    <x v="1"/>
    <x v="2"/>
    <n v="0"/>
    <x v="2"/>
    <x v="4"/>
    <n v="12.5"/>
    <m/>
    <m/>
    <m/>
    <n v="21.99"/>
  </r>
  <r>
    <x v="11"/>
    <x v="2"/>
    <x v="0"/>
    <x v="10"/>
    <x v="11"/>
    <x v="0"/>
    <x v="1"/>
    <n v="3"/>
    <x v="0"/>
    <x v="0"/>
    <n v="7"/>
    <m/>
    <m/>
    <m/>
    <n v="84.73"/>
  </r>
  <r>
    <x v="12"/>
    <x v="2"/>
    <x v="0"/>
    <x v="10"/>
    <x v="12"/>
    <x v="1"/>
    <x v="1"/>
    <n v="3"/>
    <x v="2"/>
    <x v="0"/>
    <n v="7"/>
    <m/>
    <m/>
    <m/>
    <n v="84.73"/>
  </r>
  <r>
    <x v="13"/>
    <x v="2"/>
    <x v="0"/>
    <x v="10"/>
    <x v="13"/>
    <x v="0"/>
    <x v="1"/>
    <n v="2"/>
    <x v="0"/>
    <x v="0"/>
    <n v="7"/>
    <m/>
    <m/>
    <m/>
    <n v="84.73"/>
  </r>
  <r>
    <x v="14"/>
    <x v="2"/>
    <x v="3"/>
    <x v="11"/>
    <x v="14"/>
    <x v="1"/>
    <x v="1"/>
    <n v="3"/>
    <x v="1"/>
    <x v="3"/>
    <n v="9"/>
    <m/>
    <m/>
    <m/>
    <n v="84.73"/>
  </r>
  <r>
    <x v="15"/>
    <x v="0"/>
    <x v="1"/>
    <x v="1"/>
    <x v="15"/>
    <x v="1"/>
    <x v="3"/>
    <n v="0"/>
    <x v="2"/>
    <x v="1"/>
    <n v="10.5"/>
    <m/>
    <m/>
    <m/>
    <n v="37.979999999999997"/>
  </r>
  <r>
    <x v="16"/>
    <x v="1"/>
    <x v="2"/>
    <x v="4"/>
    <x v="13"/>
    <x v="0"/>
    <x v="1"/>
    <n v="20"/>
    <x v="0"/>
    <x v="2"/>
    <n v="5"/>
    <m/>
    <m/>
    <m/>
    <n v="21.99"/>
  </r>
  <r>
    <x v="17"/>
    <x v="1"/>
    <x v="5"/>
    <x v="8"/>
    <x v="16"/>
    <x v="1"/>
    <x v="2"/>
    <n v="0"/>
    <x v="0"/>
    <x v="5"/>
    <n v="6"/>
    <m/>
    <m/>
    <m/>
    <n v="21.99"/>
  </r>
  <r>
    <x v="18"/>
    <x v="0"/>
    <x v="5"/>
    <x v="12"/>
    <x v="17"/>
    <x v="1"/>
    <x v="2"/>
    <n v="0"/>
    <x v="3"/>
    <x v="5"/>
    <n v="6"/>
    <m/>
    <m/>
    <m/>
    <n v="37.979999999999997"/>
  </r>
  <r>
    <x v="19"/>
    <x v="1"/>
    <x v="3"/>
    <x v="5"/>
    <x v="18"/>
    <x v="1"/>
    <x v="2"/>
    <n v="0"/>
    <x v="1"/>
    <x v="3"/>
    <n v="9"/>
    <m/>
    <m/>
    <m/>
    <n v="21.99"/>
  </r>
  <r>
    <x v="20"/>
    <x v="1"/>
    <x v="5"/>
    <x v="8"/>
    <x v="11"/>
    <x v="0"/>
    <x v="1"/>
    <n v="12"/>
    <x v="3"/>
    <x v="5"/>
    <n v="6"/>
    <m/>
    <m/>
    <m/>
    <n v="21.99"/>
  </r>
  <r>
    <x v="21"/>
    <x v="1"/>
    <x v="1"/>
    <x v="6"/>
    <x v="19"/>
    <x v="0"/>
    <x v="1"/>
    <n v="2"/>
    <x v="2"/>
    <x v="1"/>
    <n v="10.5"/>
    <m/>
    <m/>
    <m/>
    <n v="21.99"/>
  </r>
  <r>
    <x v="22"/>
    <x v="2"/>
    <x v="2"/>
    <x v="13"/>
    <x v="20"/>
    <x v="0"/>
    <x v="2"/>
    <n v="0"/>
    <x v="0"/>
    <x v="2"/>
    <n v="5"/>
    <m/>
    <m/>
    <m/>
    <n v="84.73"/>
  </r>
  <r>
    <x v="23"/>
    <x v="1"/>
    <x v="3"/>
    <x v="5"/>
    <x v="18"/>
    <x v="1"/>
    <x v="3"/>
    <n v="0"/>
    <x v="1"/>
    <x v="3"/>
    <n v="9"/>
    <m/>
    <m/>
    <m/>
    <n v="21.99"/>
  </r>
  <r>
    <x v="24"/>
    <x v="2"/>
    <x v="0"/>
    <x v="10"/>
    <x v="5"/>
    <x v="1"/>
    <x v="1"/>
    <n v="3"/>
    <x v="1"/>
    <x v="0"/>
    <n v="7"/>
    <m/>
    <m/>
    <m/>
    <n v="84.73"/>
  </r>
  <r>
    <x v="25"/>
    <x v="1"/>
    <x v="2"/>
    <x v="4"/>
    <x v="21"/>
    <x v="2"/>
    <x v="1"/>
    <n v="20"/>
    <x v="3"/>
    <x v="2"/>
    <n v="5"/>
    <m/>
    <m/>
    <m/>
    <n v="21.99"/>
  </r>
  <r>
    <x v="26"/>
    <x v="1"/>
    <x v="5"/>
    <x v="8"/>
    <x v="22"/>
    <x v="0"/>
    <x v="1"/>
    <n v="12"/>
    <x v="2"/>
    <x v="5"/>
    <n v="6"/>
    <m/>
    <m/>
    <m/>
    <n v="21.99"/>
  </r>
  <r>
    <x v="27"/>
    <x v="2"/>
    <x v="2"/>
    <x v="13"/>
    <x v="23"/>
    <x v="1"/>
    <x v="2"/>
    <n v="0"/>
    <x v="3"/>
    <x v="2"/>
    <n v="5"/>
    <m/>
    <m/>
    <m/>
    <n v="84.73"/>
  </r>
  <r>
    <x v="28"/>
    <x v="1"/>
    <x v="3"/>
    <x v="5"/>
    <x v="24"/>
    <x v="1"/>
    <x v="2"/>
    <n v="0"/>
    <x v="3"/>
    <x v="3"/>
    <n v="9"/>
    <m/>
    <m/>
    <m/>
    <n v="21.99"/>
  </r>
  <r>
    <x v="29"/>
    <x v="1"/>
    <x v="2"/>
    <x v="4"/>
    <x v="13"/>
    <x v="0"/>
    <x v="1"/>
    <n v="19"/>
    <x v="3"/>
    <x v="2"/>
    <n v="5"/>
    <m/>
    <m/>
    <m/>
    <n v="21.99"/>
  </r>
  <r>
    <x v="30"/>
    <x v="1"/>
    <x v="1"/>
    <x v="6"/>
    <x v="25"/>
    <x v="0"/>
    <x v="1"/>
    <n v="7"/>
    <x v="3"/>
    <x v="1"/>
    <n v="10.5"/>
    <m/>
    <m/>
    <m/>
    <n v="21.99"/>
  </r>
  <r>
    <x v="31"/>
    <x v="2"/>
    <x v="5"/>
    <x v="14"/>
    <x v="22"/>
    <x v="0"/>
    <x v="1"/>
    <n v="11"/>
    <x v="3"/>
    <x v="5"/>
    <n v="6"/>
    <m/>
    <m/>
    <m/>
    <n v="84.73"/>
  </r>
  <r>
    <x v="32"/>
    <x v="1"/>
    <x v="4"/>
    <x v="9"/>
    <x v="26"/>
    <x v="1"/>
    <x v="1"/>
    <n v="8"/>
    <x v="1"/>
    <x v="4"/>
    <n v="12.5"/>
    <m/>
    <m/>
    <m/>
    <n v="21.99"/>
  </r>
  <r>
    <x v="33"/>
    <x v="1"/>
    <x v="2"/>
    <x v="4"/>
    <x v="27"/>
    <x v="0"/>
    <x v="3"/>
    <n v="0"/>
    <x v="2"/>
    <x v="2"/>
    <n v="5"/>
    <m/>
    <m/>
    <m/>
    <n v="21.99"/>
  </r>
  <r>
    <x v="34"/>
    <x v="2"/>
    <x v="4"/>
    <x v="7"/>
    <x v="28"/>
    <x v="1"/>
    <x v="4"/>
    <n v="0"/>
    <x v="0"/>
    <x v="4"/>
    <n v="12.5"/>
    <m/>
    <m/>
    <m/>
    <n v="84.73"/>
  </r>
  <r>
    <x v="35"/>
    <x v="2"/>
    <x v="1"/>
    <x v="15"/>
    <x v="29"/>
    <x v="1"/>
    <x v="1"/>
    <n v="3"/>
    <x v="0"/>
    <x v="1"/>
    <n v="10.5"/>
    <m/>
    <m/>
    <m/>
    <n v="84.73"/>
  </r>
  <r>
    <x v="36"/>
    <x v="1"/>
    <x v="1"/>
    <x v="6"/>
    <x v="24"/>
    <x v="1"/>
    <x v="1"/>
    <n v="3"/>
    <x v="1"/>
    <x v="1"/>
    <n v="10.5"/>
    <m/>
    <m/>
    <m/>
    <n v="21.99"/>
  </r>
  <r>
    <x v="37"/>
    <x v="1"/>
    <x v="0"/>
    <x v="2"/>
    <x v="30"/>
    <x v="2"/>
    <x v="2"/>
    <n v="0"/>
    <x v="0"/>
    <x v="0"/>
    <n v="7"/>
    <m/>
    <m/>
    <m/>
    <n v="21.99"/>
  </r>
  <r>
    <x v="38"/>
    <x v="1"/>
    <x v="1"/>
    <x v="6"/>
    <x v="31"/>
    <x v="1"/>
    <x v="1"/>
    <n v="3"/>
    <x v="3"/>
    <x v="1"/>
    <n v="10.5"/>
    <m/>
    <m/>
    <m/>
    <n v="21.99"/>
  </r>
  <r>
    <x v="39"/>
    <x v="1"/>
    <x v="5"/>
    <x v="8"/>
    <x v="32"/>
    <x v="2"/>
    <x v="1"/>
    <n v="14"/>
    <x v="3"/>
    <x v="5"/>
    <n v="6"/>
    <m/>
    <m/>
    <m/>
    <n v="21.99"/>
  </r>
  <r>
    <x v="40"/>
    <x v="1"/>
    <x v="3"/>
    <x v="5"/>
    <x v="31"/>
    <x v="1"/>
    <x v="1"/>
    <n v="3"/>
    <x v="1"/>
    <x v="3"/>
    <n v="9"/>
    <m/>
    <m/>
    <m/>
    <n v="21.99"/>
  </r>
  <r>
    <x v="41"/>
    <x v="1"/>
    <x v="5"/>
    <x v="8"/>
    <x v="33"/>
    <x v="1"/>
    <x v="1"/>
    <n v="18"/>
    <x v="3"/>
    <x v="5"/>
    <n v="6"/>
    <m/>
    <m/>
    <m/>
    <n v="21.99"/>
  </r>
  <r>
    <x v="42"/>
    <x v="1"/>
    <x v="5"/>
    <x v="8"/>
    <x v="15"/>
    <x v="1"/>
    <x v="1"/>
    <n v="11"/>
    <x v="0"/>
    <x v="5"/>
    <n v="6"/>
    <m/>
    <m/>
    <m/>
    <n v="21.99"/>
  </r>
  <r>
    <x v="43"/>
    <x v="1"/>
    <x v="5"/>
    <x v="8"/>
    <x v="34"/>
    <x v="2"/>
    <x v="1"/>
    <n v="20"/>
    <x v="0"/>
    <x v="5"/>
    <n v="6"/>
    <m/>
    <m/>
    <m/>
    <n v="21.99"/>
  </r>
  <r>
    <x v="44"/>
    <x v="1"/>
    <x v="2"/>
    <x v="4"/>
    <x v="10"/>
    <x v="1"/>
    <x v="1"/>
    <n v="16"/>
    <x v="3"/>
    <x v="2"/>
    <n v="5"/>
    <m/>
    <m/>
    <m/>
    <n v="21.99"/>
  </r>
  <r>
    <x v="45"/>
    <x v="1"/>
    <x v="5"/>
    <x v="8"/>
    <x v="3"/>
    <x v="0"/>
    <x v="1"/>
    <n v="14"/>
    <x v="2"/>
    <x v="5"/>
    <n v="6"/>
    <m/>
    <m/>
    <m/>
    <n v="21.99"/>
  </r>
  <r>
    <x v="46"/>
    <x v="1"/>
    <x v="0"/>
    <x v="2"/>
    <x v="35"/>
    <x v="2"/>
    <x v="0"/>
    <n v="2"/>
    <x v="2"/>
    <x v="0"/>
    <n v="7"/>
    <m/>
    <m/>
    <m/>
    <n v="21.99"/>
  </r>
  <r>
    <x v="47"/>
    <x v="0"/>
    <x v="1"/>
    <x v="1"/>
    <x v="36"/>
    <x v="2"/>
    <x v="3"/>
    <n v="0"/>
    <x v="1"/>
    <x v="1"/>
    <n v="10.5"/>
    <m/>
    <m/>
    <m/>
    <n v="37.979999999999997"/>
  </r>
  <r>
    <x v="48"/>
    <x v="0"/>
    <x v="0"/>
    <x v="0"/>
    <x v="37"/>
    <x v="0"/>
    <x v="0"/>
    <n v="3"/>
    <x v="0"/>
    <x v="0"/>
    <n v="7"/>
    <m/>
    <m/>
    <m/>
    <n v="37.979999999999997"/>
  </r>
  <r>
    <x v="49"/>
    <x v="0"/>
    <x v="2"/>
    <x v="3"/>
    <x v="4"/>
    <x v="0"/>
    <x v="4"/>
    <n v="0"/>
    <x v="2"/>
    <x v="2"/>
    <n v="5"/>
    <m/>
    <m/>
    <m/>
    <n v="37.979999999999997"/>
  </r>
  <r>
    <x v="50"/>
    <x v="1"/>
    <x v="4"/>
    <x v="9"/>
    <x v="16"/>
    <x v="1"/>
    <x v="4"/>
    <n v="0"/>
    <x v="2"/>
    <x v="4"/>
    <n v="12.5"/>
    <m/>
    <m/>
    <m/>
    <n v="21.99"/>
  </r>
  <r>
    <x v="51"/>
    <x v="1"/>
    <x v="2"/>
    <x v="4"/>
    <x v="38"/>
    <x v="0"/>
    <x v="2"/>
    <n v="0"/>
    <x v="2"/>
    <x v="2"/>
    <n v="5"/>
    <m/>
    <m/>
    <m/>
    <n v="21.99"/>
  </r>
  <r>
    <x v="52"/>
    <x v="2"/>
    <x v="5"/>
    <x v="14"/>
    <x v="24"/>
    <x v="1"/>
    <x v="1"/>
    <n v="10"/>
    <x v="2"/>
    <x v="5"/>
    <n v="6"/>
    <m/>
    <m/>
    <m/>
    <n v="84.73"/>
  </r>
  <r>
    <x v="53"/>
    <x v="1"/>
    <x v="5"/>
    <x v="8"/>
    <x v="39"/>
    <x v="2"/>
    <x v="1"/>
    <n v="14"/>
    <x v="2"/>
    <x v="5"/>
    <n v="6"/>
    <m/>
    <m/>
    <m/>
    <n v="21.99"/>
  </r>
  <r>
    <x v="54"/>
    <x v="1"/>
    <x v="0"/>
    <x v="2"/>
    <x v="40"/>
    <x v="1"/>
    <x v="1"/>
    <n v="2"/>
    <x v="0"/>
    <x v="0"/>
    <n v="7"/>
    <m/>
    <m/>
    <m/>
    <n v="21.99"/>
  </r>
  <r>
    <x v="55"/>
    <x v="1"/>
    <x v="4"/>
    <x v="9"/>
    <x v="41"/>
    <x v="2"/>
    <x v="2"/>
    <n v="0"/>
    <x v="3"/>
    <x v="4"/>
    <n v="12.5"/>
    <m/>
    <m/>
    <m/>
    <n v="21.99"/>
  </r>
  <r>
    <x v="56"/>
    <x v="1"/>
    <x v="4"/>
    <x v="9"/>
    <x v="42"/>
    <x v="2"/>
    <x v="1"/>
    <n v="5"/>
    <x v="1"/>
    <x v="4"/>
    <n v="12.5"/>
    <m/>
    <m/>
    <m/>
    <n v="21.99"/>
  </r>
  <r>
    <x v="57"/>
    <x v="0"/>
    <x v="3"/>
    <x v="16"/>
    <x v="13"/>
    <x v="0"/>
    <x v="1"/>
    <n v="3"/>
    <x v="0"/>
    <x v="3"/>
    <n v="9"/>
    <m/>
    <m/>
    <m/>
    <n v="37.979999999999997"/>
  </r>
  <r>
    <x v="58"/>
    <x v="1"/>
    <x v="1"/>
    <x v="6"/>
    <x v="6"/>
    <x v="1"/>
    <x v="1"/>
    <n v="2"/>
    <x v="0"/>
    <x v="1"/>
    <n v="10.5"/>
    <m/>
    <m/>
    <m/>
    <n v="21.99"/>
  </r>
  <r>
    <x v="59"/>
    <x v="0"/>
    <x v="4"/>
    <x v="17"/>
    <x v="43"/>
    <x v="1"/>
    <x v="2"/>
    <n v="0"/>
    <x v="0"/>
    <x v="4"/>
    <n v="12.5"/>
    <m/>
    <m/>
    <m/>
    <n v="37.979999999999997"/>
  </r>
  <r>
    <x v="60"/>
    <x v="1"/>
    <x v="3"/>
    <x v="5"/>
    <x v="3"/>
    <x v="0"/>
    <x v="1"/>
    <n v="2"/>
    <x v="0"/>
    <x v="3"/>
    <n v="9"/>
    <m/>
    <m/>
    <m/>
    <n v="21.99"/>
  </r>
  <r>
    <x v="61"/>
    <x v="1"/>
    <x v="4"/>
    <x v="9"/>
    <x v="3"/>
    <x v="0"/>
    <x v="4"/>
    <n v="0"/>
    <x v="0"/>
    <x v="4"/>
    <n v="12.5"/>
    <m/>
    <m/>
    <m/>
    <n v="21.99"/>
  </r>
  <r>
    <x v="62"/>
    <x v="1"/>
    <x v="1"/>
    <x v="6"/>
    <x v="6"/>
    <x v="1"/>
    <x v="1"/>
    <n v="4"/>
    <x v="0"/>
    <x v="1"/>
    <n v="10.5"/>
    <m/>
    <m/>
    <m/>
    <n v="21.99"/>
  </r>
  <r>
    <x v="63"/>
    <x v="1"/>
    <x v="3"/>
    <x v="5"/>
    <x v="10"/>
    <x v="1"/>
    <x v="3"/>
    <n v="0"/>
    <x v="2"/>
    <x v="3"/>
    <n v="9"/>
    <m/>
    <m/>
    <m/>
    <n v="21.99"/>
  </r>
  <r>
    <x v="64"/>
    <x v="1"/>
    <x v="5"/>
    <x v="8"/>
    <x v="44"/>
    <x v="1"/>
    <x v="1"/>
    <n v="14"/>
    <x v="2"/>
    <x v="5"/>
    <n v="6"/>
    <m/>
    <m/>
    <m/>
    <n v="21.99"/>
  </r>
  <r>
    <x v="65"/>
    <x v="1"/>
    <x v="5"/>
    <x v="8"/>
    <x v="45"/>
    <x v="1"/>
    <x v="1"/>
    <n v="11"/>
    <x v="2"/>
    <x v="5"/>
    <n v="6"/>
    <m/>
    <m/>
    <m/>
    <n v="21.99"/>
  </r>
  <r>
    <x v="66"/>
    <x v="0"/>
    <x v="0"/>
    <x v="0"/>
    <x v="12"/>
    <x v="1"/>
    <x v="1"/>
    <n v="3"/>
    <x v="1"/>
    <x v="0"/>
    <n v="7"/>
    <m/>
    <m/>
    <m/>
    <n v="37.979999999999997"/>
  </r>
  <r>
    <x v="67"/>
    <x v="1"/>
    <x v="0"/>
    <x v="2"/>
    <x v="28"/>
    <x v="1"/>
    <x v="1"/>
    <n v="2"/>
    <x v="0"/>
    <x v="0"/>
    <n v="7"/>
    <m/>
    <m/>
    <m/>
    <n v="21.99"/>
  </r>
  <r>
    <x v="68"/>
    <x v="2"/>
    <x v="1"/>
    <x v="15"/>
    <x v="46"/>
    <x v="3"/>
    <x v="1"/>
    <n v="2"/>
    <x v="1"/>
    <x v="1"/>
    <n v="10.5"/>
    <m/>
    <m/>
    <m/>
    <n v="84.73"/>
  </r>
  <r>
    <x v="69"/>
    <x v="2"/>
    <x v="3"/>
    <x v="11"/>
    <x v="29"/>
    <x v="1"/>
    <x v="1"/>
    <n v="2"/>
    <x v="1"/>
    <x v="3"/>
    <n v="9"/>
    <m/>
    <m/>
    <m/>
    <n v="84.73"/>
  </r>
  <r>
    <x v="70"/>
    <x v="1"/>
    <x v="5"/>
    <x v="8"/>
    <x v="19"/>
    <x v="0"/>
    <x v="1"/>
    <n v="13"/>
    <x v="3"/>
    <x v="5"/>
    <n v="6"/>
    <m/>
    <m/>
    <m/>
    <n v="21.99"/>
  </r>
  <r>
    <x v="71"/>
    <x v="0"/>
    <x v="1"/>
    <x v="1"/>
    <x v="24"/>
    <x v="1"/>
    <x v="1"/>
    <n v="3"/>
    <x v="2"/>
    <x v="1"/>
    <n v="10.5"/>
    <m/>
    <m/>
    <m/>
    <n v="37.979999999999997"/>
  </r>
  <r>
    <x v="72"/>
    <x v="1"/>
    <x v="2"/>
    <x v="4"/>
    <x v="47"/>
    <x v="0"/>
    <x v="1"/>
    <n v="20"/>
    <x v="3"/>
    <x v="2"/>
    <n v="5"/>
    <m/>
    <m/>
    <m/>
    <n v="21.99"/>
  </r>
  <r>
    <x v="73"/>
    <x v="1"/>
    <x v="2"/>
    <x v="4"/>
    <x v="20"/>
    <x v="0"/>
    <x v="0"/>
    <n v="18"/>
    <x v="2"/>
    <x v="2"/>
    <n v="5"/>
    <m/>
    <m/>
    <m/>
    <n v="21.99"/>
  </r>
  <r>
    <x v="74"/>
    <x v="0"/>
    <x v="5"/>
    <x v="12"/>
    <x v="48"/>
    <x v="0"/>
    <x v="1"/>
    <n v="12"/>
    <x v="2"/>
    <x v="5"/>
    <n v="6"/>
    <m/>
    <m/>
    <m/>
    <n v="37.979999999999997"/>
  </r>
  <r>
    <x v="75"/>
    <x v="2"/>
    <x v="4"/>
    <x v="7"/>
    <x v="49"/>
    <x v="2"/>
    <x v="4"/>
    <n v="0"/>
    <x v="3"/>
    <x v="4"/>
    <n v="12.5"/>
    <m/>
    <m/>
    <m/>
    <n v="84.73"/>
  </r>
  <r>
    <x v="76"/>
    <x v="1"/>
    <x v="0"/>
    <x v="2"/>
    <x v="32"/>
    <x v="4"/>
    <x v="1"/>
    <n v="2"/>
    <x v="3"/>
    <x v="0"/>
    <n v="7"/>
    <m/>
    <m/>
    <m/>
    <n v="21.99"/>
  </r>
  <r>
    <x v="77"/>
    <x v="1"/>
    <x v="0"/>
    <x v="2"/>
    <x v="24"/>
    <x v="5"/>
    <x v="1"/>
    <n v="2"/>
    <x v="3"/>
    <x v="0"/>
    <n v="7"/>
    <m/>
    <m/>
    <m/>
    <n v="21.99"/>
  </r>
  <r>
    <x v="78"/>
    <x v="1"/>
    <x v="3"/>
    <x v="5"/>
    <x v="42"/>
    <x v="6"/>
    <x v="1"/>
    <n v="2"/>
    <x v="0"/>
    <x v="3"/>
    <n v="9"/>
    <m/>
    <m/>
    <m/>
    <n v="21.99"/>
  </r>
  <r>
    <x v="79"/>
    <x v="0"/>
    <x v="2"/>
    <x v="3"/>
    <x v="13"/>
    <x v="3"/>
    <x v="1"/>
    <n v="20"/>
    <x v="0"/>
    <x v="2"/>
    <n v="5"/>
    <m/>
    <m/>
    <m/>
    <n v="37.979999999999997"/>
  </r>
  <r>
    <x v="80"/>
    <x v="1"/>
    <x v="0"/>
    <x v="2"/>
    <x v="28"/>
    <x v="7"/>
    <x v="1"/>
    <n v="2"/>
    <x v="1"/>
    <x v="0"/>
    <n v="7"/>
    <m/>
    <m/>
    <m/>
    <n v="21.99"/>
  </r>
  <r>
    <x v="81"/>
    <x v="1"/>
    <x v="4"/>
    <x v="9"/>
    <x v="15"/>
    <x v="8"/>
    <x v="1"/>
    <n v="10"/>
    <x v="2"/>
    <x v="4"/>
    <n v="12.5"/>
    <m/>
    <m/>
    <m/>
    <n v="21.99"/>
  </r>
  <r>
    <x v="82"/>
    <x v="1"/>
    <x v="0"/>
    <x v="2"/>
    <x v="50"/>
    <x v="9"/>
    <x v="0"/>
    <n v="3"/>
    <x v="0"/>
    <x v="0"/>
    <n v="7"/>
    <m/>
    <m/>
    <m/>
    <n v="21.99"/>
  </r>
  <r>
    <x v="83"/>
    <x v="1"/>
    <x v="4"/>
    <x v="9"/>
    <x v="51"/>
    <x v="10"/>
    <x v="2"/>
    <n v="0"/>
    <x v="0"/>
    <x v="4"/>
    <n v="12.5"/>
    <m/>
    <m/>
    <m/>
    <n v="21.99"/>
  </r>
  <r>
    <x v="84"/>
    <x v="1"/>
    <x v="3"/>
    <x v="5"/>
    <x v="52"/>
    <x v="11"/>
    <x v="1"/>
    <n v="2"/>
    <x v="0"/>
    <x v="3"/>
    <n v="9"/>
    <m/>
    <m/>
    <m/>
    <n v="21.99"/>
  </r>
  <r>
    <x v="85"/>
    <x v="2"/>
    <x v="2"/>
    <x v="13"/>
    <x v="53"/>
    <x v="1"/>
    <x v="1"/>
    <n v="20"/>
    <x v="3"/>
    <x v="2"/>
    <n v="5"/>
    <m/>
    <m/>
    <m/>
    <n v="84.73"/>
  </r>
  <r>
    <x v="86"/>
    <x v="1"/>
    <x v="2"/>
    <x v="4"/>
    <x v="54"/>
    <x v="0"/>
    <x v="0"/>
    <n v="19"/>
    <x v="2"/>
    <x v="2"/>
    <n v="5"/>
    <m/>
    <m/>
    <m/>
    <n v="21.99"/>
  </r>
  <r>
    <x v="87"/>
    <x v="1"/>
    <x v="5"/>
    <x v="8"/>
    <x v="55"/>
    <x v="2"/>
    <x v="1"/>
    <n v="10"/>
    <x v="2"/>
    <x v="5"/>
    <n v="6"/>
    <m/>
    <m/>
    <m/>
    <n v="21.99"/>
  </r>
  <r>
    <x v="88"/>
    <x v="1"/>
    <x v="2"/>
    <x v="4"/>
    <x v="7"/>
    <x v="4"/>
    <x v="1"/>
    <n v="15"/>
    <x v="0"/>
    <x v="2"/>
    <n v="5"/>
    <m/>
    <m/>
    <m/>
    <n v="21.99"/>
  </r>
  <r>
    <x v="89"/>
    <x v="2"/>
    <x v="4"/>
    <x v="7"/>
    <x v="56"/>
    <x v="5"/>
    <x v="1"/>
    <n v="5"/>
    <x v="2"/>
    <x v="4"/>
    <n v="12.5"/>
    <m/>
    <m/>
    <m/>
    <n v="84.73"/>
  </r>
  <r>
    <x v="90"/>
    <x v="0"/>
    <x v="1"/>
    <x v="1"/>
    <x v="57"/>
    <x v="6"/>
    <x v="4"/>
    <n v="0"/>
    <x v="2"/>
    <x v="1"/>
    <n v="10.5"/>
    <m/>
    <m/>
    <m/>
    <n v="37.979999999999997"/>
  </r>
  <r>
    <x v="91"/>
    <x v="1"/>
    <x v="4"/>
    <x v="9"/>
    <x v="56"/>
    <x v="3"/>
    <x v="0"/>
    <n v="6"/>
    <x v="3"/>
    <x v="4"/>
    <n v="12.5"/>
    <m/>
    <m/>
    <m/>
    <n v="21.99"/>
  </r>
  <r>
    <x v="92"/>
    <x v="1"/>
    <x v="2"/>
    <x v="4"/>
    <x v="47"/>
    <x v="7"/>
    <x v="1"/>
    <n v="19"/>
    <x v="0"/>
    <x v="2"/>
    <n v="5"/>
    <m/>
    <m/>
    <m/>
    <n v="21.99"/>
  </r>
  <r>
    <x v="93"/>
    <x v="1"/>
    <x v="0"/>
    <x v="2"/>
    <x v="13"/>
    <x v="8"/>
    <x v="1"/>
    <n v="2"/>
    <x v="1"/>
    <x v="0"/>
    <n v="7"/>
    <m/>
    <m/>
    <m/>
    <n v="21.99"/>
  </r>
  <r>
    <x v="94"/>
    <x v="1"/>
    <x v="2"/>
    <x v="4"/>
    <x v="58"/>
    <x v="9"/>
    <x v="3"/>
    <n v="0"/>
    <x v="1"/>
    <x v="2"/>
    <n v="5"/>
    <m/>
    <m/>
    <m/>
    <n v="21.99"/>
  </r>
  <r>
    <x v="95"/>
    <x v="2"/>
    <x v="0"/>
    <x v="10"/>
    <x v="45"/>
    <x v="10"/>
    <x v="3"/>
    <n v="0"/>
    <x v="3"/>
    <x v="0"/>
    <n v="7"/>
    <m/>
    <m/>
    <m/>
    <n v="84.73"/>
  </r>
  <r>
    <x v="96"/>
    <x v="1"/>
    <x v="4"/>
    <x v="9"/>
    <x v="22"/>
    <x v="11"/>
    <x v="2"/>
    <n v="0"/>
    <x v="1"/>
    <x v="4"/>
    <n v="12.5"/>
    <m/>
    <m/>
    <m/>
    <n v="21.99"/>
  </r>
  <r>
    <x v="97"/>
    <x v="1"/>
    <x v="2"/>
    <x v="4"/>
    <x v="40"/>
    <x v="1"/>
    <x v="0"/>
    <n v="16"/>
    <x v="1"/>
    <x v="2"/>
    <n v="5"/>
    <m/>
    <m/>
    <m/>
    <n v="21.99"/>
  </r>
  <r>
    <x v="98"/>
    <x v="2"/>
    <x v="3"/>
    <x v="11"/>
    <x v="39"/>
    <x v="0"/>
    <x v="1"/>
    <n v="2"/>
    <x v="2"/>
    <x v="3"/>
    <n v="9"/>
    <m/>
    <m/>
    <m/>
    <n v="84.73"/>
  </r>
  <r>
    <x v="99"/>
    <x v="1"/>
    <x v="0"/>
    <x v="2"/>
    <x v="39"/>
    <x v="2"/>
    <x v="1"/>
    <n v="2"/>
    <x v="2"/>
    <x v="0"/>
    <n v="7"/>
    <m/>
    <m/>
    <m/>
    <n v="21.99"/>
  </r>
  <r>
    <x v="100"/>
    <x v="1"/>
    <x v="1"/>
    <x v="6"/>
    <x v="11"/>
    <x v="4"/>
    <x v="2"/>
    <n v="0"/>
    <x v="3"/>
    <x v="1"/>
    <n v="10.5"/>
    <m/>
    <m/>
    <m/>
    <n v="21.99"/>
  </r>
  <r>
    <x v="101"/>
    <x v="1"/>
    <x v="5"/>
    <x v="8"/>
    <x v="43"/>
    <x v="5"/>
    <x v="1"/>
    <n v="11"/>
    <x v="1"/>
    <x v="5"/>
    <n v="6"/>
    <m/>
    <m/>
    <m/>
    <n v="21.99"/>
  </r>
  <r>
    <x v="102"/>
    <x v="1"/>
    <x v="1"/>
    <x v="6"/>
    <x v="20"/>
    <x v="6"/>
    <x v="1"/>
    <n v="3"/>
    <x v="1"/>
    <x v="1"/>
    <n v="10.5"/>
    <m/>
    <m/>
    <m/>
    <n v="21.99"/>
  </r>
  <r>
    <x v="103"/>
    <x v="1"/>
    <x v="1"/>
    <x v="6"/>
    <x v="25"/>
    <x v="3"/>
    <x v="2"/>
    <n v="0"/>
    <x v="2"/>
    <x v="1"/>
    <n v="10.5"/>
    <m/>
    <m/>
    <m/>
    <n v="21.99"/>
  </r>
  <r>
    <x v="104"/>
    <x v="1"/>
    <x v="4"/>
    <x v="9"/>
    <x v="53"/>
    <x v="7"/>
    <x v="4"/>
    <n v="0"/>
    <x v="1"/>
    <x v="4"/>
    <n v="12.5"/>
    <m/>
    <m/>
    <m/>
    <n v="21.99"/>
  </r>
  <r>
    <x v="105"/>
    <x v="1"/>
    <x v="3"/>
    <x v="5"/>
    <x v="8"/>
    <x v="8"/>
    <x v="1"/>
    <n v="3"/>
    <x v="0"/>
    <x v="3"/>
    <n v="9"/>
    <m/>
    <m/>
    <m/>
    <n v="21.99"/>
  </r>
  <r>
    <x v="105"/>
    <x v="1"/>
    <x v="3"/>
    <x v="5"/>
    <x v="8"/>
    <x v="9"/>
    <x v="1"/>
    <n v="3"/>
    <x v="0"/>
    <x v="3"/>
    <n v="9"/>
    <m/>
    <m/>
    <m/>
    <n v="21.99"/>
  </r>
  <r>
    <x v="106"/>
    <x v="1"/>
    <x v="5"/>
    <x v="8"/>
    <x v="43"/>
    <x v="10"/>
    <x v="3"/>
    <n v="0"/>
    <x v="1"/>
    <x v="5"/>
    <n v="6"/>
    <m/>
    <m/>
    <m/>
    <n v="21.99"/>
  </r>
  <r>
    <x v="107"/>
    <x v="1"/>
    <x v="3"/>
    <x v="5"/>
    <x v="26"/>
    <x v="11"/>
    <x v="4"/>
    <n v="0"/>
    <x v="1"/>
    <x v="3"/>
    <n v="9"/>
    <m/>
    <m/>
    <m/>
    <n v="21.99"/>
  </r>
  <r>
    <x v="108"/>
    <x v="1"/>
    <x v="4"/>
    <x v="9"/>
    <x v="59"/>
    <x v="1"/>
    <x v="2"/>
    <n v="0"/>
    <x v="2"/>
    <x v="4"/>
    <n v="12.5"/>
    <m/>
    <m/>
    <m/>
    <n v="21.99"/>
  </r>
  <r>
    <x v="109"/>
    <x v="1"/>
    <x v="0"/>
    <x v="2"/>
    <x v="50"/>
    <x v="0"/>
    <x v="1"/>
    <n v="2"/>
    <x v="1"/>
    <x v="0"/>
    <n v="7"/>
    <m/>
    <m/>
    <m/>
    <n v="21.99"/>
  </r>
  <r>
    <x v="110"/>
    <x v="1"/>
    <x v="2"/>
    <x v="4"/>
    <x v="1"/>
    <x v="2"/>
    <x v="2"/>
    <n v="0"/>
    <x v="0"/>
    <x v="2"/>
    <n v="5"/>
    <m/>
    <m/>
    <m/>
    <n v="21.99"/>
  </r>
  <r>
    <x v="111"/>
    <x v="1"/>
    <x v="3"/>
    <x v="5"/>
    <x v="60"/>
    <x v="4"/>
    <x v="1"/>
    <n v="3"/>
    <x v="3"/>
    <x v="3"/>
    <n v="9"/>
    <m/>
    <m/>
    <m/>
    <n v="21.99"/>
  </r>
  <r>
    <x v="112"/>
    <x v="0"/>
    <x v="0"/>
    <x v="0"/>
    <x v="10"/>
    <x v="5"/>
    <x v="4"/>
    <n v="0"/>
    <x v="1"/>
    <x v="0"/>
    <n v="7"/>
    <m/>
    <m/>
    <m/>
    <n v="37.979999999999997"/>
  </r>
  <r>
    <x v="113"/>
    <x v="2"/>
    <x v="1"/>
    <x v="15"/>
    <x v="41"/>
    <x v="6"/>
    <x v="2"/>
    <n v="0"/>
    <x v="2"/>
    <x v="1"/>
    <n v="10.5"/>
    <m/>
    <m/>
    <m/>
    <n v="84.73"/>
  </r>
  <r>
    <x v="114"/>
    <x v="1"/>
    <x v="5"/>
    <x v="8"/>
    <x v="61"/>
    <x v="3"/>
    <x v="4"/>
    <n v="0"/>
    <x v="3"/>
    <x v="5"/>
    <n v="6"/>
    <m/>
    <m/>
    <m/>
    <n v="21.99"/>
  </r>
  <r>
    <x v="115"/>
    <x v="1"/>
    <x v="0"/>
    <x v="2"/>
    <x v="56"/>
    <x v="7"/>
    <x v="4"/>
    <n v="0"/>
    <x v="2"/>
    <x v="0"/>
    <n v="7"/>
    <m/>
    <m/>
    <m/>
    <n v="21.99"/>
  </r>
  <r>
    <x v="116"/>
    <x v="1"/>
    <x v="1"/>
    <x v="6"/>
    <x v="14"/>
    <x v="8"/>
    <x v="1"/>
    <n v="3"/>
    <x v="3"/>
    <x v="1"/>
    <n v="10.5"/>
    <m/>
    <m/>
    <m/>
    <n v="21.99"/>
  </r>
  <r>
    <x v="117"/>
    <x v="1"/>
    <x v="2"/>
    <x v="4"/>
    <x v="34"/>
    <x v="9"/>
    <x v="3"/>
    <n v="0"/>
    <x v="2"/>
    <x v="2"/>
    <n v="5"/>
    <m/>
    <m/>
    <m/>
    <n v="21.99"/>
  </r>
  <r>
    <x v="118"/>
    <x v="1"/>
    <x v="1"/>
    <x v="6"/>
    <x v="14"/>
    <x v="10"/>
    <x v="1"/>
    <n v="3"/>
    <x v="1"/>
    <x v="1"/>
    <n v="10.5"/>
    <m/>
    <m/>
    <m/>
    <n v="21.99"/>
  </r>
  <r>
    <x v="119"/>
    <x v="1"/>
    <x v="1"/>
    <x v="6"/>
    <x v="4"/>
    <x v="11"/>
    <x v="1"/>
    <n v="2"/>
    <x v="3"/>
    <x v="1"/>
    <n v="10.5"/>
    <m/>
    <m/>
    <m/>
    <n v="21.99"/>
  </r>
  <r>
    <x v="120"/>
    <x v="1"/>
    <x v="3"/>
    <x v="5"/>
    <x v="0"/>
    <x v="1"/>
    <x v="2"/>
    <n v="0"/>
    <x v="0"/>
    <x v="3"/>
    <n v="9"/>
    <m/>
    <m/>
    <m/>
    <n v="21.99"/>
  </r>
  <r>
    <x v="121"/>
    <x v="1"/>
    <x v="2"/>
    <x v="4"/>
    <x v="60"/>
    <x v="0"/>
    <x v="2"/>
    <n v="0"/>
    <x v="2"/>
    <x v="2"/>
    <n v="5"/>
    <m/>
    <m/>
    <m/>
    <n v="21.99"/>
  </r>
  <r>
    <x v="122"/>
    <x v="1"/>
    <x v="0"/>
    <x v="2"/>
    <x v="15"/>
    <x v="2"/>
    <x v="1"/>
    <n v="7"/>
    <x v="0"/>
    <x v="0"/>
    <n v="7"/>
    <m/>
    <m/>
    <m/>
    <n v="21.99"/>
  </r>
  <r>
    <x v="123"/>
    <x v="1"/>
    <x v="4"/>
    <x v="9"/>
    <x v="56"/>
    <x v="4"/>
    <x v="1"/>
    <n v="5"/>
    <x v="2"/>
    <x v="4"/>
    <n v="12.5"/>
    <m/>
    <m/>
    <m/>
    <n v="21.99"/>
  </r>
  <r>
    <x v="124"/>
    <x v="2"/>
    <x v="1"/>
    <x v="15"/>
    <x v="62"/>
    <x v="5"/>
    <x v="3"/>
    <n v="0"/>
    <x v="2"/>
    <x v="1"/>
    <n v="10.5"/>
    <m/>
    <m/>
    <m/>
    <n v="84.73"/>
  </r>
  <r>
    <x v="125"/>
    <x v="1"/>
    <x v="5"/>
    <x v="8"/>
    <x v="36"/>
    <x v="6"/>
    <x v="1"/>
    <n v="16"/>
    <x v="0"/>
    <x v="5"/>
    <n v="6"/>
    <m/>
    <m/>
    <m/>
    <n v="21.99"/>
  </r>
  <r>
    <x v="126"/>
    <x v="0"/>
    <x v="4"/>
    <x v="17"/>
    <x v="19"/>
    <x v="3"/>
    <x v="1"/>
    <n v="7"/>
    <x v="2"/>
    <x v="4"/>
    <n v="12.5"/>
    <m/>
    <m/>
    <m/>
    <n v="37.979999999999997"/>
  </r>
  <r>
    <x v="127"/>
    <x v="1"/>
    <x v="3"/>
    <x v="5"/>
    <x v="63"/>
    <x v="7"/>
    <x v="1"/>
    <n v="8"/>
    <x v="2"/>
    <x v="3"/>
    <n v="9"/>
    <m/>
    <m/>
    <m/>
    <n v="21.99"/>
  </r>
  <r>
    <x v="128"/>
    <x v="0"/>
    <x v="2"/>
    <x v="3"/>
    <x v="41"/>
    <x v="8"/>
    <x v="1"/>
    <n v="24"/>
    <x v="2"/>
    <x v="2"/>
    <n v="5"/>
    <m/>
    <m/>
    <m/>
    <n v="37.979999999999997"/>
  </r>
  <r>
    <x v="129"/>
    <x v="0"/>
    <x v="5"/>
    <x v="12"/>
    <x v="58"/>
    <x v="9"/>
    <x v="1"/>
    <n v="13"/>
    <x v="2"/>
    <x v="5"/>
    <n v="6"/>
    <m/>
    <m/>
    <m/>
    <n v="37.979999999999997"/>
  </r>
  <r>
    <x v="130"/>
    <x v="2"/>
    <x v="4"/>
    <x v="7"/>
    <x v="53"/>
    <x v="10"/>
    <x v="1"/>
    <n v="6"/>
    <x v="3"/>
    <x v="4"/>
    <n v="12.5"/>
    <m/>
    <m/>
    <m/>
    <n v="84.73"/>
  </r>
  <r>
    <x v="131"/>
    <x v="0"/>
    <x v="5"/>
    <x v="12"/>
    <x v="11"/>
    <x v="11"/>
    <x v="1"/>
    <n v="13"/>
    <x v="3"/>
    <x v="5"/>
    <n v="6"/>
    <m/>
    <m/>
    <m/>
    <n v="37.979999999999997"/>
  </r>
  <r>
    <x v="132"/>
    <x v="0"/>
    <x v="1"/>
    <x v="1"/>
    <x v="43"/>
    <x v="1"/>
    <x v="2"/>
    <n v="0"/>
    <x v="0"/>
    <x v="1"/>
    <n v="10.5"/>
    <m/>
    <m/>
    <m/>
    <n v="37.979999999999997"/>
  </r>
  <r>
    <x v="133"/>
    <x v="1"/>
    <x v="0"/>
    <x v="2"/>
    <x v="13"/>
    <x v="0"/>
    <x v="1"/>
    <n v="3"/>
    <x v="0"/>
    <x v="0"/>
    <n v="7"/>
    <m/>
    <m/>
    <m/>
    <n v="21.99"/>
  </r>
  <r>
    <x v="134"/>
    <x v="0"/>
    <x v="3"/>
    <x v="16"/>
    <x v="36"/>
    <x v="2"/>
    <x v="1"/>
    <n v="3"/>
    <x v="2"/>
    <x v="3"/>
    <n v="9"/>
    <m/>
    <m/>
    <m/>
    <n v="37.979999999999997"/>
  </r>
  <r>
    <x v="135"/>
    <x v="1"/>
    <x v="4"/>
    <x v="9"/>
    <x v="64"/>
    <x v="4"/>
    <x v="2"/>
    <n v="0"/>
    <x v="1"/>
    <x v="4"/>
    <n v="12.5"/>
    <m/>
    <m/>
    <m/>
    <n v="21.99"/>
  </r>
  <r>
    <x v="136"/>
    <x v="1"/>
    <x v="2"/>
    <x v="4"/>
    <x v="57"/>
    <x v="5"/>
    <x v="2"/>
    <n v="0"/>
    <x v="2"/>
    <x v="2"/>
    <n v="5"/>
    <m/>
    <m/>
    <m/>
    <n v="21.99"/>
  </r>
  <r>
    <x v="137"/>
    <x v="1"/>
    <x v="3"/>
    <x v="5"/>
    <x v="16"/>
    <x v="6"/>
    <x v="1"/>
    <n v="3"/>
    <x v="1"/>
    <x v="3"/>
    <n v="9"/>
    <m/>
    <m/>
    <m/>
    <n v="21.99"/>
  </r>
  <r>
    <x v="138"/>
    <x v="2"/>
    <x v="0"/>
    <x v="10"/>
    <x v="34"/>
    <x v="3"/>
    <x v="0"/>
    <n v="2"/>
    <x v="2"/>
    <x v="0"/>
    <n v="7"/>
    <m/>
    <m/>
    <m/>
    <n v="84.73"/>
  </r>
  <r>
    <x v="139"/>
    <x v="1"/>
    <x v="3"/>
    <x v="5"/>
    <x v="19"/>
    <x v="7"/>
    <x v="3"/>
    <n v="0"/>
    <x v="1"/>
    <x v="3"/>
    <n v="9"/>
    <m/>
    <m/>
    <m/>
    <n v="21.99"/>
  </r>
  <r>
    <x v="140"/>
    <x v="1"/>
    <x v="1"/>
    <x v="6"/>
    <x v="24"/>
    <x v="8"/>
    <x v="1"/>
    <n v="3"/>
    <x v="2"/>
    <x v="1"/>
    <n v="10.5"/>
    <m/>
    <m/>
    <m/>
    <n v="21.99"/>
  </r>
  <r>
    <x v="141"/>
    <x v="1"/>
    <x v="3"/>
    <x v="5"/>
    <x v="65"/>
    <x v="9"/>
    <x v="1"/>
    <n v="3"/>
    <x v="3"/>
    <x v="3"/>
    <n v="9"/>
    <m/>
    <m/>
    <m/>
    <n v="21.99"/>
  </r>
  <r>
    <x v="142"/>
    <x v="1"/>
    <x v="4"/>
    <x v="9"/>
    <x v="66"/>
    <x v="10"/>
    <x v="2"/>
    <n v="0"/>
    <x v="2"/>
    <x v="4"/>
    <n v="12.5"/>
    <m/>
    <m/>
    <m/>
    <n v="21.99"/>
  </r>
  <r>
    <x v="143"/>
    <x v="1"/>
    <x v="2"/>
    <x v="4"/>
    <x v="67"/>
    <x v="11"/>
    <x v="1"/>
    <n v="16"/>
    <x v="2"/>
    <x v="2"/>
    <n v="5"/>
    <m/>
    <m/>
    <m/>
    <n v="21.99"/>
  </r>
  <r>
    <x v="144"/>
    <x v="1"/>
    <x v="4"/>
    <x v="9"/>
    <x v="39"/>
    <x v="1"/>
    <x v="4"/>
    <n v="0"/>
    <x v="2"/>
    <x v="4"/>
    <n v="12.5"/>
    <m/>
    <m/>
    <m/>
    <n v="21.99"/>
  </r>
  <r>
    <x v="145"/>
    <x v="1"/>
    <x v="2"/>
    <x v="4"/>
    <x v="68"/>
    <x v="0"/>
    <x v="1"/>
    <n v="17"/>
    <x v="1"/>
    <x v="2"/>
    <n v="5"/>
    <m/>
    <m/>
    <m/>
    <n v="21.99"/>
  </r>
  <r>
    <x v="146"/>
    <x v="1"/>
    <x v="0"/>
    <x v="2"/>
    <x v="28"/>
    <x v="2"/>
    <x v="2"/>
    <n v="0"/>
    <x v="0"/>
    <x v="0"/>
    <n v="7"/>
    <m/>
    <m/>
    <m/>
    <n v="21.99"/>
  </r>
  <r>
    <x v="147"/>
    <x v="1"/>
    <x v="1"/>
    <x v="6"/>
    <x v="56"/>
    <x v="4"/>
    <x v="0"/>
    <n v="2"/>
    <x v="3"/>
    <x v="1"/>
    <n v="10.5"/>
    <m/>
    <m/>
    <m/>
    <n v="21.99"/>
  </r>
  <r>
    <x v="148"/>
    <x v="1"/>
    <x v="2"/>
    <x v="4"/>
    <x v="69"/>
    <x v="5"/>
    <x v="1"/>
    <n v="16"/>
    <x v="2"/>
    <x v="2"/>
    <n v="5"/>
    <m/>
    <m/>
    <m/>
    <n v="21.99"/>
  </r>
  <r>
    <x v="149"/>
    <x v="1"/>
    <x v="2"/>
    <x v="4"/>
    <x v="46"/>
    <x v="6"/>
    <x v="1"/>
    <n v="20"/>
    <x v="2"/>
    <x v="2"/>
    <n v="5"/>
    <m/>
    <m/>
    <m/>
    <n v="21.99"/>
  </r>
  <r>
    <x v="150"/>
    <x v="1"/>
    <x v="5"/>
    <x v="8"/>
    <x v="63"/>
    <x v="3"/>
    <x v="1"/>
    <n v="13"/>
    <x v="0"/>
    <x v="5"/>
    <n v="6"/>
    <m/>
    <m/>
    <m/>
    <n v="21.99"/>
  </r>
  <r>
    <x v="151"/>
    <x v="1"/>
    <x v="5"/>
    <x v="8"/>
    <x v="65"/>
    <x v="7"/>
    <x v="4"/>
    <n v="0"/>
    <x v="3"/>
    <x v="5"/>
    <n v="6"/>
    <m/>
    <m/>
    <m/>
    <n v="21.99"/>
  </r>
  <r>
    <x v="152"/>
    <x v="1"/>
    <x v="4"/>
    <x v="9"/>
    <x v="54"/>
    <x v="8"/>
    <x v="0"/>
    <n v="8"/>
    <x v="1"/>
    <x v="4"/>
    <n v="12.5"/>
    <m/>
    <m/>
    <m/>
    <n v="21.99"/>
  </r>
  <r>
    <x v="152"/>
    <x v="1"/>
    <x v="4"/>
    <x v="9"/>
    <x v="54"/>
    <x v="9"/>
    <x v="0"/>
    <n v="8"/>
    <x v="1"/>
    <x v="4"/>
    <n v="12.5"/>
    <m/>
    <m/>
    <m/>
    <n v="21.99"/>
  </r>
  <r>
    <x v="153"/>
    <x v="2"/>
    <x v="2"/>
    <x v="13"/>
    <x v="13"/>
    <x v="10"/>
    <x v="2"/>
    <n v="0"/>
    <x v="0"/>
    <x v="2"/>
    <n v="5"/>
    <m/>
    <m/>
    <m/>
    <n v="84.73"/>
  </r>
  <r>
    <x v="154"/>
    <x v="2"/>
    <x v="3"/>
    <x v="11"/>
    <x v="44"/>
    <x v="11"/>
    <x v="1"/>
    <n v="7"/>
    <x v="0"/>
    <x v="3"/>
    <n v="9"/>
    <m/>
    <m/>
    <m/>
    <n v="84.73"/>
  </r>
  <r>
    <x v="155"/>
    <x v="1"/>
    <x v="3"/>
    <x v="5"/>
    <x v="50"/>
    <x v="1"/>
    <x v="1"/>
    <n v="2"/>
    <x v="1"/>
    <x v="3"/>
    <n v="9"/>
    <m/>
    <m/>
    <m/>
    <n v="21.99"/>
  </r>
  <r>
    <x v="156"/>
    <x v="1"/>
    <x v="4"/>
    <x v="9"/>
    <x v="16"/>
    <x v="0"/>
    <x v="2"/>
    <n v="0"/>
    <x v="2"/>
    <x v="4"/>
    <n v="12.5"/>
    <m/>
    <m/>
    <m/>
    <n v="21.99"/>
  </r>
  <r>
    <x v="157"/>
    <x v="1"/>
    <x v="4"/>
    <x v="9"/>
    <x v="50"/>
    <x v="2"/>
    <x v="4"/>
    <n v="0"/>
    <x v="3"/>
    <x v="4"/>
    <n v="12.5"/>
    <m/>
    <m/>
    <m/>
    <n v="21.99"/>
  </r>
  <r>
    <x v="158"/>
    <x v="0"/>
    <x v="4"/>
    <x v="17"/>
    <x v="17"/>
    <x v="4"/>
    <x v="1"/>
    <n v="12"/>
    <x v="0"/>
    <x v="4"/>
    <n v="12.5"/>
    <m/>
    <m/>
    <m/>
    <n v="37.979999999999997"/>
  </r>
  <r>
    <x v="159"/>
    <x v="1"/>
    <x v="5"/>
    <x v="8"/>
    <x v="7"/>
    <x v="5"/>
    <x v="0"/>
    <n v="11"/>
    <x v="2"/>
    <x v="5"/>
    <n v="6"/>
    <m/>
    <m/>
    <m/>
    <n v="21.99"/>
  </r>
  <r>
    <x v="160"/>
    <x v="2"/>
    <x v="1"/>
    <x v="15"/>
    <x v="40"/>
    <x v="6"/>
    <x v="1"/>
    <n v="3"/>
    <x v="2"/>
    <x v="1"/>
    <n v="10.5"/>
    <m/>
    <m/>
    <m/>
    <n v="84.73"/>
  </r>
  <r>
    <x v="161"/>
    <x v="1"/>
    <x v="1"/>
    <x v="6"/>
    <x v="59"/>
    <x v="3"/>
    <x v="1"/>
    <n v="8"/>
    <x v="3"/>
    <x v="1"/>
    <n v="10.5"/>
    <m/>
    <m/>
    <m/>
    <n v="21.99"/>
  </r>
  <r>
    <x v="162"/>
    <x v="1"/>
    <x v="0"/>
    <x v="2"/>
    <x v="63"/>
    <x v="7"/>
    <x v="2"/>
    <n v="0"/>
    <x v="0"/>
    <x v="0"/>
    <n v="7"/>
    <m/>
    <m/>
    <m/>
    <n v="21.99"/>
  </r>
  <r>
    <x v="163"/>
    <x v="1"/>
    <x v="3"/>
    <x v="5"/>
    <x v="70"/>
    <x v="8"/>
    <x v="2"/>
    <n v="0"/>
    <x v="1"/>
    <x v="3"/>
    <n v="9"/>
    <m/>
    <m/>
    <m/>
    <n v="21.99"/>
  </r>
  <r>
    <x v="164"/>
    <x v="2"/>
    <x v="0"/>
    <x v="10"/>
    <x v="69"/>
    <x v="9"/>
    <x v="4"/>
    <n v="0"/>
    <x v="3"/>
    <x v="0"/>
    <n v="7"/>
    <m/>
    <m/>
    <m/>
    <n v="84.73"/>
  </r>
  <r>
    <x v="165"/>
    <x v="1"/>
    <x v="5"/>
    <x v="8"/>
    <x v="12"/>
    <x v="10"/>
    <x v="1"/>
    <n v="11"/>
    <x v="1"/>
    <x v="5"/>
    <n v="6"/>
    <m/>
    <m/>
    <m/>
    <n v="21.99"/>
  </r>
  <r>
    <x v="166"/>
    <x v="1"/>
    <x v="1"/>
    <x v="6"/>
    <x v="18"/>
    <x v="11"/>
    <x v="1"/>
    <n v="3"/>
    <x v="1"/>
    <x v="1"/>
    <n v="10.5"/>
    <m/>
    <m/>
    <m/>
    <n v="21.99"/>
  </r>
  <r>
    <x v="167"/>
    <x v="2"/>
    <x v="2"/>
    <x v="13"/>
    <x v="58"/>
    <x v="1"/>
    <x v="4"/>
    <n v="0"/>
    <x v="2"/>
    <x v="2"/>
    <n v="5"/>
    <m/>
    <m/>
    <m/>
    <n v="84.73"/>
  </r>
  <r>
    <x v="168"/>
    <x v="1"/>
    <x v="2"/>
    <x v="4"/>
    <x v="35"/>
    <x v="0"/>
    <x v="1"/>
    <n v="18"/>
    <x v="1"/>
    <x v="2"/>
    <n v="5"/>
    <m/>
    <m/>
    <m/>
    <n v="21.99"/>
  </r>
  <r>
    <x v="169"/>
    <x v="1"/>
    <x v="4"/>
    <x v="9"/>
    <x v="22"/>
    <x v="2"/>
    <x v="1"/>
    <n v="8"/>
    <x v="1"/>
    <x v="4"/>
    <n v="12.5"/>
    <m/>
    <m/>
    <m/>
    <n v="21.99"/>
  </r>
  <r>
    <x v="170"/>
    <x v="1"/>
    <x v="4"/>
    <x v="9"/>
    <x v="71"/>
    <x v="4"/>
    <x v="0"/>
    <n v="8"/>
    <x v="1"/>
    <x v="4"/>
    <n v="12.5"/>
    <m/>
    <m/>
    <m/>
    <n v="21.99"/>
  </r>
  <r>
    <x v="171"/>
    <x v="2"/>
    <x v="1"/>
    <x v="15"/>
    <x v="7"/>
    <x v="5"/>
    <x v="0"/>
    <n v="3"/>
    <x v="0"/>
    <x v="1"/>
    <n v="10.5"/>
    <m/>
    <m/>
    <m/>
    <n v="84.73"/>
  </r>
  <r>
    <x v="172"/>
    <x v="1"/>
    <x v="5"/>
    <x v="8"/>
    <x v="67"/>
    <x v="6"/>
    <x v="1"/>
    <n v="13"/>
    <x v="2"/>
    <x v="5"/>
    <n v="6"/>
    <m/>
    <m/>
    <m/>
    <n v="21.99"/>
  </r>
  <r>
    <x v="173"/>
    <x v="0"/>
    <x v="5"/>
    <x v="12"/>
    <x v="63"/>
    <x v="3"/>
    <x v="1"/>
    <n v="15"/>
    <x v="1"/>
    <x v="5"/>
    <n v="6"/>
    <m/>
    <m/>
    <m/>
    <n v="37.979999999999997"/>
  </r>
  <r>
    <x v="174"/>
    <x v="1"/>
    <x v="5"/>
    <x v="8"/>
    <x v="20"/>
    <x v="7"/>
    <x v="1"/>
    <n v="11"/>
    <x v="1"/>
    <x v="5"/>
    <n v="6"/>
    <m/>
    <m/>
    <m/>
    <n v="21.99"/>
  </r>
  <r>
    <x v="175"/>
    <x v="2"/>
    <x v="5"/>
    <x v="14"/>
    <x v="72"/>
    <x v="8"/>
    <x v="0"/>
    <n v="12"/>
    <x v="0"/>
    <x v="5"/>
    <n v="6"/>
    <m/>
    <m/>
    <m/>
    <n v="84.73"/>
  </r>
  <r>
    <x v="176"/>
    <x v="2"/>
    <x v="3"/>
    <x v="11"/>
    <x v="20"/>
    <x v="9"/>
    <x v="1"/>
    <n v="3"/>
    <x v="3"/>
    <x v="3"/>
    <n v="9"/>
    <m/>
    <m/>
    <m/>
    <n v="84.73"/>
  </r>
  <r>
    <x v="177"/>
    <x v="1"/>
    <x v="5"/>
    <x v="8"/>
    <x v="58"/>
    <x v="10"/>
    <x v="1"/>
    <n v="11"/>
    <x v="3"/>
    <x v="5"/>
    <n v="6"/>
    <m/>
    <m/>
    <m/>
    <n v="21.99"/>
  </r>
  <r>
    <x v="178"/>
    <x v="0"/>
    <x v="1"/>
    <x v="1"/>
    <x v="29"/>
    <x v="11"/>
    <x v="2"/>
    <n v="0"/>
    <x v="3"/>
    <x v="1"/>
    <n v="10.5"/>
    <m/>
    <m/>
    <m/>
    <n v="37.979999999999997"/>
  </r>
  <r>
    <x v="179"/>
    <x v="2"/>
    <x v="2"/>
    <x v="13"/>
    <x v="35"/>
    <x v="1"/>
    <x v="1"/>
    <n v="18"/>
    <x v="2"/>
    <x v="2"/>
    <n v="5"/>
    <m/>
    <m/>
    <m/>
    <n v="84.73"/>
  </r>
  <r>
    <x v="180"/>
    <x v="0"/>
    <x v="0"/>
    <x v="0"/>
    <x v="15"/>
    <x v="0"/>
    <x v="1"/>
    <n v="2"/>
    <x v="0"/>
    <x v="0"/>
    <n v="7"/>
    <m/>
    <m/>
    <m/>
    <n v="37.979999999999997"/>
  </r>
  <r>
    <x v="181"/>
    <x v="1"/>
    <x v="3"/>
    <x v="5"/>
    <x v="11"/>
    <x v="2"/>
    <x v="1"/>
    <n v="6"/>
    <x v="3"/>
    <x v="3"/>
    <n v="9"/>
    <m/>
    <m/>
    <m/>
    <n v="21.99"/>
  </r>
  <r>
    <x v="182"/>
    <x v="1"/>
    <x v="2"/>
    <x v="4"/>
    <x v="50"/>
    <x v="4"/>
    <x v="2"/>
    <n v="0"/>
    <x v="3"/>
    <x v="2"/>
    <n v="5"/>
    <m/>
    <m/>
    <m/>
    <n v="21.99"/>
  </r>
  <r>
    <x v="183"/>
    <x v="1"/>
    <x v="3"/>
    <x v="5"/>
    <x v="53"/>
    <x v="5"/>
    <x v="1"/>
    <n v="2"/>
    <x v="2"/>
    <x v="3"/>
    <n v="9"/>
    <m/>
    <m/>
    <m/>
    <n v="21.99"/>
  </r>
  <r>
    <x v="184"/>
    <x v="1"/>
    <x v="5"/>
    <x v="8"/>
    <x v="60"/>
    <x v="6"/>
    <x v="3"/>
    <n v="0"/>
    <x v="0"/>
    <x v="5"/>
    <n v="6"/>
    <m/>
    <m/>
    <m/>
    <n v="21.99"/>
  </r>
  <r>
    <x v="185"/>
    <x v="1"/>
    <x v="3"/>
    <x v="5"/>
    <x v="44"/>
    <x v="3"/>
    <x v="1"/>
    <n v="2"/>
    <x v="1"/>
    <x v="3"/>
    <n v="9"/>
    <m/>
    <m/>
    <m/>
    <n v="21.99"/>
  </r>
  <r>
    <x v="186"/>
    <x v="1"/>
    <x v="5"/>
    <x v="8"/>
    <x v="24"/>
    <x v="7"/>
    <x v="4"/>
    <n v="0"/>
    <x v="3"/>
    <x v="5"/>
    <n v="6"/>
    <m/>
    <m/>
    <m/>
    <n v="21.99"/>
  </r>
  <r>
    <x v="187"/>
    <x v="1"/>
    <x v="0"/>
    <x v="2"/>
    <x v="10"/>
    <x v="8"/>
    <x v="0"/>
    <n v="2"/>
    <x v="0"/>
    <x v="0"/>
    <n v="7"/>
    <m/>
    <m/>
    <m/>
    <n v="21.99"/>
  </r>
  <r>
    <x v="188"/>
    <x v="1"/>
    <x v="4"/>
    <x v="9"/>
    <x v="22"/>
    <x v="9"/>
    <x v="4"/>
    <n v="0"/>
    <x v="3"/>
    <x v="4"/>
    <n v="12.5"/>
    <m/>
    <m/>
    <m/>
    <n v="21.99"/>
  </r>
  <r>
    <x v="189"/>
    <x v="1"/>
    <x v="0"/>
    <x v="2"/>
    <x v="24"/>
    <x v="10"/>
    <x v="1"/>
    <n v="3"/>
    <x v="1"/>
    <x v="0"/>
    <n v="7"/>
    <m/>
    <m/>
    <m/>
    <n v="21.99"/>
  </r>
  <r>
    <x v="190"/>
    <x v="2"/>
    <x v="3"/>
    <x v="11"/>
    <x v="40"/>
    <x v="11"/>
    <x v="1"/>
    <n v="3"/>
    <x v="2"/>
    <x v="3"/>
    <n v="9"/>
    <m/>
    <m/>
    <m/>
    <n v="84.73"/>
  </r>
  <r>
    <x v="191"/>
    <x v="2"/>
    <x v="0"/>
    <x v="10"/>
    <x v="37"/>
    <x v="1"/>
    <x v="1"/>
    <n v="3"/>
    <x v="1"/>
    <x v="0"/>
    <n v="7"/>
    <m/>
    <m/>
    <m/>
    <n v="84.73"/>
  </r>
  <r>
    <x v="192"/>
    <x v="1"/>
    <x v="3"/>
    <x v="5"/>
    <x v="50"/>
    <x v="0"/>
    <x v="1"/>
    <n v="3"/>
    <x v="2"/>
    <x v="3"/>
    <n v="9"/>
    <m/>
    <m/>
    <m/>
    <n v="21.99"/>
  </r>
  <r>
    <x v="193"/>
    <x v="1"/>
    <x v="5"/>
    <x v="8"/>
    <x v="41"/>
    <x v="2"/>
    <x v="2"/>
    <n v="0"/>
    <x v="2"/>
    <x v="5"/>
    <n v="6"/>
    <m/>
    <m/>
    <m/>
    <n v="21.99"/>
  </r>
  <r>
    <x v="194"/>
    <x v="0"/>
    <x v="1"/>
    <x v="1"/>
    <x v="58"/>
    <x v="4"/>
    <x v="2"/>
    <n v="0"/>
    <x v="0"/>
    <x v="1"/>
    <n v="10.5"/>
    <m/>
    <m/>
    <m/>
    <n v="37.979999999999997"/>
  </r>
  <r>
    <x v="195"/>
    <x v="1"/>
    <x v="2"/>
    <x v="4"/>
    <x v="73"/>
    <x v="5"/>
    <x v="1"/>
    <n v="15"/>
    <x v="2"/>
    <x v="2"/>
    <n v="5"/>
    <m/>
    <m/>
    <m/>
    <n v="21.99"/>
  </r>
  <r>
    <x v="196"/>
    <x v="1"/>
    <x v="4"/>
    <x v="9"/>
    <x v="18"/>
    <x v="6"/>
    <x v="1"/>
    <n v="5"/>
    <x v="0"/>
    <x v="4"/>
    <n v="12.5"/>
    <m/>
    <m/>
    <m/>
    <n v="21.99"/>
  </r>
  <r>
    <x v="197"/>
    <x v="1"/>
    <x v="2"/>
    <x v="4"/>
    <x v="68"/>
    <x v="3"/>
    <x v="1"/>
    <n v="22"/>
    <x v="0"/>
    <x v="2"/>
    <n v="5"/>
    <m/>
    <m/>
    <m/>
    <n v="21.99"/>
  </r>
  <r>
    <x v="198"/>
    <x v="1"/>
    <x v="5"/>
    <x v="8"/>
    <x v="37"/>
    <x v="7"/>
    <x v="4"/>
    <n v="0"/>
    <x v="1"/>
    <x v="5"/>
    <n v="6"/>
    <m/>
    <m/>
    <m/>
    <n v="21.99"/>
  </r>
  <r>
    <x v="199"/>
    <x v="1"/>
    <x v="1"/>
    <x v="6"/>
    <x v="2"/>
    <x v="8"/>
    <x v="2"/>
    <n v="0"/>
    <x v="2"/>
    <x v="1"/>
    <n v="10.5"/>
    <m/>
    <m/>
    <m/>
    <n v="21.99"/>
  </r>
  <r>
    <x v="200"/>
    <x v="0"/>
    <x v="2"/>
    <x v="3"/>
    <x v="16"/>
    <x v="9"/>
    <x v="4"/>
    <n v="0"/>
    <x v="3"/>
    <x v="2"/>
    <n v="5"/>
    <m/>
    <m/>
    <m/>
    <n v="37.979999999999997"/>
  </r>
  <r>
    <x v="201"/>
    <x v="1"/>
    <x v="5"/>
    <x v="8"/>
    <x v="20"/>
    <x v="10"/>
    <x v="3"/>
    <n v="0"/>
    <x v="3"/>
    <x v="5"/>
    <n v="6"/>
    <m/>
    <m/>
    <m/>
    <n v="21.99"/>
  </r>
  <r>
    <x v="202"/>
    <x v="1"/>
    <x v="2"/>
    <x v="4"/>
    <x v="30"/>
    <x v="11"/>
    <x v="4"/>
    <n v="0"/>
    <x v="0"/>
    <x v="2"/>
    <n v="5"/>
    <m/>
    <m/>
    <m/>
    <n v="21.99"/>
  </r>
  <r>
    <x v="203"/>
    <x v="0"/>
    <x v="4"/>
    <x v="17"/>
    <x v="57"/>
    <x v="1"/>
    <x v="1"/>
    <n v="8"/>
    <x v="3"/>
    <x v="4"/>
    <n v="12.5"/>
    <m/>
    <m/>
    <m/>
    <n v="37.979999999999997"/>
  </r>
  <r>
    <x v="204"/>
    <x v="0"/>
    <x v="4"/>
    <x v="17"/>
    <x v="74"/>
    <x v="0"/>
    <x v="1"/>
    <n v="8"/>
    <x v="3"/>
    <x v="4"/>
    <n v="12.5"/>
    <m/>
    <m/>
    <m/>
    <n v="37.979999999999997"/>
  </r>
  <r>
    <x v="205"/>
    <x v="1"/>
    <x v="5"/>
    <x v="8"/>
    <x v="45"/>
    <x v="2"/>
    <x v="1"/>
    <n v="11"/>
    <x v="2"/>
    <x v="5"/>
    <n v="6"/>
    <m/>
    <m/>
    <m/>
    <n v="21.99"/>
  </r>
  <r>
    <x v="206"/>
    <x v="1"/>
    <x v="3"/>
    <x v="5"/>
    <x v="34"/>
    <x v="4"/>
    <x v="3"/>
    <n v="0"/>
    <x v="1"/>
    <x v="3"/>
    <n v="9"/>
    <m/>
    <m/>
    <m/>
    <n v="21.99"/>
  </r>
  <r>
    <x v="207"/>
    <x v="1"/>
    <x v="0"/>
    <x v="2"/>
    <x v="13"/>
    <x v="5"/>
    <x v="4"/>
    <n v="0"/>
    <x v="3"/>
    <x v="0"/>
    <n v="7"/>
    <m/>
    <m/>
    <m/>
    <n v="21.99"/>
  </r>
  <r>
    <x v="208"/>
    <x v="1"/>
    <x v="5"/>
    <x v="8"/>
    <x v="37"/>
    <x v="6"/>
    <x v="1"/>
    <n v="10"/>
    <x v="3"/>
    <x v="5"/>
    <n v="6"/>
    <m/>
    <m/>
    <m/>
    <n v="21.99"/>
  </r>
  <r>
    <x v="209"/>
    <x v="1"/>
    <x v="3"/>
    <x v="5"/>
    <x v="44"/>
    <x v="3"/>
    <x v="2"/>
    <n v="0"/>
    <x v="3"/>
    <x v="3"/>
    <n v="9"/>
    <m/>
    <m/>
    <m/>
    <n v="21.99"/>
  </r>
  <r>
    <x v="210"/>
    <x v="2"/>
    <x v="0"/>
    <x v="10"/>
    <x v="22"/>
    <x v="7"/>
    <x v="2"/>
    <n v="0"/>
    <x v="0"/>
    <x v="0"/>
    <n v="7"/>
    <m/>
    <m/>
    <m/>
    <n v="84.73"/>
  </r>
  <r>
    <x v="211"/>
    <x v="1"/>
    <x v="4"/>
    <x v="9"/>
    <x v="75"/>
    <x v="8"/>
    <x v="1"/>
    <n v="5"/>
    <x v="0"/>
    <x v="4"/>
    <n v="12.5"/>
    <m/>
    <m/>
    <m/>
    <n v="21.99"/>
  </r>
  <r>
    <x v="211"/>
    <x v="1"/>
    <x v="4"/>
    <x v="9"/>
    <x v="75"/>
    <x v="9"/>
    <x v="1"/>
    <n v="5"/>
    <x v="0"/>
    <x v="4"/>
    <n v="12.5"/>
    <m/>
    <m/>
    <m/>
    <n v="21.99"/>
  </r>
  <r>
    <x v="212"/>
    <x v="1"/>
    <x v="1"/>
    <x v="6"/>
    <x v="20"/>
    <x v="10"/>
    <x v="3"/>
    <n v="0"/>
    <x v="0"/>
    <x v="1"/>
    <n v="10.5"/>
    <m/>
    <m/>
    <m/>
    <n v="21.99"/>
  </r>
  <r>
    <x v="213"/>
    <x v="0"/>
    <x v="5"/>
    <x v="12"/>
    <x v="50"/>
    <x v="11"/>
    <x v="2"/>
    <n v="0"/>
    <x v="0"/>
    <x v="5"/>
    <n v="6"/>
    <m/>
    <m/>
    <m/>
    <n v="37.979999999999997"/>
  </r>
  <r>
    <x v="214"/>
    <x v="1"/>
    <x v="1"/>
    <x v="6"/>
    <x v="2"/>
    <x v="1"/>
    <x v="3"/>
    <n v="0"/>
    <x v="0"/>
    <x v="1"/>
    <n v="10.5"/>
    <m/>
    <m/>
    <m/>
    <n v="21.99"/>
  </r>
  <r>
    <x v="215"/>
    <x v="2"/>
    <x v="1"/>
    <x v="15"/>
    <x v="4"/>
    <x v="0"/>
    <x v="2"/>
    <n v="0"/>
    <x v="0"/>
    <x v="1"/>
    <n v="10.5"/>
    <m/>
    <m/>
    <m/>
    <n v="84.73"/>
  </r>
  <r>
    <x v="216"/>
    <x v="2"/>
    <x v="0"/>
    <x v="10"/>
    <x v="26"/>
    <x v="2"/>
    <x v="1"/>
    <n v="3"/>
    <x v="3"/>
    <x v="0"/>
    <n v="7"/>
    <m/>
    <m/>
    <m/>
    <n v="84.73"/>
  </r>
  <r>
    <x v="217"/>
    <x v="1"/>
    <x v="4"/>
    <x v="9"/>
    <x v="66"/>
    <x v="4"/>
    <x v="1"/>
    <n v="8"/>
    <x v="0"/>
    <x v="4"/>
    <n v="12.5"/>
    <m/>
    <m/>
    <m/>
    <n v="21.99"/>
  </r>
  <r>
    <x v="218"/>
    <x v="1"/>
    <x v="4"/>
    <x v="9"/>
    <x v="4"/>
    <x v="5"/>
    <x v="2"/>
    <n v="0"/>
    <x v="3"/>
    <x v="4"/>
    <n v="12.5"/>
    <m/>
    <m/>
    <m/>
    <n v="21.99"/>
  </r>
  <r>
    <x v="219"/>
    <x v="0"/>
    <x v="2"/>
    <x v="3"/>
    <x v="65"/>
    <x v="6"/>
    <x v="4"/>
    <n v="0"/>
    <x v="2"/>
    <x v="2"/>
    <n v="5"/>
    <m/>
    <m/>
    <m/>
    <n v="37.979999999999997"/>
  </r>
  <r>
    <x v="220"/>
    <x v="0"/>
    <x v="5"/>
    <x v="12"/>
    <x v="13"/>
    <x v="3"/>
    <x v="0"/>
    <n v="10"/>
    <x v="1"/>
    <x v="5"/>
    <n v="6"/>
    <m/>
    <m/>
    <m/>
    <n v="37.979999999999997"/>
  </r>
  <r>
    <x v="221"/>
    <x v="2"/>
    <x v="1"/>
    <x v="15"/>
    <x v="37"/>
    <x v="7"/>
    <x v="1"/>
    <n v="2"/>
    <x v="0"/>
    <x v="1"/>
    <n v="10.5"/>
    <m/>
    <m/>
    <m/>
    <n v="84.73"/>
  </r>
  <r>
    <x v="222"/>
    <x v="1"/>
    <x v="5"/>
    <x v="8"/>
    <x v="36"/>
    <x v="8"/>
    <x v="2"/>
    <n v="0"/>
    <x v="1"/>
    <x v="5"/>
    <n v="6"/>
    <m/>
    <m/>
    <m/>
    <n v="21.99"/>
  </r>
  <r>
    <x v="223"/>
    <x v="2"/>
    <x v="0"/>
    <x v="10"/>
    <x v="76"/>
    <x v="9"/>
    <x v="1"/>
    <n v="2"/>
    <x v="1"/>
    <x v="0"/>
    <n v="7"/>
    <m/>
    <m/>
    <m/>
    <n v="84.73"/>
  </r>
  <r>
    <x v="224"/>
    <x v="1"/>
    <x v="1"/>
    <x v="6"/>
    <x v="73"/>
    <x v="10"/>
    <x v="2"/>
    <n v="0"/>
    <x v="3"/>
    <x v="1"/>
    <n v="10.5"/>
    <m/>
    <m/>
    <m/>
    <n v="21.99"/>
  </r>
  <r>
    <x v="225"/>
    <x v="1"/>
    <x v="5"/>
    <x v="8"/>
    <x v="8"/>
    <x v="11"/>
    <x v="1"/>
    <n v="13"/>
    <x v="3"/>
    <x v="5"/>
    <n v="6"/>
    <m/>
    <m/>
    <m/>
    <n v="21.99"/>
  </r>
  <r>
    <x v="226"/>
    <x v="1"/>
    <x v="5"/>
    <x v="8"/>
    <x v="77"/>
    <x v="1"/>
    <x v="1"/>
    <n v="18"/>
    <x v="3"/>
    <x v="5"/>
    <n v="6"/>
    <m/>
    <m/>
    <m/>
    <n v="21.99"/>
  </r>
  <r>
    <x v="227"/>
    <x v="1"/>
    <x v="0"/>
    <x v="2"/>
    <x v="36"/>
    <x v="0"/>
    <x v="0"/>
    <n v="3"/>
    <x v="1"/>
    <x v="0"/>
    <n v="7"/>
    <m/>
    <m/>
    <m/>
    <n v="21.99"/>
  </r>
  <r>
    <x v="228"/>
    <x v="1"/>
    <x v="3"/>
    <x v="5"/>
    <x v="54"/>
    <x v="2"/>
    <x v="1"/>
    <n v="2"/>
    <x v="2"/>
    <x v="3"/>
    <n v="9"/>
    <m/>
    <m/>
    <m/>
    <n v="21.99"/>
  </r>
  <r>
    <x v="229"/>
    <x v="1"/>
    <x v="0"/>
    <x v="2"/>
    <x v="55"/>
    <x v="4"/>
    <x v="1"/>
    <n v="2"/>
    <x v="3"/>
    <x v="0"/>
    <n v="7"/>
    <m/>
    <m/>
    <m/>
    <n v="21.99"/>
  </r>
  <r>
    <x v="230"/>
    <x v="2"/>
    <x v="3"/>
    <x v="11"/>
    <x v="7"/>
    <x v="5"/>
    <x v="3"/>
    <n v="0"/>
    <x v="1"/>
    <x v="3"/>
    <n v="9"/>
    <m/>
    <m/>
    <m/>
    <n v="84.73"/>
  </r>
  <r>
    <x v="231"/>
    <x v="1"/>
    <x v="0"/>
    <x v="2"/>
    <x v="0"/>
    <x v="6"/>
    <x v="1"/>
    <n v="3"/>
    <x v="0"/>
    <x v="0"/>
    <n v="7"/>
    <m/>
    <m/>
    <m/>
    <n v="21.99"/>
  </r>
  <r>
    <x v="232"/>
    <x v="1"/>
    <x v="2"/>
    <x v="4"/>
    <x v="11"/>
    <x v="3"/>
    <x v="3"/>
    <n v="0"/>
    <x v="2"/>
    <x v="2"/>
    <n v="5"/>
    <m/>
    <m/>
    <m/>
    <n v="21.99"/>
  </r>
  <r>
    <x v="233"/>
    <x v="1"/>
    <x v="5"/>
    <x v="8"/>
    <x v="69"/>
    <x v="7"/>
    <x v="1"/>
    <n v="19"/>
    <x v="2"/>
    <x v="5"/>
    <n v="6"/>
    <m/>
    <m/>
    <m/>
    <n v="21.99"/>
  </r>
  <r>
    <x v="234"/>
    <x v="1"/>
    <x v="1"/>
    <x v="6"/>
    <x v="35"/>
    <x v="8"/>
    <x v="2"/>
    <n v="0"/>
    <x v="0"/>
    <x v="1"/>
    <n v="10.5"/>
    <m/>
    <m/>
    <m/>
    <n v="21.99"/>
  </r>
  <r>
    <x v="235"/>
    <x v="2"/>
    <x v="4"/>
    <x v="7"/>
    <x v="78"/>
    <x v="9"/>
    <x v="1"/>
    <n v="6"/>
    <x v="3"/>
    <x v="4"/>
    <n v="12.5"/>
    <m/>
    <m/>
    <m/>
    <n v="84.73"/>
  </r>
  <r>
    <x v="236"/>
    <x v="0"/>
    <x v="2"/>
    <x v="3"/>
    <x v="12"/>
    <x v="10"/>
    <x v="4"/>
    <n v="0"/>
    <x v="0"/>
    <x v="2"/>
    <n v="5"/>
    <m/>
    <m/>
    <m/>
    <n v="37.979999999999997"/>
  </r>
  <r>
    <x v="237"/>
    <x v="1"/>
    <x v="3"/>
    <x v="5"/>
    <x v="29"/>
    <x v="11"/>
    <x v="1"/>
    <n v="3"/>
    <x v="2"/>
    <x v="3"/>
    <n v="9"/>
    <m/>
    <m/>
    <m/>
    <n v="21.99"/>
  </r>
  <r>
    <x v="238"/>
    <x v="2"/>
    <x v="4"/>
    <x v="7"/>
    <x v="79"/>
    <x v="1"/>
    <x v="1"/>
    <n v="8"/>
    <x v="0"/>
    <x v="4"/>
    <n v="12.5"/>
    <m/>
    <m/>
    <m/>
    <n v="84.73"/>
  </r>
  <r>
    <x v="239"/>
    <x v="2"/>
    <x v="4"/>
    <x v="7"/>
    <x v="4"/>
    <x v="0"/>
    <x v="2"/>
    <n v="0"/>
    <x v="0"/>
    <x v="4"/>
    <n v="12.5"/>
    <m/>
    <m/>
    <m/>
    <n v="84.73"/>
  </r>
  <r>
    <x v="240"/>
    <x v="1"/>
    <x v="4"/>
    <x v="9"/>
    <x v="58"/>
    <x v="2"/>
    <x v="1"/>
    <n v="10"/>
    <x v="2"/>
    <x v="4"/>
    <n v="12.5"/>
    <m/>
    <m/>
    <m/>
    <n v="21.99"/>
  </r>
  <r>
    <x v="241"/>
    <x v="2"/>
    <x v="3"/>
    <x v="11"/>
    <x v="26"/>
    <x v="4"/>
    <x v="0"/>
    <n v="3"/>
    <x v="0"/>
    <x v="3"/>
    <n v="9"/>
    <m/>
    <m/>
    <m/>
    <n v="84.73"/>
  </r>
  <r>
    <x v="242"/>
    <x v="1"/>
    <x v="0"/>
    <x v="2"/>
    <x v="27"/>
    <x v="5"/>
    <x v="2"/>
    <n v="0"/>
    <x v="3"/>
    <x v="0"/>
    <n v="7"/>
    <m/>
    <m/>
    <m/>
    <n v="21.99"/>
  </r>
  <r>
    <x v="243"/>
    <x v="0"/>
    <x v="4"/>
    <x v="17"/>
    <x v="42"/>
    <x v="6"/>
    <x v="4"/>
    <n v="0"/>
    <x v="1"/>
    <x v="4"/>
    <n v="12.5"/>
    <m/>
    <m/>
    <m/>
    <n v="37.979999999999997"/>
  </r>
  <r>
    <x v="244"/>
    <x v="1"/>
    <x v="0"/>
    <x v="2"/>
    <x v="11"/>
    <x v="3"/>
    <x v="0"/>
    <n v="2"/>
    <x v="0"/>
    <x v="0"/>
    <n v="7"/>
    <m/>
    <m/>
    <m/>
    <n v="21.99"/>
  </r>
  <r>
    <x v="245"/>
    <x v="1"/>
    <x v="5"/>
    <x v="8"/>
    <x v="42"/>
    <x v="7"/>
    <x v="1"/>
    <n v="17"/>
    <x v="1"/>
    <x v="5"/>
    <n v="6"/>
    <m/>
    <m/>
    <m/>
    <n v="21.99"/>
  </r>
  <r>
    <x v="245"/>
    <x v="1"/>
    <x v="5"/>
    <x v="8"/>
    <x v="42"/>
    <x v="8"/>
    <x v="1"/>
    <n v="17"/>
    <x v="1"/>
    <x v="5"/>
    <n v="6"/>
    <m/>
    <m/>
    <m/>
    <n v="21.99"/>
  </r>
  <r>
    <x v="246"/>
    <x v="1"/>
    <x v="3"/>
    <x v="5"/>
    <x v="32"/>
    <x v="9"/>
    <x v="1"/>
    <n v="3"/>
    <x v="0"/>
    <x v="3"/>
    <n v="9"/>
    <m/>
    <m/>
    <m/>
    <n v="21.99"/>
  </r>
  <r>
    <x v="247"/>
    <x v="0"/>
    <x v="0"/>
    <x v="0"/>
    <x v="7"/>
    <x v="10"/>
    <x v="1"/>
    <n v="3"/>
    <x v="3"/>
    <x v="0"/>
    <n v="7"/>
    <m/>
    <m/>
    <m/>
    <n v="37.979999999999997"/>
  </r>
  <r>
    <x v="248"/>
    <x v="1"/>
    <x v="2"/>
    <x v="4"/>
    <x v="9"/>
    <x v="11"/>
    <x v="1"/>
    <n v="17"/>
    <x v="3"/>
    <x v="2"/>
    <n v="5"/>
    <m/>
    <m/>
    <m/>
    <n v="21.99"/>
  </r>
  <r>
    <x v="249"/>
    <x v="1"/>
    <x v="5"/>
    <x v="8"/>
    <x v="73"/>
    <x v="1"/>
    <x v="3"/>
    <n v="0"/>
    <x v="0"/>
    <x v="5"/>
    <n v="6"/>
    <m/>
    <m/>
    <m/>
    <n v="21.99"/>
  </r>
  <r>
    <x v="250"/>
    <x v="1"/>
    <x v="5"/>
    <x v="8"/>
    <x v="80"/>
    <x v="0"/>
    <x v="4"/>
    <n v="0"/>
    <x v="2"/>
    <x v="5"/>
    <n v="6"/>
    <m/>
    <m/>
    <m/>
    <n v="21.99"/>
  </r>
  <r>
    <x v="251"/>
    <x v="2"/>
    <x v="2"/>
    <x v="13"/>
    <x v="1"/>
    <x v="2"/>
    <x v="1"/>
    <n v="19"/>
    <x v="1"/>
    <x v="2"/>
    <n v="5"/>
    <m/>
    <m/>
    <m/>
    <n v="84.73"/>
  </r>
  <r>
    <x v="252"/>
    <x v="1"/>
    <x v="2"/>
    <x v="4"/>
    <x v="15"/>
    <x v="4"/>
    <x v="3"/>
    <n v="0"/>
    <x v="0"/>
    <x v="2"/>
    <n v="5"/>
    <m/>
    <m/>
    <m/>
    <n v="21.99"/>
  </r>
  <r>
    <x v="253"/>
    <x v="2"/>
    <x v="2"/>
    <x v="13"/>
    <x v="6"/>
    <x v="5"/>
    <x v="1"/>
    <n v="19"/>
    <x v="2"/>
    <x v="2"/>
    <n v="5"/>
    <m/>
    <m/>
    <m/>
    <n v="84.73"/>
  </r>
  <r>
    <x v="254"/>
    <x v="1"/>
    <x v="4"/>
    <x v="9"/>
    <x v="9"/>
    <x v="6"/>
    <x v="1"/>
    <n v="9"/>
    <x v="3"/>
    <x v="4"/>
    <n v="12.5"/>
    <m/>
    <m/>
    <m/>
    <n v="21.99"/>
  </r>
  <r>
    <x v="255"/>
    <x v="1"/>
    <x v="3"/>
    <x v="5"/>
    <x v="43"/>
    <x v="3"/>
    <x v="2"/>
    <n v="0"/>
    <x v="2"/>
    <x v="3"/>
    <n v="9"/>
    <m/>
    <m/>
    <m/>
    <n v="21.99"/>
  </r>
  <r>
    <x v="256"/>
    <x v="1"/>
    <x v="1"/>
    <x v="6"/>
    <x v="42"/>
    <x v="7"/>
    <x v="1"/>
    <n v="2"/>
    <x v="1"/>
    <x v="1"/>
    <n v="10.5"/>
    <m/>
    <m/>
    <m/>
    <n v="21.99"/>
  </r>
  <r>
    <x v="257"/>
    <x v="1"/>
    <x v="1"/>
    <x v="6"/>
    <x v="54"/>
    <x v="8"/>
    <x v="2"/>
    <n v="0"/>
    <x v="2"/>
    <x v="1"/>
    <n v="10.5"/>
    <m/>
    <m/>
    <m/>
    <n v="21.99"/>
  </r>
  <r>
    <x v="258"/>
    <x v="1"/>
    <x v="3"/>
    <x v="5"/>
    <x v="81"/>
    <x v="9"/>
    <x v="1"/>
    <n v="3"/>
    <x v="3"/>
    <x v="3"/>
    <n v="9"/>
    <m/>
    <m/>
    <m/>
    <n v="21.99"/>
  </r>
  <r>
    <x v="259"/>
    <x v="2"/>
    <x v="4"/>
    <x v="7"/>
    <x v="66"/>
    <x v="10"/>
    <x v="1"/>
    <n v="6"/>
    <x v="3"/>
    <x v="4"/>
    <n v="12.5"/>
    <m/>
    <m/>
    <m/>
    <n v="84.73"/>
  </r>
  <r>
    <x v="260"/>
    <x v="1"/>
    <x v="5"/>
    <x v="8"/>
    <x v="75"/>
    <x v="11"/>
    <x v="1"/>
    <n v="13"/>
    <x v="3"/>
    <x v="5"/>
    <n v="6"/>
    <m/>
    <m/>
    <m/>
    <n v="21.99"/>
  </r>
  <r>
    <x v="261"/>
    <x v="2"/>
    <x v="0"/>
    <x v="10"/>
    <x v="63"/>
    <x v="1"/>
    <x v="4"/>
    <n v="0"/>
    <x v="1"/>
    <x v="0"/>
    <n v="7"/>
    <m/>
    <m/>
    <m/>
    <n v="84.73"/>
  </r>
  <r>
    <x v="262"/>
    <x v="1"/>
    <x v="5"/>
    <x v="8"/>
    <x v="24"/>
    <x v="0"/>
    <x v="1"/>
    <n v="13"/>
    <x v="1"/>
    <x v="5"/>
    <n v="6"/>
    <m/>
    <m/>
    <m/>
    <n v="21.99"/>
  </r>
  <r>
    <x v="263"/>
    <x v="0"/>
    <x v="5"/>
    <x v="12"/>
    <x v="29"/>
    <x v="2"/>
    <x v="1"/>
    <n v="13"/>
    <x v="1"/>
    <x v="5"/>
    <n v="6"/>
    <m/>
    <m/>
    <m/>
    <n v="37.979999999999997"/>
  </r>
  <r>
    <x v="264"/>
    <x v="0"/>
    <x v="3"/>
    <x v="16"/>
    <x v="6"/>
    <x v="4"/>
    <x v="2"/>
    <n v="0"/>
    <x v="2"/>
    <x v="3"/>
    <n v="9"/>
    <m/>
    <m/>
    <m/>
    <n v="37.979999999999997"/>
  </r>
  <r>
    <x v="265"/>
    <x v="0"/>
    <x v="0"/>
    <x v="0"/>
    <x v="60"/>
    <x v="5"/>
    <x v="1"/>
    <n v="3"/>
    <x v="3"/>
    <x v="0"/>
    <n v="7"/>
    <m/>
    <m/>
    <m/>
    <n v="37.979999999999997"/>
  </r>
  <r>
    <x v="266"/>
    <x v="1"/>
    <x v="4"/>
    <x v="9"/>
    <x v="28"/>
    <x v="6"/>
    <x v="1"/>
    <n v="6"/>
    <x v="2"/>
    <x v="4"/>
    <n v="12.5"/>
    <m/>
    <m/>
    <m/>
    <n v="21.99"/>
  </r>
  <r>
    <x v="267"/>
    <x v="0"/>
    <x v="4"/>
    <x v="17"/>
    <x v="68"/>
    <x v="3"/>
    <x v="1"/>
    <n v="8"/>
    <x v="1"/>
    <x v="4"/>
    <n v="12.5"/>
    <m/>
    <m/>
    <m/>
    <n v="37.979999999999997"/>
  </r>
  <r>
    <x v="268"/>
    <x v="1"/>
    <x v="5"/>
    <x v="8"/>
    <x v="12"/>
    <x v="7"/>
    <x v="2"/>
    <n v="0"/>
    <x v="3"/>
    <x v="5"/>
    <n v="6"/>
    <m/>
    <m/>
    <m/>
    <n v="21.99"/>
  </r>
  <r>
    <x v="269"/>
    <x v="1"/>
    <x v="4"/>
    <x v="9"/>
    <x v="82"/>
    <x v="8"/>
    <x v="1"/>
    <n v="5"/>
    <x v="0"/>
    <x v="4"/>
    <n v="12.5"/>
    <m/>
    <m/>
    <m/>
    <n v="21.99"/>
  </r>
  <r>
    <x v="270"/>
    <x v="1"/>
    <x v="1"/>
    <x v="6"/>
    <x v="83"/>
    <x v="9"/>
    <x v="4"/>
    <n v="0"/>
    <x v="1"/>
    <x v="1"/>
    <n v="10.5"/>
    <m/>
    <m/>
    <m/>
    <n v="21.99"/>
  </r>
  <r>
    <x v="270"/>
    <x v="1"/>
    <x v="1"/>
    <x v="6"/>
    <x v="83"/>
    <x v="10"/>
    <x v="4"/>
    <n v="0"/>
    <x v="1"/>
    <x v="1"/>
    <n v="10.5"/>
    <m/>
    <m/>
    <m/>
    <n v="21.99"/>
  </r>
  <r>
    <x v="271"/>
    <x v="1"/>
    <x v="4"/>
    <x v="9"/>
    <x v="43"/>
    <x v="11"/>
    <x v="1"/>
    <n v="7"/>
    <x v="0"/>
    <x v="4"/>
    <n v="12.5"/>
    <m/>
    <m/>
    <m/>
    <n v="21.99"/>
  </r>
  <r>
    <x v="272"/>
    <x v="2"/>
    <x v="4"/>
    <x v="7"/>
    <x v="84"/>
    <x v="1"/>
    <x v="3"/>
    <n v="0"/>
    <x v="0"/>
    <x v="4"/>
    <n v="12.5"/>
    <m/>
    <m/>
    <m/>
    <n v="84.73"/>
  </r>
  <r>
    <x v="273"/>
    <x v="1"/>
    <x v="1"/>
    <x v="6"/>
    <x v="30"/>
    <x v="0"/>
    <x v="1"/>
    <n v="3"/>
    <x v="3"/>
    <x v="1"/>
    <n v="10.5"/>
    <m/>
    <m/>
    <m/>
    <n v="21.99"/>
  </r>
  <r>
    <x v="274"/>
    <x v="2"/>
    <x v="4"/>
    <x v="7"/>
    <x v="60"/>
    <x v="2"/>
    <x v="4"/>
    <n v="0"/>
    <x v="3"/>
    <x v="4"/>
    <n v="12.5"/>
    <m/>
    <m/>
    <m/>
    <n v="84.73"/>
  </r>
  <r>
    <x v="275"/>
    <x v="1"/>
    <x v="1"/>
    <x v="6"/>
    <x v="67"/>
    <x v="4"/>
    <x v="1"/>
    <n v="3"/>
    <x v="3"/>
    <x v="1"/>
    <n v="10.5"/>
    <m/>
    <m/>
    <m/>
    <n v="21.99"/>
  </r>
  <r>
    <x v="276"/>
    <x v="0"/>
    <x v="2"/>
    <x v="3"/>
    <x v="33"/>
    <x v="5"/>
    <x v="2"/>
    <n v="0"/>
    <x v="1"/>
    <x v="2"/>
    <n v="5"/>
    <m/>
    <m/>
    <m/>
    <n v="37.979999999999997"/>
  </r>
  <r>
    <x v="277"/>
    <x v="1"/>
    <x v="5"/>
    <x v="8"/>
    <x v="24"/>
    <x v="6"/>
    <x v="1"/>
    <n v="11"/>
    <x v="2"/>
    <x v="5"/>
    <n v="6"/>
    <m/>
    <m/>
    <m/>
    <n v="21.99"/>
  </r>
  <r>
    <x v="278"/>
    <x v="1"/>
    <x v="2"/>
    <x v="4"/>
    <x v="68"/>
    <x v="3"/>
    <x v="2"/>
    <n v="0"/>
    <x v="1"/>
    <x v="2"/>
    <n v="5"/>
    <m/>
    <m/>
    <m/>
    <n v="21.99"/>
  </r>
  <r>
    <x v="279"/>
    <x v="0"/>
    <x v="3"/>
    <x v="16"/>
    <x v="0"/>
    <x v="7"/>
    <x v="3"/>
    <n v="0"/>
    <x v="3"/>
    <x v="3"/>
    <n v="9"/>
    <m/>
    <m/>
    <m/>
    <n v="37.979999999999997"/>
  </r>
  <r>
    <x v="280"/>
    <x v="0"/>
    <x v="1"/>
    <x v="1"/>
    <x v="85"/>
    <x v="8"/>
    <x v="2"/>
    <n v="0"/>
    <x v="2"/>
    <x v="1"/>
    <n v="10.5"/>
    <m/>
    <m/>
    <m/>
    <n v="37.979999999999997"/>
  </r>
  <r>
    <x v="281"/>
    <x v="1"/>
    <x v="5"/>
    <x v="8"/>
    <x v="61"/>
    <x v="9"/>
    <x v="1"/>
    <n v="15"/>
    <x v="2"/>
    <x v="5"/>
    <n v="6"/>
    <m/>
    <m/>
    <m/>
    <n v="21.99"/>
  </r>
  <r>
    <x v="282"/>
    <x v="1"/>
    <x v="1"/>
    <x v="6"/>
    <x v="35"/>
    <x v="10"/>
    <x v="1"/>
    <n v="2"/>
    <x v="3"/>
    <x v="1"/>
    <n v="10.5"/>
    <m/>
    <m/>
    <m/>
    <n v="21.99"/>
  </r>
  <r>
    <x v="283"/>
    <x v="1"/>
    <x v="1"/>
    <x v="6"/>
    <x v="36"/>
    <x v="11"/>
    <x v="1"/>
    <n v="3"/>
    <x v="0"/>
    <x v="1"/>
    <n v="10.5"/>
    <m/>
    <m/>
    <m/>
    <n v="21.99"/>
  </r>
  <r>
    <x v="284"/>
    <x v="1"/>
    <x v="0"/>
    <x v="2"/>
    <x v="59"/>
    <x v="1"/>
    <x v="1"/>
    <n v="3"/>
    <x v="2"/>
    <x v="0"/>
    <n v="7"/>
    <m/>
    <m/>
    <m/>
    <n v="21.99"/>
  </r>
  <r>
    <x v="285"/>
    <x v="2"/>
    <x v="4"/>
    <x v="7"/>
    <x v="8"/>
    <x v="0"/>
    <x v="0"/>
    <n v="7"/>
    <x v="2"/>
    <x v="4"/>
    <n v="12.5"/>
    <m/>
    <m/>
    <m/>
    <n v="84.73"/>
  </r>
  <r>
    <x v="286"/>
    <x v="2"/>
    <x v="4"/>
    <x v="7"/>
    <x v="86"/>
    <x v="2"/>
    <x v="2"/>
    <n v="0"/>
    <x v="3"/>
    <x v="4"/>
    <n v="12.5"/>
    <m/>
    <m/>
    <m/>
    <n v="84.73"/>
  </r>
  <r>
    <x v="287"/>
    <x v="1"/>
    <x v="4"/>
    <x v="9"/>
    <x v="29"/>
    <x v="4"/>
    <x v="2"/>
    <n v="0"/>
    <x v="0"/>
    <x v="4"/>
    <n v="12.5"/>
    <m/>
    <m/>
    <m/>
    <n v="21.99"/>
  </r>
  <r>
    <x v="288"/>
    <x v="1"/>
    <x v="5"/>
    <x v="8"/>
    <x v="51"/>
    <x v="5"/>
    <x v="1"/>
    <n v="12"/>
    <x v="1"/>
    <x v="5"/>
    <n v="6"/>
    <m/>
    <m/>
    <m/>
    <n v="21.99"/>
  </r>
  <r>
    <x v="289"/>
    <x v="1"/>
    <x v="0"/>
    <x v="2"/>
    <x v="60"/>
    <x v="6"/>
    <x v="2"/>
    <n v="0"/>
    <x v="3"/>
    <x v="0"/>
    <n v="7"/>
    <m/>
    <m/>
    <m/>
    <n v="21.99"/>
  </r>
  <r>
    <x v="289"/>
    <x v="1"/>
    <x v="0"/>
    <x v="2"/>
    <x v="60"/>
    <x v="3"/>
    <x v="2"/>
    <n v="0"/>
    <x v="3"/>
    <x v="0"/>
    <n v="7"/>
    <m/>
    <m/>
    <m/>
    <n v="21.99"/>
  </r>
  <r>
    <x v="290"/>
    <x v="0"/>
    <x v="4"/>
    <x v="17"/>
    <x v="44"/>
    <x v="7"/>
    <x v="2"/>
    <n v="0"/>
    <x v="3"/>
    <x v="4"/>
    <n v="12.5"/>
    <m/>
    <m/>
    <m/>
    <n v="37.979999999999997"/>
  </r>
  <r>
    <x v="291"/>
    <x v="1"/>
    <x v="1"/>
    <x v="6"/>
    <x v="52"/>
    <x v="8"/>
    <x v="1"/>
    <n v="5"/>
    <x v="0"/>
    <x v="1"/>
    <n v="10.5"/>
    <m/>
    <m/>
    <m/>
    <n v="21.99"/>
  </r>
  <r>
    <x v="292"/>
    <x v="0"/>
    <x v="0"/>
    <x v="0"/>
    <x v="81"/>
    <x v="9"/>
    <x v="1"/>
    <n v="2"/>
    <x v="1"/>
    <x v="0"/>
    <n v="7"/>
    <m/>
    <m/>
    <m/>
    <n v="37.979999999999997"/>
  </r>
  <r>
    <x v="293"/>
    <x v="1"/>
    <x v="4"/>
    <x v="9"/>
    <x v="87"/>
    <x v="10"/>
    <x v="1"/>
    <n v="7"/>
    <x v="3"/>
    <x v="4"/>
    <n v="12.5"/>
    <m/>
    <m/>
    <m/>
    <n v="21.99"/>
  </r>
  <r>
    <x v="294"/>
    <x v="1"/>
    <x v="5"/>
    <x v="8"/>
    <x v="56"/>
    <x v="11"/>
    <x v="1"/>
    <n v="15"/>
    <x v="1"/>
    <x v="5"/>
    <n v="6"/>
    <m/>
    <m/>
    <m/>
    <n v="21.99"/>
  </r>
  <r>
    <x v="295"/>
    <x v="1"/>
    <x v="2"/>
    <x v="4"/>
    <x v="26"/>
    <x v="1"/>
    <x v="3"/>
    <n v="0"/>
    <x v="2"/>
    <x v="2"/>
    <n v="5"/>
    <m/>
    <m/>
    <m/>
    <n v="21.99"/>
  </r>
  <r>
    <x v="296"/>
    <x v="2"/>
    <x v="4"/>
    <x v="7"/>
    <x v="6"/>
    <x v="0"/>
    <x v="0"/>
    <n v="5"/>
    <x v="1"/>
    <x v="4"/>
    <n v="12.5"/>
    <m/>
    <m/>
    <m/>
    <n v="84.73"/>
  </r>
  <r>
    <x v="297"/>
    <x v="1"/>
    <x v="5"/>
    <x v="8"/>
    <x v="37"/>
    <x v="2"/>
    <x v="1"/>
    <n v="10"/>
    <x v="2"/>
    <x v="5"/>
    <n v="6"/>
    <m/>
    <m/>
    <m/>
    <n v="21.99"/>
  </r>
  <r>
    <x v="298"/>
    <x v="1"/>
    <x v="1"/>
    <x v="6"/>
    <x v="5"/>
    <x v="4"/>
    <x v="1"/>
    <n v="2"/>
    <x v="0"/>
    <x v="1"/>
    <n v="10.5"/>
    <m/>
    <m/>
    <m/>
    <n v="21.99"/>
  </r>
  <r>
    <x v="299"/>
    <x v="1"/>
    <x v="2"/>
    <x v="4"/>
    <x v="71"/>
    <x v="5"/>
    <x v="1"/>
    <n v="19"/>
    <x v="0"/>
    <x v="2"/>
    <n v="5"/>
    <m/>
    <m/>
    <m/>
    <n v="21.99"/>
  </r>
  <r>
    <x v="300"/>
    <x v="1"/>
    <x v="5"/>
    <x v="8"/>
    <x v="56"/>
    <x v="6"/>
    <x v="4"/>
    <n v="0"/>
    <x v="1"/>
    <x v="5"/>
    <n v="6"/>
    <m/>
    <m/>
    <m/>
    <n v="21.99"/>
  </r>
  <r>
    <x v="301"/>
    <x v="2"/>
    <x v="4"/>
    <x v="7"/>
    <x v="71"/>
    <x v="3"/>
    <x v="1"/>
    <n v="7"/>
    <x v="0"/>
    <x v="4"/>
    <n v="12.5"/>
    <m/>
    <m/>
    <m/>
    <n v="84.73"/>
  </r>
  <r>
    <x v="302"/>
    <x v="1"/>
    <x v="3"/>
    <x v="5"/>
    <x v="31"/>
    <x v="7"/>
    <x v="1"/>
    <n v="2"/>
    <x v="3"/>
    <x v="3"/>
    <n v="9"/>
    <m/>
    <m/>
    <m/>
    <n v="21.99"/>
  </r>
  <r>
    <x v="303"/>
    <x v="1"/>
    <x v="1"/>
    <x v="6"/>
    <x v="8"/>
    <x v="8"/>
    <x v="1"/>
    <n v="2"/>
    <x v="1"/>
    <x v="1"/>
    <n v="10.5"/>
    <m/>
    <m/>
    <m/>
    <n v="21.99"/>
  </r>
  <r>
    <x v="304"/>
    <x v="1"/>
    <x v="0"/>
    <x v="2"/>
    <x v="42"/>
    <x v="9"/>
    <x v="1"/>
    <n v="3"/>
    <x v="0"/>
    <x v="0"/>
    <n v="7"/>
    <m/>
    <m/>
    <m/>
    <n v="21.99"/>
  </r>
  <r>
    <x v="305"/>
    <x v="1"/>
    <x v="1"/>
    <x v="6"/>
    <x v="35"/>
    <x v="10"/>
    <x v="1"/>
    <n v="3"/>
    <x v="1"/>
    <x v="1"/>
    <n v="10.5"/>
    <m/>
    <m/>
    <m/>
    <n v="21.99"/>
  </r>
  <r>
    <x v="306"/>
    <x v="1"/>
    <x v="0"/>
    <x v="2"/>
    <x v="56"/>
    <x v="11"/>
    <x v="3"/>
    <n v="0"/>
    <x v="0"/>
    <x v="0"/>
    <n v="7"/>
    <m/>
    <m/>
    <m/>
    <n v="21.99"/>
  </r>
  <r>
    <x v="307"/>
    <x v="1"/>
    <x v="0"/>
    <x v="2"/>
    <x v="29"/>
    <x v="1"/>
    <x v="1"/>
    <n v="5"/>
    <x v="2"/>
    <x v="0"/>
    <n v="7"/>
    <m/>
    <m/>
    <m/>
    <n v="21.99"/>
  </r>
  <r>
    <x v="308"/>
    <x v="1"/>
    <x v="3"/>
    <x v="5"/>
    <x v="88"/>
    <x v="0"/>
    <x v="2"/>
    <n v="0"/>
    <x v="0"/>
    <x v="3"/>
    <n v="9"/>
    <m/>
    <m/>
    <m/>
    <n v="21.99"/>
  </r>
  <r>
    <x v="309"/>
    <x v="1"/>
    <x v="5"/>
    <x v="8"/>
    <x v="28"/>
    <x v="2"/>
    <x v="1"/>
    <n v="15"/>
    <x v="2"/>
    <x v="5"/>
    <n v="6"/>
    <m/>
    <m/>
    <m/>
    <n v="21.99"/>
  </r>
  <r>
    <x v="310"/>
    <x v="1"/>
    <x v="1"/>
    <x v="6"/>
    <x v="89"/>
    <x v="4"/>
    <x v="2"/>
    <n v="0"/>
    <x v="2"/>
    <x v="1"/>
    <n v="10.5"/>
    <m/>
    <m/>
    <m/>
    <n v="21.99"/>
  </r>
  <r>
    <x v="311"/>
    <x v="1"/>
    <x v="2"/>
    <x v="4"/>
    <x v="45"/>
    <x v="5"/>
    <x v="1"/>
    <n v="17"/>
    <x v="0"/>
    <x v="2"/>
    <n v="5"/>
    <m/>
    <m/>
    <m/>
    <n v="21.99"/>
  </r>
  <r>
    <x v="312"/>
    <x v="1"/>
    <x v="2"/>
    <x v="4"/>
    <x v="65"/>
    <x v="6"/>
    <x v="0"/>
    <n v="19"/>
    <x v="0"/>
    <x v="2"/>
    <n v="5"/>
    <m/>
    <m/>
    <m/>
    <n v="21.99"/>
  </r>
  <r>
    <x v="313"/>
    <x v="1"/>
    <x v="5"/>
    <x v="8"/>
    <x v="61"/>
    <x v="3"/>
    <x v="1"/>
    <n v="13"/>
    <x v="2"/>
    <x v="5"/>
    <n v="6"/>
    <m/>
    <m/>
    <m/>
    <n v="21.99"/>
  </r>
  <r>
    <x v="314"/>
    <x v="1"/>
    <x v="5"/>
    <x v="8"/>
    <x v="56"/>
    <x v="7"/>
    <x v="1"/>
    <n v="10"/>
    <x v="1"/>
    <x v="5"/>
    <n v="6"/>
    <m/>
    <m/>
    <m/>
    <n v="21.99"/>
  </r>
  <r>
    <x v="315"/>
    <x v="1"/>
    <x v="5"/>
    <x v="8"/>
    <x v="65"/>
    <x v="8"/>
    <x v="1"/>
    <n v="15"/>
    <x v="3"/>
    <x v="5"/>
    <n v="6"/>
    <m/>
    <m/>
    <m/>
    <n v="21.99"/>
  </r>
  <r>
    <x v="316"/>
    <x v="1"/>
    <x v="5"/>
    <x v="8"/>
    <x v="7"/>
    <x v="9"/>
    <x v="1"/>
    <n v="10"/>
    <x v="0"/>
    <x v="5"/>
    <n v="6"/>
    <m/>
    <m/>
    <m/>
    <n v="21.99"/>
  </r>
  <r>
    <x v="317"/>
    <x v="1"/>
    <x v="2"/>
    <x v="4"/>
    <x v="4"/>
    <x v="10"/>
    <x v="1"/>
    <n v="17"/>
    <x v="3"/>
    <x v="2"/>
    <n v="5"/>
    <m/>
    <m/>
    <m/>
    <n v="21.99"/>
  </r>
  <r>
    <x v="318"/>
    <x v="1"/>
    <x v="2"/>
    <x v="4"/>
    <x v="26"/>
    <x v="11"/>
    <x v="0"/>
    <n v="18"/>
    <x v="1"/>
    <x v="2"/>
    <n v="5"/>
    <m/>
    <m/>
    <m/>
    <n v="21.99"/>
  </r>
  <r>
    <x v="319"/>
    <x v="1"/>
    <x v="4"/>
    <x v="9"/>
    <x v="22"/>
    <x v="1"/>
    <x v="0"/>
    <n v="6"/>
    <x v="3"/>
    <x v="4"/>
    <n v="12.5"/>
    <m/>
    <m/>
    <m/>
    <n v="21.99"/>
  </r>
  <r>
    <x v="320"/>
    <x v="0"/>
    <x v="0"/>
    <x v="18"/>
    <x v="90"/>
    <x v="0"/>
    <x v="1"/>
    <n v="2"/>
    <x v="0"/>
    <x v="0"/>
    <n v="7"/>
    <m/>
    <m/>
    <m/>
    <n v="37.979999999999997"/>
  </r>
  <r>
    <x v="321"/>
    <x v="2"/>
    <x v="2"/>
    <x v="19"/>
    <x v="91"/>
    <x v="2"/>
    <x v="1"/>
    <n v="16"/>
    <x v="1"/>
    <x v="2"/>
    <n v="5"/>
    <m/>
    <m/>
    <m/>
    <n v="84.73"/>
  </r>
  <r>
    <x v="322"/>
    <x v="1"/>
    <x v="0"/>
    <x v="2"/>
    <x v="92"/>
    <x v="4"/>
    <x v="1"/>
    <n v="3"/>
    <x v="3"/>
    <x v="0"/>
    <n v="7"/>
    <m/>
    <m/>
    <m/>
    <n v="21.99"/>
  </r>
  <r>
    <x v="323"/>
    <x v="0"/>
    <x v="3"/>
    <x v="20"/>
    <x v="93"/>
    <x v="5"/>
    <x v="1"/>
    <n v="2"/>
    <x v="0"/>
    <x v="3"/>
    <n v="9"/>
    <m/>
    <m/>
    <m/>
    <n v="37.979999999999997"/>
  </r>
  <r>
    <x v="324"/>
    <x v="1"/>
    <x v="1"/>
    <x v="6"/>
    <x v="94"/>
    <x v="6"/>
    <x v="0"/>
    <n v="2"/>
    <x v="2"/>
    <x v="1"/>
    <n v="10.5"/>
    <m/>
    <m/>
    <m/>
    <n v="21.99"/>
  </r>
  <r>
    <x v="325"/>
    <x v="1"/>
    <x v="5"/>
    <x v="8"/>
    <x v="40"/>
    <x v="3"/>
    <x v="4"/>
    <n v="0"/>
    <x v="2"/>
    <x v="5"/>
    <n v="6"/>
    <m/>
    <m/>
    <m/>
    <n v="21.99"/>
  </r>
  <r>
    <x v="326"/>
    <x v="2"/>
    <x v="3"/>
    <x v="21"/>
    <x v="84"/>
    <x v="7"/>
    <x v="2"/>
    <n v="0"/>
    <x v="3"/>
    <x v="3"/>
    <n v="9"/>
    <m/>
    <m/>
    <m/>
    <n v="84.73"/>
  </r>
  <r>
    <x v="327"/>
    <x v="2"/>
    <x v="2"/>
    <x v="22"/>
    <x v="95"/>
    <x v="8"/>
    <x v="1"/>
    <n v="15"/>
    <x v="2"/>
    <x v="2"/>
    <n v="5"/>
    <m/>
    <m/>
    <m/>
    <n v="84.73"/>
  </r>
  <r>
    <x v="328"/>
    <x v="1"/>
    <x v="4"/>
    <x v="9"/>
    <x v="57"/>
    <x v="9"/>
    <x v="3"/>
    <n v="0"/>
    <x v="3"/>
    <x v="4"/>
    <n v="12.5"/>
    <m/>
    <m/>
    <m/>
    <n v="21.99"/>
  </r>
  <r>
    <x v="329"/>
    <x v="2"/>
    <x v="1"/>
    <x v="23"/>
    <x v="40"/>
    <x v="10"/>
    <x v="1"/>
    <n v="3"/>
    <x v="3"/>
    <x v="1"/>
    <n v="10.5"/>
    <m/>
    <m/>
    <m/>
    <n v="84.73"/>
  </r>
  <r>
    <x v="330"/>
    <x v="1"/>
    <x v="5"/>
    <x v="8"/>
    <x v="96"/>
    <x v="11"/>
    <x v="1"/>
    <n v="11"/>
    <x v="0"/>
    <x v="5"/>
    <n v="6"/>
    <m/>
    <m/>
    <m/>
    <n v="21.99"/>
  </r>
  <r>
    <x v="331"/>
    <x v="2"/>
    <x v="1"/>
    <x v="24"/>
    <x v="97"/>
    <x v="1"/>
    <x v="1"/>
    <n v="8"/>
    <x v="1"/>
    <x v="1"/>
    <n v="10.5"/>
    <m/>
    <m/>
    <m/>
    <n v="84.73"/>
  </r>
  <r>
    <x v="332"/>
    <x v="1"/>
    <x v="0"/>
    <x v="2"/>
    <x v="98"/>
    <x v="0"/>
    <x v="2"/>
    <n v="0"/>
    <x v="2"/>
    <x v="0"/>
    <n v="7"/>
    <m/>
    <m/>
    <m/>
    <n v="21.99"/>
  </r>
  <r>
    <x v="333"/>
    <x v="0"/>
    <x v="0"/>
    <x v="25"/>
    <x v="99"/>
    <x v="2"/>
    <x v="1"/>
    <n v="3"/>
    <x v="3"/>
    <x v="0"/>
    <n v="7"/>
    <m/>
    <m/>
    <m/>
    <n v="37.979999999999997"/>
  </r>
  <r>
    <x v="334"/>
    <x v="1"/>
    <x v="2"/>
    <x v="4"/>
    <x v="76"/>
    <x v="4"/>
    <x v="4"/>
    <n v="0"/>
    <x v="2"/>
    <x v="2"/>
    <n v="5"/>
    <m/>
    <m/>
    <m/>
    <n v="21.99"/>
  </r>
  <r>
    <x v="335"/>
    <x v="1"/>
    <x v="0"/>
    <x v="2"/>
    <x v="32"/>
    <x v="5"/>
    <x v="2"/>
    <n v="0"/>
    <x v="3"/>
    <x v="0"/>
    <n v="7"/>
    <m/>
    <m/>
    <m/>
    <n v="21.99"/>
  </r>
  <r>
    <x v="336"/>
    <x v="0"/>
    <x v="1"/>
    <x v="26"/>
    <x v="100"/>
    <x v="6"/>
    <x v="2"/>
    <n v="0"/>
    <x v="2"/>
    <x v="1"/>
    <n v="10.5"/>
    <m/>
    <m/>
    <m/>
    <n v="37.979999999999997"/>
  </r>
  <r>
    <x v="337"/>
    <x v="1"/>
    <x v="2"/>
    <x v="4"/>
    <x v="101"/>
    <x v="3"/>
    <x v="2"/>
    <n v="0"/>
    <x v="1"/>
    <x v="2"/>
    <n v="5"/>
    <m/>
    <m/>
    <m/>
    <n v="21.99"/>
  </r>
  <r>
    <x v="338"/>
    <x v="1"/>
    <x v="4"/>
    <x v="9"/>
    <x v="102"/>
    <x v="7"/>
    <x v="1"/>
    <n v="6"/>
    <x v="2"/>
    <x v="4"/>
    <n v="12.5"/>
    <m/>
    <m/>
    <m/>
    <n v="21.99"/>
  </r>
  <r>
    <x v="339"/>
    <x v="2"/>
    <x v="3"/>
    <x v="27"/>
    <x v="103"/>
    <x v="8"/>
    <x v="0"/>
    <n v="2"/>
    <x v="0"/>
    <x v="3"/>
    <n v="9"/>
    <m/>
    <m/>
    <m/>
    <n v="84.73"/>
  </r>
  <r>
    <x v="340"/>
    <x v="1"/>
    <x v="1"/>
    <x v="6"/>
    <x v="104"/>
    <x v="9"/>
    <x v="0"/>
    <n v="2"/>
    <x v="0"/>
    <x v="1"/>
    <n v="10.5"/>
    <m/>
    <m/>
    <m/>
    <n v="21.99"/>
  </r>
  <r>
    <x v="341"/>
    <x v="1"/>
    <x v="4"/>
    <x v="9"/>
    <x v="76"/>
    <x v="10"/>
    <x v="1"/>
    <n v="7"/>
    <x v="0"/>
    <x v="4"/>
    <n v="12.5"/>
    <m/>
    <m/>
    <m/>
    <n v="21.99"/>
  </r>
  <r>
    <x v="342"/>
    <x v="1"/>
    <x v="0"/>
    <x v="2"/>
    <x v="32"/>
    <x v="11"/>
    <x v="1"/>
    <n v="2"/>
    <x v="2"/>
    <x v="0"/>
    <n v="7"/>
    <m/>
    <m/>
    <m/>
    <n v="21.99"/>
  </r>
  <r>
    <x v="343"/>
    <x v="0"/>
    <x v="4"/>
    <x v="28"/>
    <x v="105"/>
    <x v="1"/>
    <x v="0"/>
    <n v="6"/>
    <x v="2"/>
    <x v="4"/>
    <n v="12.5"/>
    <m/>
    <m/>
    <m/>
    <n v="37.979999999999997"/>
  </r>
  <r>
    <x v="344"/>
    <x v="2"/>
    <x v="1"/>
    <x v="29"/>
    <x v="106"/>
    <x v="0"/>
    <x v="1"/>
    <n v="3"/>
    <x v="1"/>
    <x v="1"/>
    <n v="10.5"/>
    <m/>
    <m/>
    <m/>
    <n v="84.73"/>
  </r>
  <r>
    <x v="345"/>
    <x v="0"/>
    <x v="1"/>
    <x v="30"/>
    <x v="93"/>
    <x v="2"/>
    <x v="2"/>
    <n v="0"/>
    <x v="2"/>
    <x v="1"/>
    <n v="10.5"/>
    <m/>
    <m/>
    <m/>
    <n v="37.979999999999997"/>
  </r>
  <r>
    <x v="346"/>
    <x v="2"/>
    <x v="4"/>
    <x v="31"/>
    <x v="107"/>
    <x v="4"/>
    <x v="1"/>
    <n v="6"/>
    <x v="0"/>
    <x v="4"/>
    <n v="12.5"/>
    <m/>
    <m/>
    <m/>
    <n v="84.73"/>
  </r>
  <r>
    <x v="347"/>
    <x v="1"/>
    <x v="3"/>
    <x v="5"/>
    <x v="108"/>
    <x v="5"/>
    <x v="1"/>
    <n v="3"/>
    <x v="0"/>
    <x v="3"/>
    <n v="9"/>
    <m/>
    <m/>
    <m/>
    <n v="21.99"/>
  </r>
  <r>
    <x v="348"/>
    <x v="1"/>
    <x v="5"/>
    <x v="8"/>
    <x v="109"/>
    <x v="6"/>
    <x v="1"/>
    <n v="11"/>
    <x v="2"/>
    <x v="5"/>
    <n v="6"/>
    <m/>
    <m/>
    <m/>
    <n v="21.99"/>
  </r>
  <r>
    <x v="349"/>
    <x v="1"/>
    <x v="5"/>
    <x v="8"/>
    <x v="3"/>
    <x v="3"/>
    <x v="1"/>
    <n v="12"/>
    <x v="0"/>
    <x v="5"/>
    <n v="6"/>
    <m/>
    <m/>
    <m/>
    <n v="21.99"/>
  </r>
  <r>
    <x v="350"/>
    <x v="1"/>
    <x v="2"/>
    <x v="4"/>
    <x v="110"/>
    <x v="7"/>
    <x v="4"/>
    <n v="0"/>
    <x v="2"/>
    <x v="2"/>
    <n v="5"/>
    <m/>
    <m/>
    <m/>
    <n v="21.99"/>
  </r>
  <r>
    <x v="351"/>
    <x v="1"/>
    <x v="4"/>
    <x v="9"/>
    <x v="111"/>
    <x v="8"/>
    <x v="4"/>
    <n v="0"/>
    <x v="3"/>
    <x v="4"/>
    <n v="12.5"/>
    <m/>
    <m/>
    <m/>
    <n v="21.99"/>
  </r>
  <r>
    <x v="352"/>
    <x v="1"/>
    <x v="0"/>
    <x v="2"/>
    <x v="112"/>
    <x v="9"/>
    <x v="2"/>
    <n v="0"/>
    <x v="2"/>
    <x v="0"/>
    <n v="7"/>
    <m/>
    <m/>
    <m/>
    <n v="21.99"/>
  </r>
  <r>
    <x v="353"/>
    <x v="1"/>
    <x v="5"/>
    <x v="8"/>
    <x v="113"/>
    <x v="10"/>
    <x v="1"/>
    <n v="14"/>
    <x v="0"/>
    <x v="5"/>
    <n v="6"/>
    <m/>
    <m/>
    <m/>
    <n v="21.99"/>
  </r>
  <r>
    <x v="354"/>
    <x v="1"/>
    <x v="4"/>
    <x v="9"/>
    <x v="114"/>
    <x v="11"/>
    <x v="1"/>
    <n v="7"/>
    <x v="0"/>
    <x v="4"/>
    <n v="12.5"/>
    <m/>
    <m/>
    <m/>
    <n v="21.99"/>
  </r>
  <r>
    <x v="355"/>
    <x v="1"/>
    <x v="5"/>
    <x v="8"/>
    <x v="115"/>
    <x v="1"/>
    <x v="4"/>
    <n v="0"/>
    <x v="0"/>
    <x v="5"/>
    <n v="6"/>
    <m/>
    <m/>
    <m/>
    <n v="21.99"/>
  </r>
  <r>
    <x v="356"/>
    <x v="2"/>
    <x v="1"/>
    <x v="32"/>
    <x v="40"/>
    <x v="0"/>
    <x v="1"/>
    <n v="8"/>
    <x v="2"/>
    <x v="1"/>
    <n v="10.5"/>
    <m/>
    <m/>
    <m/>
    <n v="84.73"/>
  </r>
  <r>
    <x v="357"/>
    <x v="1"/>
    <x v="3"/>
    <x v="5"/>
    <x v="87"/>
    <x v="2"/>
    <x v="1"/>
    <n v="3"/>
    <x v="2"/>
    <x v="3"/>
    <n v="9"/>
    <m/>
    <m/>
    <m/>
    <n v="21.99"/>
  </r>
  <r>
    <x v="358"/>
    <x v="0"/>
    <x v="3"/>
    <x v="33"/>
    <x v="116"/>
    <x v="4"/>
    <x v="1"/>
    <n v="2"/>
    <x v="3"/>
    <x v="3"/>
    <n v="9"/>
    <m/>
    <m/>
    <m/>
    <n v="37.979999999999997"/>
  </r>
  <r>
    <x v="359"/>
    <x v="2"/>
    <x v="3"/>
    <x v="34"/>
    <x v="89"/>
    <x v="5"/>
    <x v="1"/>
    <n v="3"/>
    <x v="1"/>
    <x v="3"/>
    <n v="9"/>
    <m/>
    <m/>
    <m/>
    <n v="84.73"/>
  </r>
  <r>
    <x v="360"/>
    <x v="0"/>
    <x v="4"/>
    <x v="35"/>
    <x v="117"/>
    <x v="6"/>
    <x v="0"/>
    <n v="8"/>
    <x v="3"/>
    <x v="4"/>
    <n v="12.5"/>
    <m/>
    <m/>
    <m/>
    <n v="37.979999999999997"/>
  </r>
  <r>
    <x v="361"/>
    <x v="1"/>
    <x v="3"/>
    <x v="5"/>
    <x v="15"/>
    <x v="3"/>
    <x v="1"/>
    <n v="2"/>
    <x v="3"/>
    <x v="3"/>
    <n v="9"/>
    <m/>
    <m/>
    <m/>
    <n v="21.99"/>
  </r>
  <r>
    <x v="362"/>
    <x v="1"/>
    <x v="1"/>
    <x v="6"/>
    <x v="118"/>
    <x v="7"/>
    <x v="1"/>
    <n v="3"/>
    <x v="2"/>
    <x v="1"/>
    <n v="10.5"/>
    <m/>
    <m/>
    <m/>
    <n v="21.99"/>
  </r>
  <r>
    <x v="363"/>
    <x v="0"/>
    <x v="5"/>
    <x v="36"/>
    <x v="119"/>
    <x v="8"/>
    <x v="4"/>
    <n v="0"/>
    <x v="2"/>
    <x v="5"/>
    <n v="6"/>
    <m/>
    <m/>
    <m/>
    <n v="37.979999999999997"/>
  </r>
  <r>
    <x v="364"/>
    <x v="1"/>
    <x v="0"/>
    <x v="2"/>
    <x v="120"/>
    <x v="9"/>
    <x v="1"/>
    <n v="2"/>
    <x v="0"/>
    <x v="0"/>
    <n v="7"/>
    <m/>
    <m/>
    <m/>
    <n v="21.99"/>
  </r>
  <r>
    <x v="365"/>
    <x v="1"/>
    <x v="5"/>
    <x v="8"/>
    <x v="121"/>
    <x v="10"/>
    <x v="1"/>
    <n v="10"/>
    <x v="1"/>
    <x v="5"/>
    <n v="6"/>
    <m/>
    <m/>
    <m/>
    <n v="21.99"/>
  </r>
  <r>
    <x v="366"/>
    <x v="1"/>
    <x v="3"/>
    <x v="5"/>
    <x v="122"/>
    <x v="11"/>
    <x v="2"/>
    <n v="0"/>
    <x v="1"/>
    <x v="3"/>
    <n v="9"/>
    <m/>
    <m/>
    <m/>
    <n v="21.99"/>
  </r>
  <r>
    <x v="367"/>
    <x v="1"/>
    <x v="1"/>
    <x v="6"/>
    <x v="123"/>
    <x v="1"/>
    <x v="3"/>
    <n v="0"/>
    <x v="3"/>
    <x v="1"/>
    <n v="10.5"/>
    <m/>
    <m/>
    <m/>
    <n v="21.99"/>
  </r>
  <r>
    <x v="368"/>
    <x v="1"/>
    <x v="5"/>
    <x v="8"/>
    <x v="93"/>
    <x v="0"/>
    <x v="4"/>
    <n v="0"/>
    <x v="0"/>
    <x v="5"/>
    <n v="6"/>
    <m/>
    <m/>
    <m/>
    <n v="21.99"/>
  </r>
  <r>
    <x v="369"/>
    <x v="1"/>
    <x v="0"/>
    <x v="2"/>
    <x v="42"/>
    <x v="2"/>
    <x v="2"/>
    <n v="0"/>
    <x v="3"/>
    <x v="0"/>
    <n v="7"/>
    <m/>
    <m/>
    <m/>
    <n v="21.99"/>
  </r>
  <r>
    <x v="370"/>
    <x v="1"/>
    <x v="0"/>
    <x v="2"/>
    <x v="56"/>
    <x v="4"/>
    <x v="1"/>
    <n v="2"/>
    <x v="3"/>
    <x v="0"/>
    <n v="7"/>
    <m/>
    <m/>
    <m/>
    <n v="21.99"/>
  </r>
  <r>
    <x v="371"/>
    <x v="2"/>
    <x v="0"/>
    <x v="37"/>
    <x v="124"/>
    <x v="5"/>
    <x v="1"/>
    <n v="3"/>
    <x v="2"/>
    <x v="0"/>
    <n v="7"/>
    <m/>
    <m/>
    <m/>
    <n v="84.73"/>
  </r>
  <r>
    <x v="372"/>
    <x v="1"/>
    <x v="0"/>
    <x v="2"/>
    <x v="125"/>
    <x v="6"/>
    <x v="3"/>
    <n v="0"/>
    <x v="3"/>
    <x v="0"/>
    <n v="7"/>
    <m/>
    <m/>
    <m/>
    <n v="21.99"/>
  </r>
  <r>
    <x v="373"/>
    <x v="1"/>
    <x v="5"/>
    <x v="8"/>
    <x v="126"/>
    <x v="3"/>
    <x v="2"/>
    <n v="0"/>
    <x v="3"/>
    <x v="5"/>
    <n v="6"/>
    <m/>
    <m/>
    <m/>
    <n v="21.99"/>
  </r>
  <r>
    <x v="374"/>
    <x v="0"/>
    <x v="2"/>
    <x v="38"/>
    <x v="90"/>
    <x v="7"/>
    <x v="1"/>
    <n v="18"/>
    <x v="0"/>
    <x v="2"/>
    <n v="5"/>
    <m/>
    <m/>
    <m/>
    <n v="37.979999999999997"/>
  </r>
  <r>
    <x v="375"/>
    <x v="1"/>
    <x v="5"/>
    <x v="8"/>
    <x v="24"/>
    <x v="8"/>
    <x v="3"/>
    <n v="0"/>
    <x v="0"/>
    <x v="5"/>
    <n v="6"/>
    <m/>
    <m/>
    <m/>
    <n v="21.99"/>
  </r>
  <r>
    <x v="376"/>
    <x v="1"/>
    <x v="3"/>
    <x v="5"/>
    <x v="54"/>
    <x v="9"/>
    <x v="1"/>
    <n v="3"/>
    <x v="2"/>
    <x v="3"/>
    <n v="9"/>
    <m/>
    <m/>
    <m/>
    <n v="21.99"/>
  </r>
  <r>
    <x v="377"/>
    <x v="2"/>
    <x v="4"/>
    <x v="39"/>
    <x v="104"/>
    <x v="10"/>
    <x v="1"/>
    <n v="11"/>
    <x v="1"/>
    <x v="4"/>
    <n v="12.5"/>
    <m/>
    <m/>
    <m/>
    <n v="84.73"/>
  </r>
  <r>
    <x v="378"/>
    <x v="1"/>
    <x v="4"/>
    <x v="9"/>
    <x v="94"/>
    <x v="11"/>
    <x v="3"/>
    <n v="0"/>
    <x v="0"/>
    <x v="4"/>
    <n v="12.5"/>
    <m/>
    <m/>
    <m/>
    <n v="21.99"/>
  </r>
  <r>
    <x v="379"/>
    <x v="0"/>
    <x v="0"/>
    <x v="40"/>
    <x v="127"/>
    <x v="1"/>
    <x v="2"/>
    <n v="0"/>
    <x v="2"/>
    <x v="0"/>
    <n v="7"/>
    <m/>
    <m/>
    <m/>
    <n v="37.979999999999997"/>
  </r>
  <r>
    <x v="380"/>
    <x v="1"/>
    <x v="4"/>
    <x v="9"/>
    <x v="128"/>
    <x v="0"/>
    <x v="1"/>
    <n v="12"/>
    <x v="2"/>
    <x v="4"/>
    <n v="12.5"/>
    <m/>
    <m/>
    <m/>
    <n v="21.99"/>
  </r>
  <r>
    <x v="381"/>
    <x v="1"/>
    <x v="2"/>
    <x v="4"/>
    <x v="22"/>
    <x v="2"/>
    <x v="2"/>
    <n v="0"/>
    <x v="0"/>
    <x v="2"/>
    <n v="5"/>
    <m/>
    <m/>
    <m/>
    <n v="21.99"/>
  </r>
  <r>
    <x v="382"/>
    <x v="1"/>
    <x v="2"/>
    <x v="4"/>
    <x v="129"/>
    <x v="4"/>
    <x v="1"/>
    <n v="20"/>
    <x v="0"/>
    <x v="2"/>
    <n v="5"/>
    <m/>
    <m/>
    <m/>
    <n v="21.99"/>
  </r>
  <r>
    <x v="383"/>
    <x v="1"/>
    <x v="0"/>
    <x v="2"/>
    <x v="130"/>
    <x v="5"/>
    <x v="1"/>
    <n v="3"/>
    <x v="3"/>
    <x v="0"/>
    <n v="7"/>
    <m/>
    <m/>
    <m/>
    <n v="21.99"/>
  </r>
  <r>
    <x v="384"/>
    <x v="1"/>
    <x v="5"/>
    <x v="8"/>
    <x v="131"/>
    <x v="6"/>
    <x v="1"/>
    <n v="15"/>
    <x v="1"/>
    <x v="5"/>
    <n v="6"/>
    <m/>
    <m/>
    <m/>
    <n v="21.99"/>
  </r>
  <r>
    <x v="385"/>
    <x v="1"/>
    <x v="3"/>
    <x v="5"/>
    <x v="93"/>
    <x v="3"/>
    <x v="1"/>
    <n v="6"/>
    <x v="0"/>
    <x v="3"/>
    <n v="9"/>
    <m/>
    <m/>
    <m/>
    <n v="21.99"/>
  </r>
  <r>
    <x v="386"/>
    <x v="1"/>
    <x v="4"/>
    <x v="9"/>
    <x v="132"/>
    <x v="7"/>
    <x v="1"/>
    <n v="8"/>
    <x v="2"/>
    <x v="4"/>
    <n v="12.5"/>
    <m/>
    <m/>
    <m/>
    <n v="21.99"/>
  </r>
  <r>
    <x v="387"/>
    <x v="1"/>
    <x v="4"/>
    <x v="9"/>
    <x v="133"/>
    <x v="8"/>
    <x v="2"/>
    <n v="0"/>
    <x v="3"/>
    <x v="4"/>
    <n v="12.5"/>
    <m/>
    <m/>
    <m/>
    <n v="21.99"/>
  </r>
  <r>
    <x v="388"/>
    <x v="1"/>
    <x v="0"/>
    <x v="2"/>
    <x v="99"/>
    <x v="9"/>
    <x v="1"/>
    <n v="3"/>
    <x v="1"/>
    <x v="0"/>
    <n v="7"/>
    <m/>
    <m/>
    <m/>
    <n v="21.99"/>
  </r>
  <r>
    <x v="389"/>
    <x v="1"/>
    <x v="4"/>
    <x v="9"/>
    <x v="134"/>
    <x v="10"/>
    <x v="4"/>
    <n v="0"/>
    <x v="2"/>
    <x v="4"/>
    <n v="12.5"/>
    <m/>
    <m/>
    <m/>
    <n v="21.99"/>
  </r>
  <r>
    <x v="390"/>
    <x v="2"/>
    <x v="5"/>
    <x v="41"/>
    <x v="135"/>
    <x v="11"/>
    <x v="3"/>
    <n v="0"/>
    <x v="2"/>
    <x v="5"/>
    <n v="6"/>
    <m/>
    <m/>
    <m/>
    <n v="84.73"/>
  </r>
  <r>
    <x v="391"/>
    <x v="1"/>
    <x v="3"/>
    <x v="5"/>
    <x v="136"/>
    <x v="1"/>
    <x v="2"/>
    <n v="0"/>
    <x v="1"/>
    <x v="3"/>
    <n v="9"/>
    <m/>
    <m/>
    <m/>
    <n v="21.99"/>
  </r>
  <r>
    <x v="392"/>
    <x v="1"/>
    <x v="5"/>
    <x v="8"/>
    <x v="6"/>
    <x v="0"/>
    <x v="4"/>
    <n v="0"/>
    <x v="0"/>
    <x v="5"/>
    <n v="6"/>
    <m/>
    <m/>
    <m/>
    <n v="21.99"/>
  </r>
  <r>
    <x v="393"/>
    <x v="1"/>
    <x v="3"/>
    <x v="5"/>
    <x v="42"/>
    <x v="2"/>
    <x v="1"/>
    <n v="8"/>
    <x v="0"/>
    <x v="3"/>
    <n v="9"/>
    <m/>
    <m/>
    <m/>
    <n v="21.99"/>
  </r>
  <r>
    <x v="394"/>
    <x v="1"/>
    <x v="3"/>
    <x v="5"/>
    <x v="137"/>
    <x v="4"/>
    <x v="2"/>
    <n v="0"/>
    <x v="1"/>
    <x v="3"/>
    <n v="9"/>
    <m/>
    <m/>
    <m/>
    <n v="21.99"/>
  </r>
  <r>
    <x v="395"/>
    <x v="2"/>
    <x v="1"/>
    <x v="42"/>
    <x v="138"/>
    <x v="5"/>
    <x v="3"/>
    <n v="0"/>
    <x v="0"/>
    <x v="1"/>
    <n v="10.5"/>
    <m/>
    <m/>
    <m/>
    <n v="84.73"/>
  </r>
  <r>
    <x v="396"/>
    <x v="1"/>
    <x v="4"/>
    <x v="9"/>
    <x v="139"/>
    <x v="6"/>
    <x v="1"/>
    <n v="8"/>
    <x v="1"/>
    <x v="4"/>
    <n v="12.5"/>
    <m/>
    <m/>
    <m/>
    <n v="21.99"/>
  </r>
  <r>
    <x v="397"/>
    <x v="1"/>
    <x v="1"/>
    <x v="6"/>
    <x v="31"/>
    <x v="3"/>
    <x v="1"/>
    <n v="3"/>
    <x v="0"/>
    <x v="1"/>
    <n v="10.5"/>
    <m/>
    <m/>
    <m/>
    <n v="21.99"/>
  </r>
  <r>
    <x v="398"/>
    <x v="1"/>
    <x v="1"/>
    <x v="6"/>
    <x v="58"/>
    <x v="7"/>
    <x v="2"/>
    <n v="0"/>
    <x v="2"/>
    <x v="1"/>
    <n v="10.5"/>
    <m/>
    <m/>
    <m/>
    <n v="21.99"/>
  </r>
  <r>
    <x v="399"/>
    <x v="1"/>
    <x v="3"/>
    <x v="5"/>
    <x v="15"/>
    <x v="8"/>
    <x v="1"/>
    <n v="3"/>
    <x v="1"/>
    <x v="3"/>
    <n v="9"/>
    <m/>
    <m/>
    <m/>
    <n v="21.99"/>
  </r>
  <r>
    <x v="400"/>
    <x v="1"/>
    <x v="5"/>
    <x v="8"/>
    <x v="140"/>
    <x v="9"/>
    <x v="0"/>
    <n v="13"/>
    <x v="3"/>
    <x v="5"/>
    <n v="6"/>
    <m/>
    <m/>
    <m/>
    <n v="21.99"/>
  </r>
  <r>
    <x v="401"/>
    <x v="1"/>
    <x v="5"/>
    <x v="8"/>
    <x v="141"/>
    <x v="10"/>
    <x v="1"/>
    <n v="13"/>
    <x v="2"/>
    <x v="5"/>
    <n v="6"/>
    <m/>
    <m/>
    <m/>
    <n v="21.99"/>
  </r>
  <r>
    <x v="402"/>
    <x v="1"/>
    <x v="4"/>
    <x v="9"/>
    <x v="7"/>
    <x v="11"/>
    <x v="2"/>
    <n v="0"/>
    <x v="3"/>
    <x v="4"/>
    <n v="12.5"/>
    <m/>
    <m/>
    <m/>
    <n v="21.99"/>
  </r>
  <r>
    <x v="403"/>
    <x v="2"/>
    <x v="3"/>
    <x v="43"/>
    <x v="63"/>
    <x v="1"/>
    <x v="1"/>
    <n v="2"/>
    <x v="2"/>
    <x v="3"/>
    <n v="9"/>
    <m/>
    <m/>
    <m/>
    <n v="84.73"/>
  </r>
  <r>
    <x v="404"/>
    <x v="2"/>
    <x v="1"/>
    <x v="44"/>
    <x v="142"/>
    <x v="0"/>
    <x v="1"/>
    <n v="3"/>
    <x v="2"/>
    <x v="1"/>
    <n v="10.5"/>
    <m/>
    <m/>
    <m/>
    <n v="84.73"/>
  </r>
  <r>
    <x v="405"/>
    <x v="1"/>
    <x v="0"/>
    <x v="2"/>
    <x v="143"/>
    <x v="2"/>
    <x v="1"/>
    <n v="3"/>
    <x v="2"/>
    <x v="0"/>
    <n v="7"/>
    <m/>
    <m/>
    <m/>
    <n v="21.99"/>
  </r>
  <r>
    <x v="406"/>
    <x v="0"/>
    <x v="3"/>
    <x v="45"/>
    <x v="144"/>
    <x v="4"/>
    <x v="1"/>
    <n v="8"/>
    <x v="2"/>
    <x v="3"/>
    <n v="9"/>
    <m/>
    <m/>
    <m/>
    <n v="37.979999999999997"/>
  </r>
  <r>
    <x v="407"/>
    <x v="1"/>
    <x v="4"/>
    <x v="9"/>
    <x v="145"/>
    <x v="5"/>
    <x v="1"/>
    <n v="8"/>
    <x v="0"/>
    <x v="4"/>
    <n v="12.5"/>
    <m/>
    <m/>
    <m/>
    <n v="21.99"/>
  </r>
  <r>
    <x v="408"/>
    <x v="1"/>
    <x v="0"/>
    <x v="2"/>
    <x v="40"/>
    <x v="6"/>
    <x v="1"/>
    <n v="7"/>
    <x v="1"/>
    <x v="0"/>
    <n v="7"/>
    <m/>
    <m/>
    <m/>
    <n v="21.99"/>
  </r>
  <r>
    <x v="409"/>
    <x v="1"/>
    <x v="1"/>
    <x v="6"/>
    <x v="146"/>
    <x v="3"/>
    <x v="1"/>
    <n v="4"/>
    <x v="0"/>
    <x v="1"/>
    <n v="10.5"/>
    <m/>
    <m/>
    <m/>
    <n v="21.99"/>
  </r>
  <r>
    <x v="410"/>
    <x v="1"/>
    <x v="2"/>
    <x v="4"/>
    <x v="55"/>
    <x v="7"/>
    <x v="1"/>
    <n v="19"/>
    <x v="0"/>
    <x v="2"/>
    <n v="5"/>
    <m/>
    <m/>
    <m/>
    <n v="21.99"/>
  </r>
  <r>
    <x v="411"/>
    <x v="1"/>
    <x v="2"/>
    <x v="4"/>
    <x v="147"/>
    <x v="8"/>
    <x v="1"/>
    <n v="18"/>
    <x v="1"/>
    <x v="2"/>
    <n v="5"/>
    <m/>
    <m/>
    <m/>
    <n v="21.99"/>
  </r>
  <r>
    <x v="412"/>
    <x v="2"/>
    <x v="0"/>
    <x v="46"/>
    <x v="148"/>
    <x v="9"/>
    <x v="2"/>
    <n v="0"/>
    <x v="1"/>
    <x v="0"/>
    <n v="7"/>
    <m/>
    <m/>
    <m/>
    <n v="84.73"/>
  </r>
  <r>
    <x v="413"/>
    <x v="1"/>
    <x v="0"/>
    <x v="2"/>
    <x v="149"/>
    <x v="10"/>
    <x v="1"/>
    <n v="3"/>
    <x v="0"/>
    <x v="0"/>
    <n v="7"/>
    <m/>
    <m/>
    <m/>
    <n v="21.99"/>
  </r>
  <r>
    <x v="414"/>
    <x v="1"/>
    <x v="5"/>
    <x v="8"/>
    <x v="150"/>
    <x v="11"/>
    <x v="1"/>
    <n v="11"/>
    <x v="1"/>
    <x v="5"/>
    <n v="6"/>
    <m/>
    <m/>
    <m/>
    <n v="21.99"/>
  </r>
  <r>
    <x v="415"/>
    <x v="1"/>
    <x v="3"/>
    <x v="5"/>
    <x v="10"/>
    <x v="1"/>
    <x v="1"/>
    <n v="2"/>
    <x v="1"/>
    <x v="3"/>
    <n v="9"/>
    <m/>
    <m/>
    <m/>
    <n v="21.99"/>
  </r>
  <r>
    <x v="416"/>
    <x v="0"/>
    <x v="1"/>
    <x v="47"/>
    <x v="151"/>
    <x v="0"/>
    <x v="2"/>
    <n v="0"/>
    <x v="1"/>
    <x v="1"/>
    <n v="10.5"/>
    <m/>
    <m/>
    <m/>
    <n v="37.979999999999997"/>
  </r>
  <r>
    <x v="417"/>
    <x v="1"/>
    <x v="1"/>
    <x v="6"/>
    <x v="133"/>
    <x v="2"/>
    <x v="0"/>
    <n v="2"/>
    <x v="3"/>
    <x v="1"/>
    <n v="10.5"/>
    <m/>
    <m/>
    <m/>
    <n v="21.99"/>
  </r>
  <r>
    <x v="418"/>
    <x v="1"/>
    <x v="3"/>
    <x v="5"/>
    <x v="93"/>
    <x v="4"/>
    <x v="1"/>
    <n v="2"/>
    <x v="3"/>
    <x v="3"/>
    <n v="9"/>
    <m/>
    <m/>
    <m/>
    <n v="21.99"/>
  </r>
  <r>
    <x v="419"/>
    <x v="1"/>
    <x v="0"/>
    <x v="2"/>
    <x v="124"/>
    <x v="5"/>
    <x v="1"/>
    <n v="2"/>
    <x v="1"/>
    <x v="0"/>
    <n v="7"/>
    <m/>
    <m/>
    <m/>
    <n v="21.99"/>
  </r>
  <r>
    <x v="420"/>
    <x v="1"/>
    <x v="5"/>
    <x v="8"/>
    <x v="152"/>
    <x v="6"/>
    <x v="2"/>
    <n v="0"/>
    <x v="0"/>
    <x v="5"/>
    <n v="6"/>
    <m/>
    <m/>
    <m/>
    <n v="21.99"/>
  </r>
  <r>
    <x v="421"/>
    <x v="2"/>
    <x v="1"/>
    <x v="48"/>
    <x v="153"/>
    <x v="3"/>
    <x v="3"/>
    <n v="0"/>
    <x v="3"/>
    <x v="1"/>
    <n v="10.5"/>
    <m/>
    <m/>
    <m/>
    <n v="84.73"/>
  </r>
  <r>
    <x v="422"/>
    <x v="1"/>
    <x v="2"/>
    <x v="4"/>
    <x v="26"/>
    <x v="7"/>
    <x v="2"/>
    <n v="0"/>
    <x v="0"/>
    <x v="2"/>
    <n v="5"/>
    <m/>
    <m/>
    <m/>
    <n v="21.99"/>
  </r>
  <r>
    <x v="423"/>
    <x v="1"/>
    <x v="1"/>
    <x v="6"/>
    <x v="41"/>
    <x v="8"/>
    <x v="2"/>
    <n v="0"/>
    <x v="3"/>
    <x v="1"/>
    <n v="10.5"/>
    <m/>
    <m/>
    <m/>
    <n v="21.99"/>
  </r>
  <r>
    <x v="424"/>
    <x v="1"/>
    <x v="5"/>
    <x v="8"/>
    <x v="154"/>
    <x v="9"/>
    <x v="1"/>
    <n v="17"/>
    <x v="1"/>
    <x v="5"/>
    <n v="6"/>
    <m/>
    <m/>
    <m/>
    <n v="21.99"/>
  </r>
  <r>
    <x v="425"/>
    <x v="1"/>
    <x v="5"/>
    <x v="8"/>
    <x v="155"/>
    <x v="10"/>
    <x v="2"/>
    <n v="0"/>
    <x v="3"/>
    <x v="5"/>
    <n v="6"/>
    <m/>
    <m/>
    <m/>
    <n v="21.99"/>
  </r>
  <r>
    <x v="426"/>
    <x v="0"/>
    <x v="0"/>
    <x v="49"/>
    <x v="40"/>
    <x v="11"/>
    <x v="2"/>
    <n v="0"/>
    <x v="3"/>
    <x v="0"/>
    <n v="7"/>
    <m/>
    <m/>
    <m/>
    <n v="37.979999999999997"/>
  </r>
  <r>
    <x v="427"/>
    <x v="1"/>
    <x v="2"/>
    <x v="4"/>
    <x v="156"/>
    <x v="1"/>
    <x v="0"/>
    <n v="19"/>
    <x v="3"/>
    <x v="2"/>
    <n v="5"/>
    <m/>
    <m/>
    <m/>
    <n v="21.99"/>
  </r>
  <r>
    <x v="428"/>
    <x v="1"/>
    <x v="0"/>
    <x v="2"/>
    <x v="157"/>
    <x v="0"/>
    <x v="1"/>
    <n v="3"/>
    <x v="3"/>
    <x v="0"/>
    <n v="7"/>
    <m/>
    <m/>
    <m/>
    <n v="21.99"/>
  </r>
  <r>
    <x v="429"/>
    <x v="1"/>
    <x v="4"/>
    <x v="9"/>
    <x v="158"/>
    <x v="2"/>
    <x v="1"/>
    <n v="11"/>
    <x v="2"/>
    <x v="4"/>
    <n v="12.5"/>
    <m/>
    <m/>
    <m/>
    <n v="21.99"/>
  </r>
  <r>
    <x v="430"/>
    <x v="1"/>
    <x v="0"/>
    <x v="2"/>
    <x v="139"/>
    <x v="4"/>
    <x v="1"/>
    <n v="2"/>
    <x v="2"/>
    <x v="0"/>
    <n v="7"/>
    <m/>
    <m/>
    <m/>
    <n v="21.99"/>
  </r>
  <r>
    <x v="431"/>
    <x v="1"/>
    <x v="3"/>
    <x v="5"/>
    <x v="106"/>
    <x v="5"/>
    <x v="4"/>
    <n v="0"/>
    <x v="2"/>
    <x v="3"/>
    <n v="9"/>
    <m/>
    <m/>
    <m/>
    <n v="21.99"/>
  </r>
  <r>
    <x v="432"/>
    <x v="1"/>
    <x v="0"/>
    <x v="2"/>
    <x v="159"/>
    <x v="6"/>
    <x v="1"/>
    <n v="2"/>
    <x v="0"/>
    <x v="0"/>
    <n v="7"/>
    <m/>
    <m/>
    <m/>
    <n v="21.99"/>
  </r>
  <r>
    <x v="433"/>
    <x v="0"/>
    <x v="2"/>
    <x v="50"/>
    <x v="160"/>
    <x v="3"/>
    <x v="1"/>
    <n v="25"/>
    <x v="2"/>
    <x v="2"/>
    <n v="5"/>
    <m/>
    <m/>
    <m/>
    <n v="37.979999999999997"/>
  </r>
  <r>
    <x v="434"/>
    <x v="1"/>
    <x v="0"/>
    <x v="2"/>
    <x v="161"/>
    <x v="7"/>
    <x v="1"/>
    <n v="2"/>
    <x v="0"/>
    <x v="0"/>
    <n v="7"/>
    <m/>
    <m/>
    <m/>
    <n v="21.99"/>
  </r>
  <r>
    <x v="435"/>
    <x v="1"/>
    <x v="0"/>
    <x v="2"/>
    <x v="25"/>
    <x v="8"/>
    <x v="1"/>
    <n v="2"/>
    <x v="2"/>
    <x v="0"/>
    <n v="7"/>
    <m/>
    <m/>
    <m/>
    <n v="21.99"/>
  </r>
  <r>
    <x v="436"/>
    <x v="1"/>
    <x v="2"/>
    <x v="4"/>
    <x v="27"/>
    <x v="9"/>
    <x v="0"/>
    <n v="16"/>
    <x v="3"/>
    <x v="2"/>
    <n v="5"/>
    <m/>
    <m/>
    <m/>
    <n v="21.99"/>
  </r>
  <r>
    <x v="437"/>
    <x v="0"/>
    <x v="4"/>
    <x v="51"/>
    <x v="162"/>
    <x v="10"/>
    <x v="1"/>
    <n v="11"/>
    <x v="1"/>
    <x v="4"/>
    <n v="12.5"/>
    <m/>
    <m/>
    <m/>
    <n v="37.979999999999997"/>
  </r>
  <r>
    <x v="438"/>
    <x v="1"/>
    <x v="5"/>
    <x v="8"/>
    <x v="163"/>
    <x v="11"/>
    <x v="2"/>
    <n v="0"/>
    <x v="1"/>
    <x v="5"/>
    <n v="6"/>
    <m/>
    <m/>
    <m/>
    <n v="21.99"/>
  </r>
  <r>
    <x v="439"/>
    <x v="1"/>
    <x v="0"/>
    <x v="2"/>
    <x v="164"/>
    <x v="1"/>
    <x v="2"/>
    <n v="0"/>
    <x v="1"/>
    <x v="0"/>
    <n v="7"/>
    <m/>
    <m/>
    <m/>
    <n v="21.99"/>
  </r>
  <r>
    <x v="440"/>
    <x v="0"/>
    <x v="2"/>
    <x v="52"/>
    <x v="71"/>
    <x v="0"/>
    <x v="1"/>
    <n v="18"/>
    <x v="3"/>
    <x v="2"/>
    <n v="5"/>
    <m/>
    <m/>
    <m/>
    <n v="37.979999999999997"/>
  </r>
  <r>
    <x v="441"/>
    <x v="1"/>
    <x v="5"/>
    <x v="8"/>
    <x v="165"/>
    <x v="2"/>
    <x v="2"/>
    <n v="0"/>
    <x v="2"/>
    <x v="5"/>
    <n v="6"/>
    <m/>
    <m/>
    <m/>
    <n v="21.99"/>
  </r>
  <r>
    <x v="442"/>
    <x v="1"/>
    <x v="3"/>
    <x v="5"/>
    <x v="166"/>
    <x v="4"/>
    <x v="1"/>
    <n v="2"/>
    <x v="1"/>
    <x v="3"/>
    <n v="9"/>
    <m/>
    <m/>
    <m/>
    <n v="21.99"/>
  </r>
  <r>
    <x v="443"/>
    <x v="0"/>
    <x v="1"/>
    <x v="53"/>
    <x v="167"/>
    <x v="5"/>
    <x v="3"/>
    <n v="0"/>
    <x v="3"/>
    <x v="1"/>
    <n v="10.5"/>
    <m/>
    <m/>
    <m/>
    <n v="37.979999999999997"/>
  </r>
  <r>
    <x v="444"/>
    <x v="1"/>
    <x v="5"/>
    <x v="8"/>
    <x v="168"/>
    <x v="6"/>
    <x v="1"/>
    <n v="14"/>
    <x v="3"/>
    <x v="5"/>
    <n v="6"/>
    <m/>
    <m/>
    <m/>
    <n v="21.99"/>
  </r>
  <r>
    <x v="445"/>
    <x v="1"/>
    <x v="5"/>
    <x v="8"/>
    <x v="51"/>
    <x v="3"/>
    <x v="0"/>
    <n v="13"/>
    <x v="3"/>
    <x v="5"/>
    <n v="6"/>
    <m/>
    <m/>
    <m/>
    <n v="21.99"/>
  </r>
  <r>
    <x v="446"/>
    <x v="2"/>
    <x v="0"/>
    <x v="10"/>
    <x v="169"/>
    <x v="7"/>
    <x v="1"/>
    <n v="3"/>
    <x v="1"/>
    <x v="0"/>
    <n v="7"/>
    <m/>
    <m/>
    <m/>
    <n v="84.73"/>
  </r>
  <r>
    <x v="447"/>
    <x v="1"/>
    <x v="2"/>
    <x v="4"/>
    <x v="170"/>
    <x v="8"/>
    <x v="2"/>
    <n v="0"/>
    <x v="0"/>
    <x v="2"/>
    <n v="5"/>
    <m/>
    <m/>
    <m/>
    <n v="21.99"/>
  </r>
  <r>
    <x v="448"/>
    <x v="1"/>
    <x v="2"/>
    <x v="4"/>
    <x v="171"/>
    <x v="9"/>
    <x v="1"/>
    <n v="16"/>
    <x v="3"/>
    <x v="2"/>
    <n v="5"/>
    <m/>
    <m/>
    <m/>
    <n v="21.99"/>
  </r>
  <r>
    <x v="449"/>
    <x v="1"/>
    <x v="4"/>
    <x v="9"/>
    <x v="172"/>
    <x v="10"/>
    <x v="1"/>
    <n v="7"/>
    <x v="2"/>
    <x v="4"/>
    <n v="12.5"/>
    <m/>
    <m/>
    <m/>
    <n v="21.99"/>
  </r>
  <r>
    <x v="450"/>
    <x v="1"/>
    <x v="2"/>
    <x v="4"/>
    <x v="32"/>
    <x v="11"/>
    <x v="1"/>
    <n v="17"/>
    <x v="1"/>
    <x v="2"/>
    <n v="5"/>
    <m/>
    <m/>
    <m/>
    <n v="21.99"/>
  </r>
  <r>
    <x v="451"/>
    <x v="1"/>
    <x v="4"/>
    <x v="9"/>
    <x v="173"/>
    <x v="1"/>
    <x v="2"/>
    <n v="0"/>
    <x v="3"/>
    <x v="4"/>
    <n v="12.5"/>
    <m/>
    <m/>
    <m/>
    <n v="21.99"/>
  </r>
  <r>
    <x v="452"/>
    <x v="1"/>
    <x v="1"/>
    <x v="6"/>
    <x v="105"/>
    <x v="0"/>
    <x v="1"/>
    <n v="3"/>
    <x v="3"/>
    <x v="1"/>
    <n v="10.5"/>
    <m/>
    <m/>
    <m/>
    <n v="21.99"/>
  </r>
  <r>
    <x v="453"/>
    <x v="1"/>
    <x v="2"/>
    <x v="4"/>
    <x v="174"/>
    <x v="2"/>
    <x v="4"/>
    <n v="0"/>
    <x v="3"/>
    <x v="2"/>
    <n v="5"/>
    <m/>
    <m/>
    <m/>
    <n v="21.99"/>
  </r>
  <r>
    <x v="454"/>
    <x v="1"/>
    <x v="4"/>
    <x v="9"/>
    <x v="175"/>
    <x v="4"/>
    <x v="1"/>
    <n v="8"/>
    <x v="1"/>
    <x v="4"/>
    <n v="12.5"/>
    <m/>
    <m/>
    <m/>
    <n v="21.99"/>
  </r>
  <r>
    <x v="455"/>
    <x v="1"/>
    <x v="4"/>
    <x v="9"/>
    <x v="151"/>
    <x v="5"/>
    <x v="1"/>
    <n v="5"/>
    <x v="1"/>
    <x v="4"/>
    <n v="12.5"/>
    <m/>
    <m/>
    <m/>
    <n v="21.99"/>
  </r>
  <r>
    <x v="456"/>
    <x v="1"/>
    <x v="4"/>
    <x v="9"/>
    <x v="15"/>
    <x v="6"/>
    <x v="1"/>
    <n v="8"/>
    <x v="0"/>
    <x v="4"/>
    <n v="12.5"/>
    <m/>
    <m/>
    <m/>
    <n v="21.99"/>
  </r>
  <r>
    <x v="457"/>
    <x v="1"/>
    <x v="1"/>
    <x v="6"/>
    <x v="176"/>
    <x v="3"/>
    <x v="1"/>
    <n v="3"/>
    <x v="2"/>
    <x v="1"/>
    <n v="10.5"/>
    <m/>
    <m/>
    <m/>
    <n v="21.99"/>
  </r>
  <r>
    <x v="458"/>
    <x v="0"/>
    <x v="5"/>
    <x v="54"/>
    <x v="90"/>
    <x v="7"/>
    <x v="1"/>
    <n v="18"/>
    <x v="3"/>
    <x v="5"/>
    <n v="6"/>
    <m/>
    <m/>
    <m/>
    <n v="37.979999999999997"/>
  </r>
  <r>
    <x v="459"/>
    <x v="1"/>
    <x v="4"/>
    <x v="9"/>
    <x v="177"/>
    <x v="8"/>
    <x v="1"/>
    <n v="6"/>
    <x v="3"/>
    <x v="4"/>
    <n v="12.5"/>
    <m/>
    <m/>
    <m/>
    <n v="21.99"/>
  </r>
  <r>
    <x v="460"/>
    <x v="2"/>
    <x v="4"/>
    <x v="55"/>
    <x v="50"/>
    <x v="9"/>
    <x v="2"/>
    <n v="0"/>
    <x v="3"/>
    <x v="4"/>
    <n v="12.5"/>
    <m/>
    <m/>
    <m/>
    <n v="84.73"/>
  </r>
  <r>
    <x v="461"/>
    <x v="2"/>
    <x v="0"/>
    <x v="56"/>
    <x v="55"/>
    <x v="10"/>
    <x v="1"/>
    <n v="3"/>
    <x v="0"/>
    <x v="0"/>
    <n v="7"/>
    <m/>
    <m/>
    <m/>
    <n v="84.73"/>
  </r>
  <r>
    <x v="462"/>
    <x v="0"/>
    <x v="3"/>
    <x v="57"/>
    <x v="178"/>
    <x v="11"/>
    <x v="3"/>
    <n v="0"/>
    <x v="1"/>
    <x v="3"/>
    <n v="9"/>
    <m/>
    <m/>
    <m/>
    <n v="37.979999999999997"/>
  </r>
  <r>
    <x v="463"/>
    <x v="1"/>
    <x v="5"/>
    <x v="8"/>
    <x v="179"/>
    <x v="1"/>
    <x v="1"/>
    <n v="10"/>
    <x v="1"/>
    <x v="5"/>
    <n v="6"/>
    <m/>
    <m/>
    <m/>
    <n v="21.99"/>
  </r>
  <r>
    <x v="464"/>
    <x v="2"/>
    <x v="5"/>
    <x v="58"/>
    <x v="26"/>
    <x v="0"/>
    <x v="1"/>
    <n v="12"/>
    <x v="1"/>
    <x v="5"/>
    <n v="6"/>
    <m/>
    <m/>
    <m/>
    <n v="84.73"/>
  </r>
  <r>
    <x v="465"/>
    <x v="1"/>
    <x v="0"/>
    <x v="2"/>
    <x v="180"/>
    <x v="2"/>
    <x v="1"/>
    <n v="2"/>
    <x v="1"/>
    <x v="0"/>
    <n v="7"/>
    <m/>
    <m/>
    <m/>
    <n v="21.99"/>
  </r>
  <r>
    <x v="466"/>
    <x v="1"/>
    <x v="4"/>
    <x v="9"/>
    <x v="128"/>
    <x v="4"/>
    <x v="1"/>
    <n v="5"/>
    <x v="2"/>
    <x v="4"/>
    <n v="12.5"/>
    <m/>
    <m/>
    <m/>
    <n v="21.99"/>
  </r>
  <r>
    <x v="467"/>
    <x v="1"/>
    <x v="3"/>
    <x v="5"/>
    <x v="95"/>
    <x v="5"/>
    <x v="1"/>
    <n v="3"/>
    <x v="2"/>
    <x v="3"/>
    <n v="9"/>
    <m/>
    <m/>
    <m/>
    <n v="21.99"/>
  </r>
  <r>
    <x v="468"/>
    <x v="0"/>
    <x v="0"/>
    <x v="59"/>
    <x v="181"/>
    <x v="6"/>
    <x v="1"/>
    <n v="3"/>
    <x v="2"/>
    <x v="0"/>
    <n v="7"/>
    <m/>
    <m/>
    <m/>
    <n v="37.979999999999997"/>
  </r>
  <r>
    <x v="469"/>
    <x v="1"/>
    <x v="3"/>
    <x v="5"/>
    <x v="182"/>
    <x v="3"/>
    <x v="2"/>
    <n v="0"/>
    <x v="2"/>
    <x v="3"/>
    <n v="9"/>
    <m/>
    <m/>
    <m/>
    <n v="21.99"/>
  </r>
  <r>
    <x v="470"/>
    <x v="1"/>
    <x v="1"/>
    <x v="6"/>
    <x v="183"/>
    <x v="7"/>
    <x v="1"/>
    <n v="2"/>
    <x v="2"/>
    <x v="1"/>
    <n v="10.5"/>
    <m/>
    <m/>
    <m/>
    <n v="21.99"/>
  </r>
  <r>
    <x v="471"/>
    <x v="1"/>
    <x v="0"/>
    <x v="2"/>
    <x v="184"/>
    <x v="8"/>
    <x v="3"/>
    <n v="0"/>
    <x v="0"/>
    <x v="0"/>
    <n v="7"/>
    <m/>
    <m/>
    <m/>
    <n v="21.99"/>
  </r>
  <r>
    <x v="472"/>
    <x v="2"/>
    <x v="1"/>
    <x v="60"/>
    <x v="185"/>
    <x v="9"/>
    <x v="1"/>
    <n v="3"/>
    <x v="2"/>
    <x v="1"/>
    <n v="10.5"/>
    <m/>
    <m/>
    <m/>
    <n v="84.73"/>
  </r>
  <r>
    <x v="473"/>
    <x v="1"/>
    <x v="5"/>
    <x v="8"/>
    <x v="186"/>
    <x v="10"/>
    <x v="4"/>
    <n v="0"/>
    <x v="3"/>
    <x v="5"/>
    <n v="6"/>
    <m/>
    <m/>
    <m/>
    <n v="21.99"/>
  </r>
  <r>
    <x v="474"/>
    <x v="1"/>
    <x v="3"/>
    <x v="5"/>
    <x v="152"/>
    <x v="11"/>
    <x v="1"/>
    <n v="2"/>
    <x v="1"/>
    <x v="3"/>
    <n v="9"/>
    <m/>
    <m/>
    <m/>
    <n v="21.99"/>
  </r>
  <r>
    <x v="475"/>
    <x v="0"/>
    <x v="2"/>
    <x v="61"/>
    <x v="102"/>
    <x v="1"/>
    <x v="1"/>
    <n v="19"/>
    <x v="3"/>
    <x v="2"/>
    <n v="5"/>
    <m/>
    <m/>
    <m/>
    <n v="37.979999999999997"/>
  </r>
  <r>
    <x v="476"/>
    <x v="2"/>
    <x v="1"/>
    <x v="62"/>
    <x v="111"/>
    <x v="0"/>
    <x v="1"/>
    <n v="2"/>
    <x v="0"/>
    <x v="1"/>
    <n v="10.5"/>
    <m/>
    <m/>
    <m/>
    <n v="84.73"/>
  </r>
  <r>
    <x v="477"/>
    <x v="1"/>
    <x v="3"/>
    <x v="5"/>
    <x v="176"/>
    <x v="2"/>
    <x v="1"/>
    <n v="7"/>
    <x v="0"/>
    <x v="3"/>
    <n v="9"/>
    <m/>
    <m/>
    <m/>
    <n v="21.99"/>
  </r>
  <r>
    <x v="478"/>
    <x v="1"/>
    <x v="3"/>
    <x v="5"/>
    <x v="75"/>
    <x v="4"/>
    <x v="2"/>
    <n v="0"/>
    <x v="0"/>
    <x v="3"/>
    <n v="9"/>
    <m/>
    <m/>
    <m/>
    <n v="21.99"/>
  </r>
  <r>
    <x v="479"/>
    <x v="1"/>
    <x v="1"/>
    <x v="6"/>
    <x v="187"/>
    <x v="5"/>
    <x v="1"/>
    <n v="3"/>
    <x v="1"/>
    <x v="1"/>
    <n v="10.5"/>
    <m/>
    <m/>
    <m/>
    <n v="21.99"/>
  </r>
  <r>
    <x v="480"/>
    <x v="1"/>
    <x v="5"/>
    <x v="8"/>
    <x v="188"/>
    <x v="6"/>
    <x v="2"/>
    <n v="0"/>
    <x v="1"/>
    <x v="5"/>
    <n v="6"/>
    <m/>
    <m/>
    <m/>
    <n v="21.99"/>
  </r>
  <r>
    <x v="481"/>
    <x v="1"/>
    <x v="4"/>
    <x v="9"/>
    <x v="105"/>
    <x v="3"/>
    <x v="1"/>
    <n v="6"/>
    <x v="1"/>
    <x v="4"/>
    <n v="12.5"/>
    <m/>
    <m/>
    <m/>
    <n v="21.99"/>
  </r>
  <r>
    <x v="482"/>
    <x v="1"/>
    <x v="2"/>
    <x v="4"/>
    <x v="37"/>
    <x v="7"/>
    <x v="1"/>
    <n v="25"/>
    <x v="0"/>
    <x v="2"/>
    <n v="5"/>
    <m/>
    <m/>
    <m/>
    <n v="21.99"/>
  </r>
  <r>
    <x v="483"/>
    <x v="0"/>
    <x v="5"/>
    <x v="63"/>
    <x v="79"/>
    <x v="8"/>
    <x v="1"/>
    <n v="12"/>
    <x v="1"/>
    <x v="5"/>
    <n v="6"/>
    <m/>
    <m/>
    <m/>
    <n v="37.979999999999997"/>
  </r>
  <r>
    <x v="484"/>
    <x v="1"/>
    <x v="5"/>
    <x v="8"/>
    <x v="189"/>
    <x v="9"/>
    <x v="2"/>
    <n v="0"/>
    <x v="3"/>
    <x v="5"/>
    <n v="6"/>
    <m/>
    <m/>
    <m/>
    <n v="21.99"/>
  </r>
  <r>
    <x v="485"/>
    <x v="1"/>
    <x v="3"/>
    <x v="5"/>
    <x v="145"/>
    <x v="10"/>
    <x v="0"/>
    <n v="2"/>
    <x v="2"/>
    <x v="3"/>
    <n v="9"/>
    <m/>
    <m/>
    <m/>
    <n v="21.99"/>
  </r>
  <r>
    <x v="486"/>
    <x v="1"/>
    <x v="5"/>
    <x v="8"/>
    <x v="184"/>
    <x v="11"/>
    <x v="2"/>
    <n v="0"/>
    <x v="0"/>
    <x v="5"/>
    <n v="6"/>
    <m/>
    <m/>
    <m/>
    <n v="21.99"/>
  </r>
  <r>
    <x v="487"/>
    <x v="2"/>
    <x v="5"/>
    <x v="64"/>
    <x v="190"/>
    <x v="1"/>
    <x v="2"/>
    <n v="0"/>
    <x v="0"/>
    <x v="5"/>
    <n v="6"/>
    <m/>
    <m/>
    <m/>
    <n v="84.73"/>
  </r>
  <r>
    <x v="488"/>
    <x v="0"/>
    <x v="2"/>
    <x v="65"/>
    <x v="191"/>
    <x v="0"/>
    <x v="1"/>
    <n v="20"/>
    <x v="3"/>
    <x v="2"/>
    <n v="5"/>
    <m/>
    <m/>
    <m/>
    <n v="37.979999999999997"/>
  </r>
  <r>
    <x v="489"/>
    <x v="1"/>
    <x v="5"/>
    <x v="8"/>
    <x v="58"/>
    <x v="2"/>
    <x v="1"/>
    <n v="11"/>
    <x v="1"/>
    <x v="5"/>
    <n v="6"/>
    <m/>
    <m/>
    <m/>
    <n v="21.99"/>
  </r>
  <r>
    <x v="490"/>
    <x v="2"/>
    <x v="0"/>
    <x v="66"/>
    <x v="44"/>
    <x v="4"/>
    <x v="1"/>
    <n v="3"/>
    <x v="3"/>
    <x v="0"/>
    <n v="7"/>
    <m/>
    <m/>
    <m/>
    <n v="84.73"/>
  </r>
  <r>
    <x v="491"/>
    <x v="1"/>
    <x v="1"/>
    <x v="6"/>
    <x v="28"/>
    <x v="5"/>
    <x v="3"/>
    <n v="0"/>
    <x v="2"/>
    <x v="1"/>
    <n v="10.5"/>
    <m/>
    <m/>
    <m/>
    <n v="21.99"/>
  </r>
  <r>
    <x v="492"/>
    <x v="1"/>
    <x v="5"/>
    <x v="8"/>
    <x v="192"/>
    <x v="6"/>
    <x v="2"/>
    <n v="0"/>
    <x v="3"/>
    <x v="5"/>
    <n v="6"/>
    <m/>
    <m/>
    <m/>
    <n v="21.99"/>
  </r>
  <r>
    <x v="493"/>
    <x v="1"/>
    <x v="1"/>
    <x v="6"/>
    <x v="193"/>
    <x v="3"/>
    <x v="4"/>
    <n v="0"/>
    <x v="1"/>
    <x v="1"/>
    <n v="10.5"/>
    <m/>
    <m/>
    <m/>
    <n v="21.99"/>
  </r>
  <r>
    <x v="494"/>
    <x v="1"/>
    <x v="0"/>
    <x v="2"/>
    <x v="194"/>
    <x v="7"/>
    <x v="1"/>
    <n v="3"/>
    <x v="0"/>
    <x v="0"/>
    <n v="7"/>
    <m/>
    <m/>
    <m/>
    <n v="21.99"/>
  </r>
  <r>
    <x v="495"/>
    <x v="1"/>
    <x v="3"/>
    <x v="5"/>
    <x v="131"/>
    <x v="8"/>
    <x v="1"/>
    <n v="2"/>
    <x v="0"/>
    <x v="3"/>
    <n v="9"/>
    <m/>
    <m/>
    <m/>
    <n v="21.99"/>
  </r>
  <r>
    <x v="496"/>
    <x v="1"/>
    <x v="0"/>
    <x v="2"/>
    <x v="195"/>
    <x v="9"/>
    <x v="2"/>
    <n v="0"/>
    <x v="0"/>
    <x v="0"/>
    <n v="7"/>
    <m/>
    <m/>
    <m/>
    <n v="21.99"/>
  </r>
  <r>
    <x v="497"/>
    <x v="1"/>
    <x v="5"/>
    <x v="8"/>
    <x v="103"/>
    <x v="10"/>
    <x v="1"/>
    <n v="12"/>
    <x v="1"/>
    <x v="5"/>
    <n v="6"/>
    <m/>
    <m/>
    <m/>
    <n v="21.99"/>
  </r>
  <r>
    <x v="498"/>
    <x v="2"/>
    <x v="3"/>
    <x v="67"/>
    <x v="196"/>
    <x v="11"/>
    <x v="1"/>
    <n v="3"/>
    <x v="3"/>
    <x v="3"/>
    <n v="9"/>
    <m/>
    <m/>
    <m/>
    <n v="84.73"/>
  </r>
  <r>
    <x v="499"/>
    <x v="0"/>
    <x v="2"/>
    <x v="68"/>
    <x v="197"/>
    <x v="1"/>
    <x v="1"/>
    <n v="18"/>
    <x v="0"/>
    <x v="2"/>
    <n v="5"/>
    <m/>
    <m/>
    <m/>
    <n v="37.979999999999997"/>
  </r>
  <r>
    <x v="500"/>
    <x v="0"/>
    <x v="4"/>
    <x v="35"/>
    <x v="43"/>
    <x v="0"/>
    <x v="2"/>
    <n v="0"/>
    <x v="1"/>
    <x v="4"/>
    <n v="12.5"/>
    <m/>
    <m/>
    <m/>
    <n v="37.979999999999997"/>
  </r>
  <r>
    <x v="501"/>
    <x v="1"/>
    <x v="2"/>
    <x v="4"/>
    <x v="195"/>
    <x v="2"/>
    <x v="1"/>
    <n v="15"/>
    <x v="3"/>
    <x v="2"/>
    <n v="5"/>
    <m/>
    <m/>
    <m/>
    <n v="21.99"/>
  </r>
  <r>
    <x v="502"/>
    <x v="1"/>
    <x v="4"/>
    <x v="9"/>
    <x v="21"/>
    <x v="4"/>
    <x v="0"/>
    <n v="7"/>
    <x v="0"/>
    <x v="4"/>
    <n v="12.5"/>
    <m/>
    <m/>
    <m/>
    <n v="21.99"/>
  </r>
  <r>
    <x v="503"/>
    <x v="2"/>
    <x v="4"/>
    <x v="7"/>
    <x v="166"/>
    <x v="5"/>
    <x v="1"/>
    <n v="5"/>
    <x v="0"/>
    <x v="4"/>
    <n v="12.5"/>
    <m/>
    <m/>
    <m/>
    <n v="84.73"/>
  </r>
  <r>
    <x v="504"/>
    <x v="2"/>
    <x v="4"/>
    <x v="69"/>
    <x v="15"/>
    <x v="6"/>
    <x v="1"/>
    <n v="8"/>
    <x v="1"/>
    <x v="4"/>
    <n v="12.5"/>
    <m/>
    <m/>
    <m/>
    <n v="84.73"/>
  </r>
  <r>
    <x v="505"/>
    <x v="1"/>
    <x v="5"/>
    <x v="8"/>
    <x v="173"/>
    <x v="3"/>
    <x v="1"/>
    <n v="11"/>
    <x v="0"/>
    <x v="5"/>
    <n v="6"/>
    <m/>
    <m/>
    <m/>
    <n v="21.99"/>
  </r>
  <r>
    <x v="506"/>
    <x v="1"/>
    <x v="1"/>
    <x v="6"/>
    <x v="122"/>
    <x v="7"/>
    <x v="0"/>
    <n v="5"/>
    <x v="0"/>
    <x v="1"/>
    <n v="10.5"/>
    <m/>
    <m/>
    <m/>
    <n v="21.99"/>
  </r>
  <r>
    <x v="507"/>
    <x v="1"/>
    <x v="2"/>
    <x v="4"/>
    <x v="198"/>
    <x v="8"/>
    <x v="1"/>
    <n v="15"/>
    <x v="2"/>
    <x v="2"/>
    <n v="5"/>
    <m/>
    <m/>
    <m/>
    <n v="21.99"/>
  </r>
  <r>
    <x v="508"/>
    <x v="1"/>
    <x v="2"/>
    <x v="4"/>
    <x v="199"/>
    <x v="9"/>
    <x v="2"/>
    <n v="0"/>
    <x v="1"/>
    <x v="2"/>
    <n v="5"/>
    <m/>
    <m/>
    <m/>
    <n v="21.99"/>
  </r>
  <r>
    <x v="509"/>
    <x v="1"/>
    <x v="4"/>
    <x v="9"/>
    <x v="171"/>
    <x v="10"/>
    <x v="2"/>
    <n v="0"/>
    <x v="0"/>
    <x v="4"/>
    <n v="12.5"/>
    <m/>
    <m/>
    <m/>
    <n v="21.99"/>
  </r>
  <r>
    <x v="510"/>
    <x v="1"/>
    <x v="1"/>
    <x v="6"/>
    <x v="200"/>
    <x v="11"/>
    <x v="1"/>
    <n v="6"/>
    <x v="0"/>
    <x v="1"/>
    <n v="10.5"/>
    <m/>
    <m/>
    <m/>
    <n v="21.99"/>
  </r>
  <r>
    <x v="511"/>
    <x v="1"/>
    <x v="5"/>
    <x v="8"/>
    <x v="140"/>
    <x v="1"/>
    <x v="1"/>
    <n v="11"/>
    <x v="0"/>
    <x v="5"/>
    <n v="6"/>
    <m/>
    <m/>
    <m/>
    <n v="21.99"/>
  </r>
  <r>
    <x v="512"/>
    <x v="1"/>
    <x v="3"/>
    <x v="5"/>
    <x v="20"/>
    <x v="0"/>
    <x v="1"/>
    <n v="3"/>
    <x v="0"/>
    <x v="3"/>
    <n v="9"/>
    <m/>
    <m/>
    <m/>
    <n v="21.99"/>
  </r>
  <r>
    <x v="513"/>
    <x v="2"/>
    <x v="2"/>
    <x v="70"/>
    <x v="11"/>
    <x v="2"/>
    <x v="1"/>
    <n v="17"/>
    <x v="0"/>
    <x v="2"/>
    <n v="5"/>
    <m/>
    <m/>
    <m/>
    <n v="84.73"/>
  </r>
  <r>
    <x v="514"/>
    <x v="1"/>
    <x v="0"/>
    <x v="2"/>
    <x v="201"/>
    <x v="4"/>
    <x v="1"/>
    <n v="2"/>
    <x v="1"/>
    <x v="0"/>
    <n v="7"/>
    <m/>
    <m/>
    <m/>
    <n v="21.99"/>
  </r>
  <r>
    <x v="515"/>
    <x v="1"/>
    <x v="3"/>
    <x v="5"/>
    <x v="202"/>
    <x v="5"/>
    <x v="1"/>
    <n v="2"/>
    <x v="2"/>
    <x v="3"/>
    <n v="9"/>
    <m/>
    <m/>
    <m/>
    <n v="21.99"/>
  </r>
  <r>
    <x v="516"/>
    <x v="0"/>
    <x v="4"/>
    <x v="71"/>
    <x v="203"/>
    <x v="6"/>
    <x v="1"/>
    <n v="8"/>
    <x v="0"/>
    <x v="4"/>
    <n v="12.5"/>
    <m/>
    <m/>
    <m/>
    <n v="37.979999999999997"/>
  </r>
  <r>
    <x v="517"/>
    <x v="2"/>
    <x v="1"/>
    <x v="72"/>
    <x v="204"/>
    <x v="3"/>
    <x v="1"/>
    <n v="3"/>
    <x v="2"/>
    <x v="1"/>
    <n v="10.5"/>
    <m/>
    <m/>
    <m/>
    <n v="84.73"/>
  </r>
  <r>
    <x v="518"/>
    <x v="0"/>
    <x v="2"/>
    <x v="38"/>
    <x v="205"/>
    <x v="7"/>
    <x v="2"/>
    <n v="0"/>
    <x v="3"/>
    <x v="2"/>
    <n v="5"/>
    <m/>
    <m/>
    <m/>
    <n v="37.979999999999997"/>
  </r>
  <r>
    <x v="519"/>
    <x v="1"/>
    <x v="5"/>
    <x v="8"/>
    <x v="206"/>
    <x v="8"/>
    <x v="3"/>
    <n v="0"/>
    <x v="3"/>
    <x v="5"/>
    <n v="6"/>
    <m/>
    <m/>
    <m/>
    <n v="21.99"/>
  </r>
  <r>
    <x v="520"/>
    <x v="1"/>
    <x v="3"/>
    <x v="5"/>
    <x v="43"/>
    <x v="9"/>
    <x v="1"/>
    <n v="3"/>
    <x v="0"/>
    <x v="3"/>
    <n v="9"/>
    <m/>
    <m/>
    <m/>
    <n v="21.99"/>
  </r>
  <r>
    <x v="521"/>
    <x v="2"/>
    <x v="4"/>
    <x v="73"/>
    <x v="207"/>
    <x v="10"/>
    <x v="3"/>
    <n v="0"/>
    <x v="3"/>
    <x v="4"/>
    <n v="12.5"/>
    <m/>
    <m/>
    <m/>
    <n v="84.73"/>
  </r>
  <r>
    <x v="522"/>
    <x v="0"/>
    <x v="2"/>
    <x v="74"/>
    <x v="208"/>
    <x v="11"/>
    <x v="1"/>
    <n v="16"/>
    <x v="0"/>
    <x v="2"/>
    <n v="5"/>
    <m/>
    <m/>
    <m/>
    <n v="37.979999999999997"/>
  </r>
  <r>
    <x v="523"/>
    <x v="2"/>
    <x v="0"/>
    <x v="75"/>
    <x v="152"/>
    <x v="1"/>
    <x v="2"/>
    <n v="0"/>
    <x v="2"/>
    <x v="0"/>
    <n v="7"/>
    <m/>
    <m/>
    <m/>
    <n v="84.73"/>
  </r>
  <r>
    <x v="524"/>
    <x v="1"/>
    <x v="0"/>
    <x v="2"/>
    <x v="206"/>
    <x v="0"/>
    <x v="4"/>
    <n v="0"/>
    <x v="0"/>
    <x v="0"/>
    <n v="7"/>
    <m/>
    <m/>
    <m/>
    <n v="21.99"/>
  </r>
  <r>
    <x v="525"/>
    <x v="2"/>
    <x v="5"/>
    <x v="76"/>
    <x v="159"/>
    <x v="2"/>
    <x v="0"/>
    <n v="19"/>
    <x v="2"/>
    <x v="5"/>
    <n v="6"/>
    <m/>
    <m/>
    <m/>
    <n v="84.73"/>
  </r>
  <r>
    <x v="526"/>
    <x v="1"/>
    <x v="4"/>
    <x v="9"/>
    <x v="209"/>
    <x v="4"/>
    <x v="2"/>
    <n v="0"/>
    <x v="2"/>
    <x v="4"/>
    <n v="12.5"/>
    <m/>
    <m/>
    <m/>
    <n v="21.99"/>
  </r>
  <r>
    <x v="527"/>
    <x v="0"/>
    <x v="2"/>
    <x v="77"/>
    <x v="54"/>
    <x v="5"/>
    <x v="1"/>
    <n v="15"/>
    <x v="1"/>
    <x v="2"/>
    <n v="5"/>
    <m/>
    <m/>
    <m/>
    <n v="37.979999999999997"/>
  </r>
  <r>
    <x v="528"/>
    <x v="0"/>
    <x v="5"/>
    <x v="78"/>
    <x v="20"/>
    <x v="6"/>
    <x v="2"/>
    <n v="0"/>
    <x v="3"/>
    <x v="5"/>
    <n v="6"/>
    <m/>
    <m/>
    <m/>
    <n v="37.979999999999997"/>
  </r>
  <r>
    <x v="529"/>
    <x v="1"/>
    <x v="4"/>
    <x v="9"/>
    <x v="210"/>
    <x v="3"/>
    <x v="2"/>
    <n v="0"/>
    <x v="3"/>
    <x v="4"/>
    <n v="12.5"/>
    <m/>
    <m/>
    <m/>
    <n v="21.99"/>
  </r>
  <r>
    <x v="530"/>
    <x v="2"/>
    <x v="4"/>
    <x v="79"/>
    <x v="112"/>
    <x v="7"/>
    <x v="2"/>
    <n v="0"/>
    <x v="2"/>
    <x v="4"/>
    <n v="12.5"/>
    <m/>
    <m/>
    <m/>
    <n v="84.73"/>
  </r>
  <r>
    <x v="531"/>
    <x v="2"/>
    <x v="4"/>
    <x v="80"/>
    <x v="139"/>
    <x v="8"/>
    <x v="1"/>
    <n v="8"/>
    <x v="2"/>
    <x v="4"/>
    <n v="12.5"/>
    <m/>
    <m/>
    <m/>
    <n v="84.73"/>
  </r>
  <r>
    <x v="532"/>
    <x v="1"/>
    <x v="1"/>
    <x v="6"/>
    <x v="211"/>
    <x v="9"/>
    <x v="2"/>
    <n v="0"/>
    <x v="1"/>
    <x v="1"/>
    <n v="10.5"/>
    <m/>
    <m/>
    <m/>
    <n v="21.99"/>
  </r>
  <r>
    <x v="533"/>
    <x v="1"/>
    <x v="2"/>
    <x v="4"/>
    <x v="180"/>
    <x v="10"/>
    <x v="1"/>
    <n v="20"/>
    <x v="1"/>
    <x v="2"/>
    <n v="5"/>
    <m/>
    <m/>
    <m/>
    <n v="21.99"/>
  </r>
  <r>
    <x v="534"/>
    <x v="1"/>
    <x v="3"/>
    <x v="5"/>
    <x v="212"/>
    <x v="11"/>
    <x v="2"/>
    <n v="0"/>
    <x v="2"/>
    <x v="3"/>
    <n v="9"/>
    <m/>
    <m/>
    <m/>
    <n v="21.99"/>
  </r>
  <r>
    <x v="535"/>
    <x v="1"/>
    <x v="5"/>
    <x v="8"/>
    <x v="213"/>
    <x v="1"/>
    <x v="2"/>
    <n v="0"/>
    <x v="3"/>
    <x v="5"/>
    <n v="6"/>
    <m/>
    <m/>
    <m/>
    <n v="21.99"/>
  </r>
  <r>
    <x v="536"/>
    <x v="1"/>
    <x v="4"/>
    <x v="9"/>
    <x v="150"/>
    <x v="0"/>
    <x v="2"/>
    <n v="0"/>
    <x v="1"/>
    <x v="4"/>
    <n v="12.5"/>
    <m/>
    <m/>
    <m/>
    <n v="21.99"/>
  </r>
  <r>
    <x v="537"/>
    <x v="2"/>
    <x v="4"/>
    <x v="79"/>
    <x v="214"/>
    <x v="2"/>
    <x v="1"/>
    <n v="6"/>
    <x v="2"/>
    <x v="4"/>
    <n v="12.5"/>
    <m/>
    <m/>
    <m/>
    <n v="84.73"/>
  </r>
  <r>
    <x v="538"/>
    <x v="1"/>
    <x v="0"/>
    <x v="2"/>
    <x v="124"/>
    <x v="4"/>
    <x v="1"/>
    <n v="2"/>
    <x v="2"/>
    <x v="0"/>
    <n v="7"/>
    <m/>
    <m/>
    <m/>
    <n v="21.99"/>
  </r>
  <r>
    <x v="539"/>
    <x v="1"/>
    <x v="1"/>
    <x v="6"/>
    <x v="215"/>
    <x v="5"/>
    <x v="4"/>
    <n v="0"/>
    <x v="3"/>
    <x v="1"/>
    <n v="10.5"/>
    <m/>
    <m/>
    <m/>
    <n v="21.99"/>
  </r>
  <r>
    <x v="540"/>
    <x v="0"/>
    <x v="4"/>
    <x v="81"/>
    <x v="216"/>
    <x v="6"/>
    <x v="0"/>
    <n v="8"/>
    <x v="3"/>
    <x v="4"/>
    <n v="12.5"/>
    <m/>
    <m/>
    <m/>
    <n v="37.979999999999997"/>
  </r>
  <r>
    <x v="541"/>
    <x v="1"/>
    <x v="3"/>
    <x v="5"/>
    <x v="217"/>
    <x v="3"/>
    <x v="1"/>
    <n v="3"/>
    <x v="0"/>
    <x v="3"/>
    <n v="9"/>
    <m/>
    <m/>
    <m/>
    <n v="21.99"/>
  </r>
  <r>
    <x v="542"/>
    <x v="1"/>
    <x v="2"/>
    <x v="4"/>
    <x v="218"/>
    <x v="7"/>
    <x v="1"/>
    <n v="23"/>
    <x v="2"/>
    <x v="2"/>
    <n v="5"/>
    <m/>
    <m/>
    <m/>
    <n v="21.99"/>
  </r>
  <r>
    <x v="543"/>
    <x v="0"/>
    <x v="4"/>
    <x v="82"/>
    <x v="219"/>
    <x v="8"/>
    <x v="1"/>
    <n v="8"/>
    <x v="3"/>
    <x v="4"/>
    <n v="12.5"/>
    <m/>
    <m/>
    <m/>
    <n v="37.979999999999997"/>
  </r>
  <r>
    <x v="544"/>
    <x v="1"/>
    <x v="2"/>
    <x v="4"/>
    <x v="89"/>
    <x v="9"/>
    <x v="1"/>
    <n v="20"/>
    <x v="2"/>
    <x v="2"/>
    <n v="5"/>
    <m/>
    <m/>
    <m/>
    <n v="21.99"/>
  </r>
  <r>
    <x v="545"/>
    <x v="1"/>
    <x v="4"/>
    <x v="9"/>
    <x v="168"/>
    <x v="10"/>
    <x v="1"/>
    <n v="6"/>
    <x v="1"/>
    <x v="4"/>
    <n v="12.5"/>
    <m/>
    <m/>
    <m/>
    <n v="21.99"/>
  </r>
  <r>
    <x v="546"/>
    <x v="1"/>
    <x v="3"/>
    <x v="5"/>
    <x v="100"/>
    <x v="11"/>
    <x v="1"/>
    <n v="2"/>
    <x v="3"/>
    <x v="3"/>
    <n v="9"/>
    <m/>
    <m/>
    <m/>
    <n v="21.99"/>
  </r>
  <r>
    <x v="547"/>
    <x v="1"/>
    <x v="4"/>
    <x v="9"/>
    <x v="220"/>
    <x v="1"/>
    <x v="0"/>
    <n v="8"/>
    <x v="0"/>
    <x v="4"/>
    <n v="12.5"/>
    <m/>
    <m/>
    <m/>
    <n v="21.99"/>
  </r>
  <r>
    <x v="548"/>
    <x v="0"/>
    <x v="2"/>
    <x v="83"/>
    <x v="148"/>
    <x v="0"/>
    <x v="1"/>
    <n v="16"/>
    <x v="0"/>
    <x v="2"/>
    <n v="5"/>
    <m/>
    <m/>
    <m/>
    <n v="37.979999999999997"/>
  </r>
  <r>
    <x v="549"/>
    <x v="1"/>
    <x v="4"/>
    <x v="9"/>
    <x v="55"/>
    <x v="2"/>
    <x v="1"/>
    <n v="5"/>
    <x v="0"/>
    <x v="4"/>
    <n v="12.5"/>
    <m/>
    <m/>
    <m/>
    <n v="21.99"/>
  </r>
  <r>
    <x v="550"/>
    <x v="0"/>
    <x v="0"/>
    <x v="84"/>
    <x v="221"/>
    <x v="4"/>
    <x v="2"/>
    <n v="0"/>
    <x v="3"/>
    <x v="0"/>
    <n v="7"/>
    <m/>
    <m/>
    <m/>
    <n v="37.979999999999997"/>
  </r>
  <r>
    <x v="551"/>
    <x v="1"/>
    <x v="5"/>
    <x v="8"/>
    <x v="222"/>
    <x v="5"/>
    <x v="4"/>
    <n v="0"/>
    <x v="0"/>
    <x v="5"/>
    <n v="6"/>
    <m/>
    <m/>
    <m/>
    <n v="21.99"/>
  </r>
  <r>
    <x v="552"/>
    <x v="2"/>
    <x v="4"/>
    <x v="85"/>
    <x v="223"/>
    <x v="6"/>
    <x v="1"/>
    <n v="5"/>
    <x v="3"/>
    <x v="4"/>
    <n v="12.5"/>
    <m/>
    <m/>
    <m/>
    <n v="84.73"/>
  </r>
  <r>
    <x v="553"/>
    <x v="1"/>
    <x v="3"/>
    <x v="5"/>
    <x v="224"/>
    <x v="3"/>
    <x v="1"/>
    <n v="8"/>
    <x v="2"/>
    <x v="3"/>
    <n v="9"/>
    <m/>
    <m/>
    <m/>
    <n v="21.99"/>
  </r>
  <r>
    <x v="554"/>
    <x v="1"/>
    <x v="0"/>
    <x v="2"/>
    <x v="151"/>
    <x v="7"/>
    <x v="1"/>
    <n v="2"/>
    <x v="1"/>
    <x v="0"/>
    <n v="7"/>
    <m/>
    <m/>
    <m/>
    <n v="21.99"/>
  </r>
  <r>
    <x v="555"/>
    <x v="1"/>
    <x v="3"/>
    <x v="5"/>
    <x v="225"/>
    <x v="8"/>
    <x v="1"/>
    <n v="7"/>
    <x v="3"/>
    <x v="3"/>
    <n v="9"/>
    <m/>
    <m/>
    <m/>
    <n v="21.99"/>
  </r>
  <r>
    <x v="556"/>
    <x v="1"/>
    <x v="3"/>
    <x v="5"/>
    <x v="226"/>
    <x v="9"/>
    <x v="3"/>
    <n v="0"/>
    <x v="3"/>
    <x v="3"/>
    <n v="9"/>
    <m/>
    <m/>
    <m/>
    <n v="21.99"/>
  </r>
  <r>
    <x v="557"/>
    <x v="1"/>
    <x v="1"/>
    <x v="6"/>
    <x v="227"/>
    <x v="10"/>
    <x v="2"/>
    <n v="0"/>
    <x v="2"/>
    <x v="1"/>
    <n v="10.5"/>
    <m/>
    <m/>
    <m/>
    <n v="21.99"/>
  </r>
  <r>
    <x v="558"/>
    <x v="1"/>
    <x v="1"/>
    <x v="6"/>
    <x v="148"/>
    <x v="11"/>
    <x v="2"/>
    <n v="0"/>
    <x v="2"/>
    <x v="1"/>
    <n v="10.5"/>
    <m/>
    <m/>
    <m/>
    <n v="21.99"/>
  </r>
  <r>
    <x v="559"/>
    <x v="1"/>
    <x v="0"/>
    <x v="2"/>
    <x v="160"/>
    <x v="1"/>
    <x v="4"/>
    <n v="0"/>
    <x v="0"/>
    <x v="0"/>
    <n v="7"/>
    <m/>
    <m/>
    <m/>
    <n v="21.99"/>
  </r>
  <r>
    <x v="560"/>
    <x v="1"/>
    <x v="3"/>
    <x v="5"/>
    <x v="228"/>
    <x v="0"/>
    <x v="1"/>
    <n v="2"/>
    <x v="2"/>
    <x v="3"/>
    <n v="9"/>
    <m/>
    <m/>
    <m/>
    <n v="21.99"/>
  </r>
  <r>
    <x v="561"/>
    <x v="2"/>
    <x v="5"/>
    <x v="86"/>
    <x v="136"/>
    <x v="2"/>
    <x v="1"/>
    <n v="10"/>
    <x v="2"/>
    <x v="5"/>
    <n v="6"/>
    <m/>
    <m/>
    <m/>
    <n v="84.73"/>
  </r>
  <r>
    <x v="562"/>
    <x v="1"/>
    <x v="5"/>
    <x v="8"/>
    <x v="229"/>
    <x v="4"/>
    <x v="1"/>
    <n v="10"/>
    <x v="3"/>
    <x v="5"/>
    <n v="6"/>
    <m/>
    <m/>
    <m/>
    <n v="21.99"/>
  </r>
  <r>
    <x v="563"/>
    <x v="2"/>
    <x v="3"/>
    <x v="87"/>
    <x v="230"/>
    <x v="5"/>
    <x v="2"/>
    <n v="0"/>
    <x v="1"/>
    <x v="3"/>
    <n v="9"/>
    <m/>
    <m/>
    <m/>
    <n v="84.73"/>
  </r>
  <r>
    <x v="564"/>
    <x v="1"/>
    <x v="5"/>
    <x v="8"/>
    <x v="231"/>
    <x v="6"/>
    <x v="2"/>
    <n v="0"/>
    <x v="3"/>
    <x v="5"/>
    <n v="6"/>
    <m/>
    <m/>
    <m/>
    <n v="21.99"/>
  </r>
  <r>
    <x v="565"/>
    <x v="1"/>
    <x v="5"/>
    <x v="8"/>
    <x v="89"/>
    <x v="3"/>
    <x v="2"/>
    <n v="0"/>
    <x v="1"/>
    <x v="5"/>
    <n v="6"/>
    <m/>
    <m/>
    <m/>
    <n v="21.99"/>
  </r>
  <r>
    <x v="566"/>
    <x v="1"/>
    <x v="2"/>
    <x v="4"/>
    <x v="161"/>
    <x v="7"/>
    <x v="1"/>
    <n v="15"/>
    <x v="0"/>
    <x v="2"/>
    <n v="5"/>
    <m/>
    <m/>
    <m/>
    <n v="21.99"/>
  </r>
  <r>
    <x v="567"/>
    <x v="1"/>
    <x v="4"/>
    <x v="9"/>
    <x v="232"/>
    <x v="8"/>
    <x v="1"/>
    <n v="6"/>
    <x v="3"/>
    <x v="4"/>
    <n v="12.5"/>
    <m/>
    <m/>
    <m/>
    <n v="21.99"/>
  </r>
  <r>
    <x v="568"/>
    <x v="1"/>
    <x v="3"/>
    <x v="5"/>
    <x v="233"/>
    <x v="9"/>
    <x v="2"/>
    <n v="0"/>
    <x v="1"/>
    <x v="3"/>
    <n v="9"/>
    <m/>
    <m/>
    <m/>
    <n v="21.99"/>
  </r>
  <r>
    <x v="569"/>
    <x v="1"/>
    <x v="2"/>
    <x v="4"/>
    <x v="35"/>
    <x v="10"/>
    <x v="2"/>
    <n v="0"/>
    <x v="3"/>
    <x v="2"/>
    <n v="5"/>
    <m/>
    <m/>
    <m/>
    <n v="21.99"/>
  </r>
  <r>
    <x v="570"/>
    <x v="1"/>
    <x v="4"/>
    <x v="9"/>
    <x v="103"/>
    <x v="11"/>
    <x v="4"/>
    <n v="0"/>
    <x v="3"/>
    <x v="4"/>
    <n v="12.5"/>
    <m/>
    <m/>
    <m/>
    <n v="21.99"/>
  </r>
  <r>
    <x v="571"/>
    <x v="2"/>
    <x v="0"/>
    <x v="88"/>
    <x v="234"/>
    <x v="1"/>
    <x v="1"/>
    <n v="2"/>
    <x v="3"/>
    <x v="0"/>
    <n v="7"/>
    <m/>
    <m/>
    <m/>
    <n v="84.73"/>
  </r>
  <r>
    <x v="572"/>
    <x v="0"/>
    <x v="0"/>
    <x v="89"/>
    <x v="235"/>
    <x v="0"/>
    <x v="2"/>
    <n v="0"/>
    <x v="0"/>
    <x v="0"/>
    <n v="7"/>
    <m/>
    <m/>
    <m/>
    <n v="37.979999999999997"/>
  </r>
  <r>
    <x v="573"/>
    <x v="0"/>
    <x v="3"/>
    <x v="90"/>
    <x v="236"/>
    <x v="2"/>
    <x v="1"/>
    <n v="2"/>
    <x v="1"/>
    <x v="3"/>
    <n v="9"/>
    <m/>
    <m/>
    <m/>
    <n v="37.979999999999997"/>
  </r>
  <r>
    <x v="574"/>
    <x v="1"/>
    <x v="2"/>
    <x v="4"/>
    <x v="6"/>
    <x v="4"/>
    <x v="1"/>
    <n v="17"/>
    <x v="1"/>
    <x v="2"/>
    <n v="5"/>
    <m/>
    <m/>
    <m/>
    <n v="21.99"/>
  </r>
  <r>
    <x v="575"/>
    <x v="0"/>
    <x v="4"/>
    <x v="91"/>
    <x v="128"/>
    <x v="5"/>
    <x v="4"/>
    <n v="0"/>
    <x v="2"/>
    <x v="4"/>
    <n v="12.5"/>
    <m/>
    <m/>
    <m/>
    <n v="37.979999999999997"/>
  </r>
  <r>
    <x v="576"/>
    <x v="1"/>
    <x v="5"/>
    <x v="8"/>
    <x v="111"/>
    <x v="6"/>
    <x v="3"/>
    <n v="0"/>
    <x v="1"/>
    <x v="5"/>
    <n v="6"/>
    <m/>
    <m/>
    <m/>
    <n v="21.99"/>
  </r>
  <r>
    <x v="577"/>
    <x v="1"/>
    <x v="0"/>
    <x v="2"/>
    <x v="53"/>
    <x v="3"/>
    <x v="4"/>
    <n v="0"/>
    <x v="0"/>
    <x v="0"/>
    <n v="7"/>
    <m/>
    <m/>
    <m/>
    <n v="21.99"/>
  </r>
  <r>
    <x v="578"/>
    <x v="2"/>
    <x v="4"/>
    <x v="92"/>
    <x v="173"/>
    <x v="7"/>
    <x v="1"/>
    <n v="6"/>
    <x v="0"/>
    <x v="4"/>
    <n v="12.5"/>
    <m/>
    <m/>
    <m/>
    <n v="84.73"/>
  </r>
  <r>
    <x v="579"/>
    <x v="1"/>
    <x v="1"/>
    <x v="6"/>
    <x v="237"/>
    <x v="8"/>
    <x v="2"/>
    <n v="0"/>
    <x v="1"/>
    <x v="1"/>
    <n v="10.5"/>
    <m/>
    <m/>
    <m/>
    <n v="21.99"/>
  </r>
  <r>
    <x v="580"/>
    <x v="1"/>
    <x v="4"/>
    <x v="9"/>
    <x v="152"/>
    <x v="9"/>
    <x v="1"/>
    <n v="8"/>
    <x v="1"/>
    <x v="4"/>
    <n v="12.5"/>
    <m/>
    <m/>
    <m/>
    <n v="21.99"/>
  </r>
  <r>
    <x v="581"/>
    <x v="2"/>
    <x v="5"/>
    <x v="93"/>
    <x v="238"/>
    <x v="10"/>
    <x v="0"/>
    <n v="14"/>
    <x v="1"/>
    <x v="5"/>
    <n v="6"/>
    <m/>
    <m/>
    <m/>
    <n v="84.73"/>
  </r>
  <r>
    <x v="582"/>
    <x v="2"/>
    <x v="0"/>
    <x v="94"/>
    <x v="239"/>
    <x v="11"/>
    <x v="3"/>
    <n v="0"/>
    <x v="1"/>
    <x v="0"/>
    <n v="7"/>
    <m/>
    <m/>
    <m/>
    <n v="84.73"/>
  </r>
  <r>
    <x v="583"/>
    <x v="1"/>
    <x v="5"/>
    <x v="8"/>
    <x v="240"/>
    <x v="1"/>
    <x v="4"/>
    <n v="0"/>
    <x v="0"/>
    <x v="5"/>
    <n v="6"/>
    <m/>
    <m/>
    <m/>
    <n v="21.99"/>
  </r>
  <r>
    <x v="584"/>
    <x v="0"/>
    <x v="1"/>
    <x v="95"/>
    <x v="241"/>
    <x v="0"/>
    <x v="1"/>
    <n v="3"/>
    <x v="3"/>
    <x v="1"/>
    <n v="10.5"/>
    <m/>
    <m/>
    <m/>
    <n v="37.979999999999997"/>
  </r>
  <r>
    <x v="585"/>
    <x v="1"/>
    <x v="5"/>
    <x v="8"/>
    <x v="170"/>
    <x v="2"/>
    <x v="1"/>
    <n v="20"/>
    <x v="1"/>
    <x v="5"/>
    <n v="6"/>
    <m/>
    <m/>
    <m/>
    <n v="21.99"/>
  </r>
  <r>
    <x v="586"/>
    <x v="2"/>
    <x v="2"/>
    <x v="22"/>
    <x v="242"/>
    <x v="4"/>
    <x v="2"/>
    <n v="0"/>
    <x v="0"/>
    <x v="2"/>
    <n v="5"/>
    <m/>
    <m/>
    <m/>
    <n v="84.73"/>
  </r>
  <r>
    <x v="587"/>
    <x v="1"/>
    <x v="0"/>
    <x v="2"/>
    <x v="226"/>
    <x v="5"/>
    <x v="1"/>
    <n v="3"/>
    <x v="1"/>
    <x v="0"/>
    <n v="7"/>
    <m/>
    <m/>
    <m/>
    <n v="21.99"/>
  </r>
  <r>
    <x v="588"/>
    <x v="1"/>
    <x v="1"/>
    <x v="6"/>
    <x v="232"/>
    <x v="6"/>
    <x v="1"/>
    <n v="2"/>
    <x v="1"/>
    <x v="1"/>
    <n v="10.5"/>
    <m/>
    <m/>
    <m/>
    <n v="21.99"/>
  </r>
  <r>
    <x v="589"/>
    <x v="0"/>
    <x v="2"/>
    <x v="96"/>
    <x v="98"/>
    <x v="3"/>
    <x v="1"/>
    <n v="16"/>
    <x v="0"/>
    <x v="2"/>
    <n v="5"/>
    <m/>
    <m/>
    <m/>
    <n v="37.979999999999997"/>
  </r>
  <r>
    <x v="590"/>
    <x v="1"/>
    <x v="1"/>
    <x v="6"/>
    <x v="172"/>
    <x v="7"/>
    <x v="1"/>
    <n v="3"/>
    <x v="2"/>
    <x v="1"/>
    <n v="10.5"/>
    <m/>
    <m/>
    <m/>
    <n v="21.99"/>
  </r>
  <r>
    <x v="591"/>
    <x v="1"/>
    <x v="5"/>
    <x v="8"/>
    <x v="243"/>
    <x v="8"/>
    <x v="1"/>
    <n v="14"/>
    <x v="3"/>
    <x v="5"/>
    <n v="6"/>
    <m/>
    <m/>
    <m/>
    <n v="21.99"/>
  </r>
  <r>
    <x v="592"/>
    <x v="1"/>
    <x v="2"/>
    <x v="4"/>
    <x v="127"/>
    <x v="9"/>
    <x v="1"/>
    <n v="16"/>
    <x v="3"/>
    <x v="2"/>
    <n v="5"/>
    <m/>
    <m/>
    <m/>
    <n v="21.99"/>
  </r>
  <r>
    <x v="593"/>
    <x v="1"/>
    <x v="1"/>
    <x v="6"/>
    <x v="65"/>
    <x v="10"/>
    <x v="1"/>
    <n v="3"/>
    <x v="1"/>
    <x v="1"/>
    <n v="10.5"/>
    <m/>
    <m/>
    <m/>
    <n v="21.99"/>
  </r>
  <r>
    <x v="594"/>
    <x v="1"/>
    <x v="4"/>
    <x v="9"/>
    <x v="228"/>
    <x v="11"/>
    <x v="1"/>
    <n v="8"/>
    <x v="1"/>
    <x v="4"/>
    <n v="12.5"/>
    <m/>
    <m/>
    <m/>
    <n v="21.99"/>
  </r>
  <r>
    <x v="595"/>
    <x v="1"/>
    <x v="4"/>
    <x v="9"/>
    <x v="75"/>
    <x v="1"/>
    <x v="3"/>
    <n v="0"/>
    <x v="0"/>
    <x v="4"/>
    <n v="12.5"/>
    <m/>
    <m/>
    <m/>
    <n v="21.99"/>
  </r>
  <r>
    <x v="596"/>
    <x v="1"/>
    <x v="5"/>
    <x v="8"/>
    <x v="97"/>
    <x v="0"/>
    <x v="0"/>
    <n v="12"/>
    <x v="3"/>
    <x v="5"/>
    <n v="6"/>
    <m/>
    <m/>
    <m/>
    <n v="21.99"/>
  </r>
  <r>
    <x v="597"/>
    <x v="2"/>
    <x v="4"/>
    <x v="97"/>
    <x v="244"/>
    <x v="2"/>
    <x v="3"/>
    <n v="0"/>
    <x v="0"/>
    <x v="4"/>
    <n v="12.5"/>
    <m/>
    <m/>
    <m/>
    <n v="84.73"/>
  </r>
  <r>
    <x v="598"/>
    <x v="1"/>
    <x v="3"/>
    <x v="5"/>
    <x v="92"/>
    <x v="4"/>
    <x v="2"/>
    <n v="0"/>
    <x v="3"/>
    <x v="3"/>
    <n v="9"/>
    <m/>
    <m/>
    <m/>
    <n v="21.99"/>
  </r>
  <r>
    <x v="599"/>
    <x v="0"/>
    <x v="4"/>
    <x v="98"/>
    <x v="245"/>
    <x v="5"/>
    <x v="0"/>
    <n v="6"/>
    <x v="2"/>
    <x v="4"/>
    <n v="12.5"/>
    <m/>
    <m/>
    <m/>
    <n v="37.979999999999997"/>
  </r>
  <r>
    <x v="600"/>
    <x v="1"/>
    <x v="2"/>
    <x v="4"/>
    <x v="168"/>
    <x v="6"/>
    <x v="1"/>
    <n v="18"/>
    <x v="1"/>
    <x v="2"/>
    <n v="5"/>
    <m/>
    <m/>
    <m/>
    <n v="21.99"/>
  </r>
  <r>
    <x v="601"/>
    <x v="1"/>
    <x v="0"/>
    <x v="2"/>
    <x v="143"/>
    <x v="3"/>
    <x v="1"/>
    <n v="3"/>
    <x v="0"/>
    <x v="0"/>
    <n v="7"/>
    <m/>
    <m/>
    <m/>
    <n v="21.99"/>
  </r>
  <r>
    <x v="602"/>
    <x v="0"/>
    <x v="5"/>
    <x v="99"/>
    <x v="19"/>
    <x v="7"/>
    <x v="1"/>
    <n v="18"/>
    <x v="1"/>
    <x v="5"/>
    <n v="6"/>
    <m/>
    <m/>
    <m/>
    <n v="37.979999999999997"/>
  </r>
  <r>
    <x v="603"/>
    <x v="1"/>
    <x v="3"/>
    <x v="5"/>
    <x v="246"/>
    <x v="8"/>
    <x v="1"/>
    <n v="3"/>
    <x v="0"/>
    <x v="3"/>
    <n v="9"/>
    <m/>
    <m/>
    <m/>
    <n v="21.99"/>
  </r>
  <r>
    <x v="604"/>
    <x v="1"/>
    <x v="4"/>
    <x v="9"/>
    <x v="207"/>
    <x v="9"/>
    <x v="1"/>
    <n v="8"/>
    <x v="2"/>
    <x v="4"/>
    <n v="12.5"/>
    <m/>
    <m/>
    <m/>
    <n v="21.99"/>
  </r>
  <r>
    <x v="605"/>
    <x v="1"/>
    <x v="3"/>
    <x v="5"/>
    <x v="247"/>
    <x v="10"/>
    <x v="1"/>
    <n v="3"/>
    <x v="2"/>
    <x v="3"/>
    <n v="9"/>
    <m/>
    <m/>
    <m/>
    <n v="21.99"/>
  </r>
  <r>
    <x v="606"/>
    <x v="1"/>
    <x v="0"/>
    <x v="2"/>
    <x v="172"/>
    <x v="11"/>
    <x v="1"/>
    <n v="2"/>
    <x v="2"/>
    <x v="0"/>
    <n v="7"/>
    <m/>
    <m/>
    <m/>
    <n v="21.99"/>
  </r>
  <r>
    <x v="607"/>
    <x v="1"/>
    <x v="3"/>
    <x v="5"/>
    <x v="248"/>
    <x v="1"/>
    <x v="1"/>
    <n v="2"/>
    <x v="2"/>
    <x v="3"/>
    <n v="9"/>
    <m/>
    <m/>
    <m/>
    <n v="21.99"/>
  </r>
  <r>
    <x v="608"/>
    <x v="2"/>
    <x v="4"/>
    <x v="100"/>
    <x v="249"/>
    <x v="0"/>
    <x v="1"/>
    <n v="8"/>
    <x v="1"/>
    <x v="4"/>
    <n v="12.5"/>
    <m/>
    <m/>
    <m/>
    <n v="84.73"/>
  </r>
  <r>
    <x v="609"/>
    <x v="1"/>
    <x v="4"/>
    <x v="9"/>
    <x v="236"/>
    <x v="2"/>
    <x v="1"/>
    <n v="7"/>
    <x v="3"/>
    <x v="4"/>
    <n v="12.5"/>
    <m/>
    <m/>
    <m/>
    <n v="21.99"/>
  </r>
  <r>
    <x v="610"/>
    <x v="0"/>
    <x v="5"/>
    <x v="101"/>
    <x v="164"/>
    <x v="4"/>
    <x v="2"/>
    <n v="0"/>
    <x v="3"/>
    <x v="5"/>
    <n v="6"/>
    <m/>
    <m/>
    <m/>
    <n v="37.979999999999997"/>
  </r>
  <r>
    <x v="611"/>
    <x v="1"/>
    <x v="3"/>
    <x v="5"/>
    <x v="214"/>
    <x v="5"/>
    <x v="1"/>
    <n v="2"/>
    <x v="0"/>
    <x v="3"/>
    <n v="9"/>
    <m/>
    <m/>
    <m/>
    <n v="21.99"/>
  </r>
  <r>
    <x v="612"/>
    <x v="1"/>
    <x v="2"/>
    <x v="4"/>
    <x v="1"/>
    <x v="6"/>
    <x v="1"/>
    <n v="20"/>
    <x v="2"/>
    <x v="2"/>
    <n v="5"/>
    <m/>
    <m/>
    <m/>
    <n v="21.99"/>
  </r>
  <r>
    <x v="613"/>
    <x v="1"/>
    <x v="5"/>
    <x v="8"/>
    <x v="182"/>
    <x v="3"/>
    <x v="1"/>
    <n v="12"/>
    <x v="2"/>
    <x v="5"/>
    <n v="6"/>
    <m/>
    <m/>
    <m/>
    <n v="21.99"/>
  </r>
  <r>
    <x v="614"/>
    <x v="0"/>
    <x v="1"/>
    <x v="102"/>
    <x v="250"/>
    <x v="7"/>
    <x v="2"/>
    <n v="0"/>
    <x v="3"/>
    <x v="1"/>
    <n v="10.5"/>
    <m/>
    <m/>
    <m/>
    <n v="37.979999999999997"/>
  </r>
  <r>
    <x v="615"/>
    <x v="1"/>
    <x v="1"/>
    <x v="6"/>
    <x v="251"/>
    <x v="8"/>
    <x v="1"/>
    <n v="4"/>
    <x v="3"/>
    <x v="1"/>
    <n v="10.5"/>
    <m/>
    <m/>
    <m/>
    <n v="21.99"/>
  </r>
  <r>
    <x v="616"/>
    <x v="1"/>
    <x v="2"/>
    <x v="4"/>
    <x v="20"/>
    <x v="9"/>
    <x v="2"/>
    <n v="0"/>
    <x v="3"/>
    <x v="2"/>
    <n v="5"/>
    <m/>
    <m/>
    <m/>
    <n v="21.99"/>
  </r>
  <r>
    <x v="617"/>
    <x v="0"/>
    <x v="0"/>
    <x v="103"/>
    <x v="226"/>
    <x v="10"/>
    <x v="1"/>
    <n v="3"/>
    <x v="2"/>
    <x v="0"/>
    <n v="7"/>
    <m/>
    <m/>
    <m/>
    <n v="37.979999999999997"/>
  </r>
  <r>
    <x v="618"/>
    <x v="2"/>
    <x v="2"/>
    <x v="104"/>
    <x v="65"/>
    <x v="11"/>
    <x v="3"/>
    <n v="0"/>
    <x v="0"/>
    <x v="2"/>
    <n v="5"/>
    <m/>
    <m/>
    <m/>
    <n v="84.73"/>
  </r>
  <r>
    <x v="619"/>
    <x v="1"/>
    <x v="4"/>
    <x v="9"/>
    <x v="18"/>
    <x v="1"/>
    <x v="1"/>
    <n v="6"/>
    <x v="1"/>
    <x v="4"/>
    <n v="12.5"/>
    <m/>
    <m/>
    <m/>
    <n v="21.99"/>
  </r>
  <r>
    <x v="620"/>
    <x v="1"/>
    <x v="0"/>
    <x v="2"/>
    <x v="252"/>
    <x v="0"/>
    <x v="3"/>
    <n v="0"/>
    <x v="1"/>
    <x v="0"/>
    <n v="7"/>
    <m/>
    <m/>
    <m/>
    <n v="21.99"/>
  </r>
  <r>
    <x v="621"/>
    <x v="0"/>
    <x v="5"/>
    <x v="105"/>
    <x v="31"/>
    <x v="2"/>
    <x v="1"/>
    <n v="13"/>
    <x v="2"/>
    <x v="5"/>
    <n v="6"/>
    <m/>
    <m/>
    <m/>
    <n v="37.979999999999997"/>
  </r>
  <r>
    <x v="622"/>
    <x v="1"/>
    <x v="5"/>
    <x v="8"/>
    <x v="57"/>
    <x v="4"/>
    <x v="1"/>
    <n v="11"/>
    <x v="3"/>
    <x v="5"/>
    <n v="6"/>
    <m/>
    <m/>
    <m/>
    <n v="21.99"/>
  </r>
  <r>
    <x v="623"/>
    <x v="0"/>
    <x v="1"/>
    <x v="106"/>
    <x v="10"/>
    <x v="5"/>
    <x v="0"/>
    <n v="2"/>
    <x v="1"/>
    <x v="1"/>
    <n v="10.5"/>
    <m/>
    <m/>
    <m/>
    <n v="37.979999999999997"/>
  </r>
  <r>
    <x v="624"/>
    <x v="1"/>
    <x v="5"/>
    <x v="8"/>
    <x v="253"/>
    <x v="6"/>
    <x v="1"/>
    <n v="12"/>
    <x v="1"/>
    <x v="5"/>
    <n v="6"/>
    <m/>
    <m/>
    <m/>
    <n v="21.99"/>
  </r>
  <r>
    <x v="625"/>
    <x v="1"/>
    <x v="4"/>
    <x v="9"/>
    <x v="254"/>
    <x v="3"/>
    <x v="2"/>
    <n v="0"/>
    <x v="3"/>
    <x v="4"/>
    <n v="12.5"/>
    <m/>
    <m/>
    <m/>
    <n v="21.99"/>
  </r>
  <r>
    <x v="626"/>
    <x v="2"/>
    <x v="0"/>
    <x v="107"/>
    <x v="237"/>
    <x v="7"/>
    <x v="1"/>
    <n v="3"/>
    <x v="1"/>
    <x v="0"/>
    <n v="7"/>
    <m/>
    <m/>
    <m/>
    <n v="84.73"/>
  </r>
  <r>
    <x v="627"/>
    <x v="1"/>
    <x v="1"/>
    <x v="6"/>
    <x v="255"/>
    <x v="8"/>
    <x v="2"/>
    <n v="0"/>
    <x v="1"/>
    <x v="1"/>
    <n v="10.5"/>
    <m/>
    <m/>
    <m/>
    <n v="21.99"/>
  </r>
  <r>
    <x v="628"/>
    <x v="1"/>
    <x v="0"/>
    <x v="2"/>
    <x v="215"/>
    <x v="9"/>
    <x v="1"/>
    <n v="3"/>
    <x v="0"/>
    <x v="0"/>
    <n v="7"/>
    <m/>
    <m/>
    <m/>
    <n v="21.99"/>
  </r>
  <r>
    <x v="629"/>
    <x v="1"/>
    <x v="5"/>
    <x v="8"/>
    <x v="22"/>
    <x v="10"/>
    <x v="2"/>
    <n v="0"/>
    <x v="0"/>
    <x v="5"/>
    <n v="6"/>
    <m/>
    <m/>
    <m/>
    <n v="21.99"/>
  </r>
  <r>
    <x v="630"/>
    <x v="1"/>
    <x v="1"/>
    <x v="6"/>
    <x v="256"/>
    <x v="11"/>
    <x v="1"/>
    <n v="3"/>
    <x v="0"/>
    <x v="1"/>
    <n v="10.5"/>
    <m/>
    <m/>
    <m/>
    <n v="21.99"/>
  </r>
  <r>
    <x v="631"/>
    <x v="1"/>
    <x v="3"/>
    <x v="5"/>
    <x v="141"/>
    <x v="1"/>
    <x v="1"/>
    <n v="3"/>
    <x v="2"/>
    <x v="3"/>
    <n v="9"/>
    <m/>
    <m/>
    <m/>
    <n v="21.99"/>
  </r>
  <r>
    <x v="632"/>
    <x v="2"/>
    <x v="2"/>
    <x v="108"/>
    <x v="257"/>
    <x v="0"/>
    <x v="1"/>
    <n v="15"/>
    <x v="2"/>
    <x v="2"/>
    <n v="5"/>
    <m/>
    <m/>
    <m/>
    <n v="84.73"/>
  </r>
  <r>
    <x v="633"/>
    <x v="1"/>
    <x v="1"/>
    <x v="6"/>
    <x v="178"/>
    <x v="2"/>
    <x v="0"/>
    <n v="2"/>
    <x v="3"/>
    <x v="1"/>
    <n v="10.5"/>
    <m/>
    <m/>
    <m/>
    <n v="21.99"/>
  </r>
  <r>
    <x v="634"/>
    <x v="2"/>
    <x v="5"/>
    <x v="109"/>
    <x v="258"/>
    <x v="4"/>
    <x v="1"/>
    <n v="14"/>
    <x v="1"/>
    <x v="5"/>
    <n v="6"/>
    <m/>
    <m/>
    <m/>
    <n v="84.73"/>
  </r>
  <r>
    <x v="635"/>
    <x v="2"/>
    <x v="5"/>
    <x v="110"/>
    <x v="259"/>
    <x v="5"/>
    <x v="1"/>
    <n v="20"/>
    <x v="3"/>
    <x v="5"/>
    <n v="6"/>
    <m/>
    <m/>
    <m/>
    <n v="84.73"/>
  </r>
  <r>
    <x v="636"/>
    <x v="0"/>
    <x v="2"/>
    <x v="3"/>
    <x v="260"/>
    <x v="6"/>
    <x v="4"/>
    <n v="0"/>
    <x v="0"/>
    <x v="2"/>
    <n v="5"/>
    <m/>
    <m/>
    <m/>
    <n v="37.979999999999997"/>
  </r>
  <r>
    <x v="637"/>
    <x v="1"/>
    <x v="1"/>
    <x v="6"/>
    <x v="261"/>
    <x v="3"/>
    <x v="4"/>
    <n v="0"/>
    <x v="0"/>
    <x v="1"/>
    <n v="10.5"/>
    <m/>
    <m/>
    <m/>
    <n v="21.99"/>
  </r>
  <r>
    <x v="638"/>
    <x v="1"/>
    <x v="5"/>
    <x v="8"/>
    <x v="104"/>
    <x v="7"/>
    <x v="4"/>
    <n v="0"/>
    <x v="0"/>
    <x v="5"/>
    <n v="6"/>
    <m/>
    <m/>
    <m/>
    <n v="21.99"/>
  </r>
  <r>
    <x v="639"/>
    <x v="0"/>
    <x v="5"/>
    <x v="111"/>
    <x v="262"/>
    <x v="8"/>
    <x v="1"/>
    <n v="10"/>
    <x v="2"/>
    <x v="5"/>
    <n v="6"/>
    <m/>
    <m/>
    <m/>
    <n v="37.979999999999997"/>
  </r>
  <r>
    <x v="640"/>
    <x v="1"/>
    <x v="0"/>
    <x v="2"/>
    <x v="254"/>
    <x v="9"/>
    <x v="1"/>
    <n v="2"/>
    <x v="1"/>
    <x v="0"/>
    <n v="7"/>
    <m/>
    <m/>
    <m/>
    <n v="21.99"/>
  </r>
  <r>
    <x v="641"/>
    <x v="2"/>
    <x v="2"/>
    <x v="112"/>
    <x v="188"/>
    <x v="10"/>
    <x v="1"/>
    <n v="19"/>
    <x v="1"/>
    <x v="2"/>
    <n v="5"/>
    <m/>
    <m/>
    <m/>
    <n v="84.73"/>
  </r>
  <r>
    <x v="642"/>
    <x v="2"/>
    <x v="1"/>
    <x v="113"/>
    <x v="148"/>
    <x v="11"/>
    <x v="1"/>
    <n v="2"/>
    <x v="2"/>
    <x v="1"/>
    <n v="10.5"/>
    <m/>
    <m/>
    <m/>
    <n v="84.73"/>
  </r>
  <r>
    <x v="643"/>
    <x v="1"/>
    <x v="0"/>
    <x v="2"/>
    <x v="56"/>
    <x v="1"/>
    <x v="1"/>
    <n v="2"/>
    <x v="0"/>
    <x v="0"/>
    <n v="7"/>
    <m/>
    <m/>
    <m/>
    <n v="21.99"/>
  </r>
  <r>
    <x v="644"/>
    <x v="1"/>
    <x v="0"/>
    <x v="2"/>
    <x v="263"/>
    <x v="0"/>
    <x v="2"/>
    <n v="0"/>
    <x v="0"/>
    <x v="0"/>
    <n v="7"/>
    <m/>
    <m/>
    <m/>
    <n v="21.99"/>
  </r>
  <r>
    <x v="645"/>
    <x v="1"/>
    <x v="4"/>
    <x v="9"/>
    <x v="264"/>
    <x v="2"/>
    <x v="1"/>
    <n v="7"/>
    <x v="3"/>
    <x v="4"/>
    <n v="12.5"/>
    <m/>
    <m/>
    <m/>
    <n v="21.99"/>
  </r>
  <r>
    <x v="646"/>
    <x v="0"/>
    <x v="1"/>
    <x v="114"/>
    <x v="265"/>
    <x v="4"/>
    <x v="0"/>
    <n v="2"/>
    <x v="0"/>
    <x v="1"/>
    <n v="10.5"/>
    <m/>
    <m/>
    <m/>
    <n v="37.979999999999997"/>
  </r>
  <r>
    <x v="647"/>
    <x v="1"/>
    <x v="5"/>
    <x v="8"/>
    <x v="266"/>
    <x v="5"/>
    <x v="4"/>
    <n v="0"/>
    <x v="3"/>
    <x v="5"/>
    <n v="6"/>
    <m/>
    <m/>
    <m/>
    <n v="21.99"/>
  </r>
  <r>
    <x v="648"/>
    <x v="1"/>
    <x v="1"/>
    <x v="6"/>
    <x v="267"/>
    <x v="6"/>
    <x v="1"/>
    <n v="3"/>
    <x v="2"/>
    <x v="1"/>
    <n v="10.5"/>
    <m/>
    <m/>
    <m/>
    <n v="21.99"/>
  </r>
  <r>
    <x v="649"/>
    <x v="1"/>
    <x v="0"/>
    <x v="2"/>
    <x v="193"/>
    <x v="3"/>
    <x v="1"/>
    <n v="2"/>
    <x v="1"/>
    <x v="0"/>
    <n v="7"/>
    <m/>
    <m/>
    <m/>
    <n v="21.99"/>
  </r>
  <r>
    <x v="650"/>
    <x v="2"/>
    <x v="5"/>
    <x v="115"/>
    <x v="193"/>
    <x v="7"/>
    <x v="4"/>
    <n v="0"/>
    <x v="1"/>
    <x v="5"/>
    <n v="6"/>
    <m/>
    <m/>
    <m/>
    <n v="84.73"/>
  </r>
  <r>
    <x v="651"/>
    <x v="1"/>
    <x v="0"/>
    <x v="2"/>
    <x v="220"/>
    <x v="8"/>
    <x v="1"/>
    <n v="3"/>
    <x v="1"/>
    <x v="0"/>
    <n v="7"/>
    <m/>
    <m/>
    <m/>
    <n v="21.99"/>
  </r>
  <r>
    <x v="652"/>
    <x v="0"/>
    <x v="3"/>
    <x v="116"/>
    <x v="235"/>
    <x v="9"/>
    <x v="2"/>
    <n v="0"/>
    <x v="2"/>
    <x v="3"/>
    <n v="9"/>
    <m/>
    <m/>
    <m/>
    <n v="37.979999999999997"/>
  </r>
  <r>
    <x v="653"/>
    <x v="1"/>
    <x v="3"/>
    <x v="5"/>
    <x v="268"/>
    <x v="10"/>
    <x v="2"/>
    <n v="0"/>
    <x v="1"/>
    <x v="3"/>
    <n v="9"/>
    <m/>
    <m/>
    <m/>
    <n v="21.99"/>
  </r>
  <r>
    <x v="654"/>
    <x v="1"/>
    <x v="5"/>
    <x v="8"/>
    <x v="192"/>
    <x v="11"/>
    <x v="1"/>
    <n v="15"/>
    <x v="3"/>
    <x v="5"/>
    <n v="6"/>
    <m/>
    <m/>
    <m/>
    <n v="21.99"/>
  </r>
  <r>
    <x v="655"/>
    <x v="1"/>
    <x v="0"/>
    <x v="2"/>
    <x v="242"/>
    <x v="1"/>
    <x v="2"/>
    <n v="0"/>
    <x v="2"/>
    <x v="0"/>
    <n v="7"/>
    <m/>
    <m/>
    <m/>
    <n v="21.99"/>
  </r>
  <r>
    <x v="656"/>
    <x v="1"/>
    <x v="4"/>
    <x v="9"/>
    <x v="223"/>
    <x v="0"/>
    <x v="4"/>
    <n v="0"/>
    <x v="2"/>
    <x v="4"/>
    <n v="12.5"/>
    <m/>
    <m/>
    <m/>
    <n v="21.99"/>
  </r>
  <r>
    <x v="657"/>
    <x v="0"/>
    <x v="2"/>
    <x v="117"/>
    <x v="137"/>
    <x v="2"/>
    <x v="1"/>
    <n v="17"/>
    <x v="3"/>
    <x v="2"/>
    <n v="5"/>
    <m/>
    <m/>
    <m/>
    <n v="37.979999999999997"/>
  </r>
  <r>
    <x v="658"/>
    <x v="1"/>
    <x v="1"/>
    <x v="6"/>
    <x v="255"/>
    <x v="4"/>
    <x v="2"/>
    <n v="0"/>
    <x v="3"/>
    <x v="1"/>
    <n v="10.5"/>
    <m/>
    <m/>
    <m/>
    <n v="21.99"/>
  </r>
  <r>
    <x v="659"/>
    <x v="0"/>
    <x v="4"/>
    <x v="118"/>
    <x v="93"/>
    <x v="5"/>
    <x v="2"/>
    <n v="0"/>
    <x v="1"/>
    <x v="4"/>
    <n v="12.5"/>
    <m/>
    <m/>
    <m/>
    <n v="37.979999999999997"/>
  </r>
  <r>
    <x v="660"/>
    <x v="1"/>
    <x v="0"/>
    <x v="2"/>
    <x v="100"/>
    <x v="6"/>
    <x v="0"/>
    <n v="2"/>
    <x v="1"/>
    <x v="0"/>
    <n v="7"/>
    <m/>
    <m/>
    <m/>
    <n v="21.99"/>
  </r>
  <r>
    <x v="661"/>
    <x v="0"/>
    <x v="5"/>
    <x v="119"/>
    <x v="171"/>
    <x v="3"/>
    <x v="1"/>
    <n v="16"/>
    <x v="3"/>
    <x v="5"/>
    <n v="6"/>
    <m/>
    <m/>
    <m/>
    <n v="37.979999999999997"/>
  </r>
  <r>
    <x v="662"/>
    <x v="2"/>
    <x v="3"/>
    <x v="120"/>
    <x v="269"/>
    <x v="7"/>
    <x v="4"/>
    <n v="0"/>
    <x v="2"/>
    <x v="3"/>
    <n v="9"/>
    <m/>
    <m/>
    <m/>
    <n v="84.73"/>
  </r>
  <r>
    <x v="663"/>
    <x v="2"/>
    <x v="1"/>
    <x v="121"/>
    <x v="270"/>
    <x v="8"/>
    <x v="1"/>
    <n v="3"/>
    <x v="0"/>
    <x v="1"/>
    <n v="10.5"/>
    <m/>
    <m/>
    <m/>
    <n v="84.73"/>
  </r>
  <r>
    <x v="664"/>
    <x v="1"/>
    <x v="2"/>
    <x v="4"/>
    <x v="39"/>
    <x v="9"/>
    <x v="2"/>
    <n v="0"/>
    <x v="0"/>
    <x v="2"/>
    <n v="5"/>
    <m/>
    <m/>
    <m/>
    <n v="21.99"/>
  </r>
  <r>
    <x v="665"/>
    <x v="1"/>
    <x v="5"/>
    <x v="8"/>
    <x v="53"/>
    <x v="10"/>
    <x v="2"/>
    <n v="0"/>
    <x v="0"/>
    <x v="5"/>
    <n v="6"/>
    <m/>
    <m/>
    <m/>
    <n v="21.99"/>
  </r>
  <r>
    <x v="666"/>
    <x v="1"/>
    <x v="4"/>
    <x v="9"/>
    <x v="271"/>
    <x v="11"/>
    <x v="4"/>
    <n v="0"/>
    <x v="1"/>
    <x v="4"/>
    <n v="12.5"/>
    <m/>
    <m/>
    <m/>
    <n v="21.99"/>
  </r>
  <r>
    <x v="667"/>
    <x v="1"/>
    <x v="3"/>
    <x v="5"/>
    <x v="4"/>
    <x v="1"/>
    <x v="1"/>
    <n v="2"/>
    <x v="0"/>
    <x v="3"/>
    <n v="9"/>
    <m/>
    <m/>
    <m/>
    <n v="21.99"/>
  </r>
  <r>
    <x v="668"/>
    <x v="1"/>
    <x v="4"/>
    <x v="9"/>
    <x v="272"/>
    <x v="0"/>
    <x v="4"/>
    <n v="0"/>
    <x v="0"/>
    <x v="4"/>
    <n v="12.5"/>
    <m/>
    <m/>
    <m/>
    <n v="21.99"/>
  </r>
  <r>
    <x v="669"/>
    <x v="2"/>
    <x v="5"/>
    <x v="122"/>
    <x v="178"/>
    <x v="2"/>
    <x v="4"/>
    <n v="0"/>
    <x v="1"/>
    <x v="5"/>
    <n v="6"/>
    <m/>
    <m/>
    <m/>
    <n v="84.73"/>
  </r>
  <r>
    <x v="670"/>
    <x v="1"/>
    <x v="1"/>
    <x v="6"/>
    <x v="97"/>
    <x v="4"/>
    <x v="2"/>
    <n v="0"/>
    <x v="0"/>
    <x v="1"/>
    <n v="10.5"/>
    <m/>
    <m/>
    <m/>
    <n v="21.99"/>
  </r>
  <r>
    <x v="671"/>
    <x v="0"/>
    <x v="0"/>
    <x v="123"/>
    <x v="146"/>
    <x v="5"/>
    <x v="2"/>
    <n v="0"/>
    <x v="2"/>
    <x v="0"/>
    <n v="7"/>
    <m/>
    <m/>
    <m/>
    <n v="37.979999999999997"/>
  </r>
  <r>
    <x v="672"/>
    <x v="1"/>
    <x v="2"/>
    <x v="4"/>
    <x v="273"/>
    <x v="6"/>
    <x v="3"/>
    <n v="0"/>
    <x v="3"/>
    <x v="2"/>
    <n v="5"/>
    <m/>
    <m/>
    <m/>
    <n v="21.99"/>
  </r>
  <r>
    <x v="673"/>
    <x v="2"/>
    <x v="0"/>
    <x v="124"/>
    <x v="133"/>
    <x v="3"/>
    <x v="4"/>
    <n v="0"/>
    <x v="1"/>
    <x v="0"/>
    <n v="7"/>
    <m/>
    <m/>
    <m/>
    <n v="84.73"/>
  </r>
  <r>
    <x v="674"/>
    <x v="2"/>
    <x v="5"/>
    <x v="125"/>
    <x v="274"/>
    <x v="7"/>
    <x v="2"/>
    <n v="0"/>
    <x v="3"/>
    <x v="5"/>
    <n v="6"/>
    <m/>
    <m/>
    <m/>
    <n v="84.73"/>
  </r>
  <r>
    <x v="675"/>
    <x v="1"/>
    <x v="3"/>
    <x v="5"/>
    <x v="190"/>
    <x v="8"/>
    <x v="1"/>
    <n v="3"/>
    <x v="1"/>
    <x v="3"/>
    <n v="9"/>
    <m/>
    <m/>
    <m/>
    <n v="21.99"/>
  </r>
  <r>
    <x v="676"/>
    <x v="1"/>
    <x v="5"/>
    <x v="8"/>
    <x v="42"/>
    <x v="9"/>
    <x v="1"/>
    <n v="13"/>
    <x v="1"/>
    <x v="5"/>
    <n v="6"/>
    <m/>
    <m/>
    <m/>
    <n v="21.99"/>
  </r>
  <r>
    <x v="677"/>
    <x v="1"/>
    <x v="0"/>
    <x v="2"/>
    <x v="168"/>
    <x v="10"/>
    <x v="2"/>
    <n v="0"/>
    <x v="3"/>
    <x v="0"/>
    <n v="7"/>
    <m/>
    <m/>
    <m/>
    <n v="21.99"/>
  </r>
  <r>
    <x v="678"/>
    <x v="1"/>
    <x v="4"/>
    <x v="9"/>
    <x v="5"/>
    <x v="11"/>
    <x v="1"/>
    <n v="8"/>
    <x v="0"/>
    <x v="4"/>
    <n v="12.5"/>
    <m/>
    <m/>
    <m/>
    <n v="21.99"/>
  </r>
  <r>
    <x v="679"/>
    <x v="1"/>
    <x v="3"/>
    <x v="5"/>
    <x v="232"/>
    <x v="1"/>
    <x v="3"/>
    <n v="0"/>
    <x v="3"/>
    <x v="3"/>
    <n v="9"/>
    <m/>
    <m/>
    <m/>
    <n v="21.99"/>
  </r>
  <r>
    <x v="680"/>
    <x v="0"/>
    <x v="3"/>
    <x v="126"/>
    <x v="69"/>
    <x v="0"/>
    <x v="1"/>
    <n v="2"/>
    <x v="2"/>
    <x v="3"/>
    <n v="9"/>
    <m/>
    <m/>
    <m/>
    <n v="37.979999999999997"/>
  </r>
  <r>
    <x v="681"/>
    <x v="1"/>
    <x v="1"/>
    <x v="6"/>
    <x v="275"/>
    <x v="2"/>
    <x v="0"/>
    <n v="3"/>
    <x v="3"/>
    <x v="1"/>
    <n v="10.5"/>
    <m/>
    <m/>
    <m/>
    <n v="21.99"/>
  </r>
  <r>
    <x v="682"/>
    <x v="1"/>
    <x v="1"/>
    <x v="6"/>
    <x v="224"/>
    <x v="4"/>
    <x v="1"/>
    <n v="3"/>
    <x v="2"/>
    <x v="1"/>
    <n v="10.5"/>
    <m/>
    <m/>
    <m/>
    <n v="21.99"/>
  </r>
  <r>
    <x v="683"/>
    <x v="1"/>
    <x v="2"/>
    <x v="4"/>
    <x v="206"/>
    <x v="5"/>
    <x v="4"/>
    <n v="0"/>
    <x v="2"/>
    <x v="2"/>
    <n v="5"/>
    <m/>
    <m/>
    <m/>
    <n v="21.99"/>
  </r>
  <r>
    <x v="684"/>
    <x v="1"/>
    <x v="2"/>
    <x v="4"/>
    <x v="200"/>
    <x v="6"/>
    <x v="1"/>
    <n v="18"/>
    <x v="2"/>
    <x v="2"/>
    <n v="5"/>
    <m/>
    <m/>
    <m/>
    <n v="21.99"/>
  </r>
  <r>
    <x v="685"/>
    <x v="1"/>
    <x v="4"/>
    <x v="9"/>
    <x v="243"/>
    <x v="3"/>
    <x v="1"/>
    <n v="8"/>
    <x v="3"/>
    <x v="4"/>
    <n v="12.5"/>
    <m/>
    <m/>
    <m/>
    <n v="21.99"/>
  </r>
  <r>
    <x v="686"/>
    <x v="1"/>
    <x v="2"/>
    <x v="4"/>
    <x v="3"/>
    <x v="7"/>
    <x v="1"/>
    <n v="20"/>
    <x v="3"/>
    <x v="2"/>
    <n v="5"/>
    <m/>
    <m/>
    <m/>
    <n v="21.99"/>
  </r>
  <r>
    <x v="687"/>
    <x v="1"/>
    <x v="0"/>
    <x v="2"/>
    <x v="190"/>
    <x v="8"/>
    <x v="1"/>
    <n v="3"/>
    <x v="2"/>
    <x v="0"/>
    <n v="7"/>
    <m/>
    <m/>
    <m/>
    <n v="21.99"/>
  </r>
  <r>
    <x v="688"/>
    <x v="1"/>
    <x v="0"/>
    <x v="2"/>
    <x v="49"/>
    <x v="9"/>
    <x v="1"/>
    <n v="2"/>
    <x v="3"/>
    <x v="0"/>
    <n v="7"/>
    <m/>
    <m/>
    <m/>
    <n v="21.99"/>
  </r>
  <r>
    <x v="689"/>
    <x v="2"/>
    <x v="1"/>
    <x v="127"/>
    <x v="69"/>
    <x v="10"/>
    <x v="0"/>
    <n v="2"/>
    <x v="2"/>
    <x v="1"/>
    <n v="10.5"/>
    <m/>
    <m/>
    <m/>
    <n v="84.73"/>
  </r>
  <r>
    <x v="690"/>
    <x v="0"/>
    <x v="5"/>
    <x v="128"/>
    <x v="98"/>
    <x v="11"/>
    <x v="2"/>
    <n v="0"/>
    <x v="2"/>
    <x v="5"/>
    <n v="6"/>
    <m/>
    <m/>
    <m/>
    <n v="37.979999999999997"/>
  </r>
  <r>
    <x v="691"/>
    <x v="2"/>
    <x v="1"/>
    <x v="129"/>
    <x v="276"/>
    <x v="1"/>
    <x v="2"/>
    <n v="0"/>
    <x v="3"/>
    <x v="1"/>
    <n v="10.5"/>
    <m/>
    <m/>
    <m/>
    <n v="84.73"/>
  </r>
  <r>
    <x v="692"/>
    <x v="2"/>
    <x v="1"/>
    <x v="130"/>
    <x v="140"/>
    <x v="0"/>
    <x v="1"/>
    <n v="3"/>
    <x v="0"/>
    <x v="1"/>
    <n v="10.5"/>
    <m/>
    <m/>
    <m/>
    <n v="84.73"/>
  </r>
  <r>
    <x v="693"/>
    <x v="2"/>
    <x v="4"/>
    <x v="131"/>
    <x v="137"/>
    <x v="2"/>
    <x v="1"/>
    <n v="5"/>
    <x v="1"/>
    <x v="4"/>
    <n v="12.5"/>
    <m/>
    <m/>
    <m/>
    <n v="84.73"/>
  </r>
  <r>
    <x v="694"/>
    <x v="2"/>
    <x v="4"/>
    <x v="132"/>
    <x v="277"/>
    <x v="4"/>
    <x v="4"/>
    <n v="0"/>
    <x v="3"/>
    <x v="4"/>
    <n v="12.5"/>
    <m/>
    <m/>
    <m/>
    <n v="84.73"/>
  </r>
  <r>
    <x v="695"/>
    <x v="0"/>
    <x v="1"/>
    <x v="47"/>
    <x v="36"/>
    <x v="5"/>
    <x v="1"/>
    <n v="3"/>
    <x v="2"/>
    <x v="1"/>
    <n v="10.5"/>
    <m/>
    <m/>
    <m/>
    <n v="37.979999999999997"/>
  </r>
  <r>
    <x v="696"/>
    <x v="1"/>
    <x v="5"/>
    <x v="8"/>
    <x v="253"/>
    <x v="6"/>
    <x v="4"/>
    <n v="0"/>
    <x v="2"/>
    <x v="5"/>
    <n v="6"/>
    <m/>
    <m/>
    <m/>
    <n v="21.99"/>
  </r>
  <r>
    <x v="697"/>
    <x v="1"/>
    <x v="1"/>
    <x v="6"/>
    <x v="170"/>
    <x v="3"/>
    <x v="0"/>
    <n v="3"/>
    <x v="3"/>
    <x v="1"/>
    <n v="10.5"/>
    <m/>
    <m/>
    <m/>
    <n v="21.99"/>
  </r>
  <r>
    <x v="698"/>
    <x v="1"/>
    <x v="2"/>
    <x v="4"/>
    <x v="218"/>
    <x v="7"/>
    <x v="3"/>
    <n v="0"/>
    <x v="1"/>
    <x v="2"/>
    <n v="5"/>
    <m/>
    <m/>
    <m/>
    <n v="21.99"/>
  </r>
  <r>
    <x v="699"/>
    <x v="1"/>
    <x v="1"/>
    <x v="6"/>
    <x v="224"/>
    <x v="8"/>
    <x v="2"/>
    <n v="0"/>
    <x v="2"/>
    <x v="1"/>
    <n v="10.5"/>
    <m/>
    <m/>
    <m/>
    <n v="21.99"/>
  </r>
  <r>
    <x v="700"/>
    <x v="2"/>
    <x v="3"/>
    <x v="133"/>
    <x v="10"/>
    <x v="9"/>
    <x v="2"/>
    <n v="0"/>
    <x v="2"/>
    <x v="3"/>
    <n v="9"/>
    <m/>
    <m/>
    <m/>
    <n v="84.73"/>
  </r>
  <r>
    <x v="701"/>
    <x v="0"/>
    <x v="4"/>
    <x v="134"/>
    <x v="199"/>
    <x v="10"/>
    <x v="1"/>
    <n v="5"/>
    <x v="2"/>
    <x v="4"/>
    <n v="12.5"/>
    <m/>
    <m/>
    <m/>
    <n v="37.979999999999997"/>
  </r>
  <r>
    <x v="702"/>
    <x v="2"/>
    <x v="3"/>
    <x v="135"/>
    <x v="40"/>
    <x v="11"/>
    <x v="3"/>
    <n v="0"/>
    <x v="0"/>
    <x v="3"/>
    <n v="9"/>
    <m/>
    <m/>
    <m/>
    <n v="84.73"/>
  </r>
  <r>
    <x v="703"/>
    <x v="1"/>
    <x v="0"/>
    <x v="2"/>
    <x v="230"/>
    <x v="1"/>
    <x v="1"/>
    <n v="3"/>
    <x v="1"/>
    <x v="0"/>
    <n v="7"/>
    <m/>
    <m/>
    <m/>
    <n v="21.99"/>
  </r>
  <r>
    <x v="704"/>
    <x v="1"/>
    <x v="3"/>
    <x v="5"/>
    <x v="278"/>
    <x v="0"/>
    <x v="2"/>
    <n v="0"/>
    <x v="3"/>
    <x v="3"/>
    <n v="9"/>
    <m/>
    <m/>
    <m/>
    <n v="21.99"/>
  </r>
  <r>
    <x v="705"/>
    <x v="2"/>
    <x v="5"/>
    <x v="136"/>
    <x v="241"/>
    <x v="2"/>
    <x v="1"/>
    <n v="10"/>
    <x v="3"/>
    <x v="5"/>
    <n v="6"/>
    <m/>
    <m/>
    <m/>
    <n v="84.73"/>
  </r>
  <r>
    <x v="706"/>
    <x v="1"/>
    <x v="5"/>
    <x v="8"/>
    <x v="160"/>
    <x v="4"/>
    <x v="1"/>
    <n v="11"/>
    <x v="3"/>
    <x v="5"/>
    <n v="6"/>
    <m/>
    <m/>
    <m/>
    <n v="21.99"/>
  </r>
  <r>
    <x v="707"/>
    <x v="1"/>
    <x v="1"/>
    <x v="6"/>
    <x v="157"/>
    <x v="5"/>
    <x v="2"/>
    <n v="0"/>
    <x v="2"/>
    <x v="1"/>
    <n v="10.5"/>
    <m/>
    <m/>
    <m/>
    <n v="21.99"/>
  </r>
  <r>
    <x v="708"/>
    <x v="1"/>
    <x v="3"/>
    <x v="5"/>
    <x v="53"/>
    <x v="6"/>
    <x v="1"/>
    <n v="3"/>
    <x v="0"/>
    <x v="3"/>
    <n v="9"/>
    <m/>
    <m/>
    <m/>
    <n v="21.99"/>
  </r>
  <r>
    <x v="709"/>
    <x v="1"/>
    <x v="0"/>
    <x v="2"/>
    <x v="207"/>
    <x v="3"/>
    <x v="1"/>
    <n v="2"/>
    <x v="0"/>
    <x v="0"/>
    <n v="7"/>
    <m/>
    <m/>
    <m/>
    <n v="21.99"/>
  </r>
  <r>
    <x v="710"/>
    <x v="1"/>
    <x v="0"/>
    <x v="2"/>
    <x v="240"/>
    <x v="7"/>
    <x v="4"/>
    <n v="0"/>
    <x v="1"/>
    <x v="0"/>
    <n v="7"/>
    <m/>
    <m/>
    <m/>
    <n v="21.99"/>
  </r>
  <r>
    <x v="711"/>
    <x v="1"/>
    <x v="3"/>
    <x v="5"/>
    <x v="151"/>
    <x v="8"/>
    <x v="4"/>
    <n v="0"/>
    <x v="3"/>
    <x v="3"/>
    <n v="9"/>
    <m/>
    <m/>
    <m/>
    <n v="21.99"/>
  </r>
  <r>
    <x v="712"/>
    <x v="1"/>
    <x v="2"/>
    <x v="4"/>
    <x v="109"/>
    <x v="9"/>
    <x v="1"/>
    <n v="18"/>
    <x v="3"/>
    <x v="2"/>
    <n v="5"/>
    <m/>
    <m/>
    <m/>
    <n v="21.99"/>
  </r>
  <r>
    <x v="713"/>
    <x v="1"/>
    <x v="4"/>
    <x v="9"/>
    <x v="279"/>
    <x v="10"/>
    <x v="1"/>
    <n v="6"/>
    <x v="3"/>
    <x v="4"/>
    <n v="12.5"/>
    <m/>
    <m/>
    <m/>
    <n v="21.99"/>
  </r>
  <r>
    <x v="714"/>
    <x v="2"/>
    <x v="1"/>
    <x v="137"/>
    <x v="211"/>
    <x v="11"/>
    <x v="1"/>
    <n v="6"/>
    <x v="3"/>
    <x v="1"/>
    <n v="10.5"/>
    <m/>
    <m/>
    <m/>
    <n v="84.73"/>
  </r>
  <r>
    <x v="715"/>
    <x v="2"/>
    <x v="0"/>
    <x v="138"/>
    <x v="280"/>
    <x v="1"/>
    <x v="3"/>
    <n v="0"/>
    <x v="2"/>
    <x v="0"/>
    <n v="7"/>
    <m/>
    <m/>
    <m/>
    <n v="84.73"/>
  </r>
  <r>
    <x v="716"/>
    <x v="1"/>
    <x v="3"/>
    <x v="5"/>
    <x v="281"/>
    <x v="0"/>
    <x v="3"/>
    <n v="0"/>
    <x v="0"/>
    <x v="3"/>
    <n v="9"/>
    <m/>
    <m/>
    <m/>
    <n v="21.99"/>
  </r>
  <r>
    <x v="717"/>
    <x v="0"/>
    <x v="0"/>
    <x v="139"/>
    <x v="81"/>
    <x v="2"/>
    <x v="1"/>
    <n v="2"/>
    <x v="2"/>
    <x v="0"/>
    <n v="7"/>
    <m/>
    <m/>
    <m/>
    <n v="37.979999999999997"/>
  </r>
  <r>
    <x v="718"/>
    <x v="1"/>
    <x v="0"/>
    <x v="2"/>
    <x v="282"/>
    <x v="4"/>
    <x v="4"/>
    <n v="0"/>
    <x v="1"/>
    <x v="0"/>
    <n v="7"/>
    <m/>
    <m/>
    <m/>
    <n v="21.99"/>
  </r>
  <r>
    <x v="719"/>
    <x v="1"/>
    <x v="5"/>
    <x v="8"/>
    <x v="13"/>
    <x v="5"/>
    <x v="3"/>
    <n v="0"/>
    <x v="2"/>
    <x v="5"/>
    <n v="6"/>
    <m/>
    <m/>
    <m/>
    <n v="21.99"/>
  </r>
  <r>
    <x v="720"/>
    <x v="2"/>
    <x v="3"/>
    <x v="140"/>
    <x v="53"/>
    <x v="6"/>
    <x v="0"/>
    <n v="3"/>
    <x v="2"/>
    <x v="3"/>
    <n v="9"/>
    <m/>
    <m/>
    <m/>
    <n v="84.73"/>
  </r>
  <r>
    <x v="721"/>
    <x v="1"/>
    <x v="5"/>
    <x v="8"/>
    <x v="283"/>
    <x v="3"/>
    <x v="1"/>
    <n v="10"/>
    <x v="1"/>
    <x v="5"/>
    <n v="6"/>
    <m/>
    <m/>
    <m/>
    <n v="21.99"/>
  </r>
  <r>
    <x v="722"/>
    <x v="1"/>
    <x v="1"/>
    <x v="6"/>
    <x v="147"/>
    <x v="7"/>
    <x v="2"/>
    <n v="0"/>
    <x v="3"/>
    <x v="1"/>
    <n v="10.5"/>
    <m/>
    <m/>
    <m/>
    <n v="21.99"/>
  </r>
  <r>
    <x v="723"/>
    <x v="1"/>
    <x v="4"/>
    <x v="9"/>
    <x v="284"/>
    <x v="8"/>
    <x v="0"/>
    <n v="8"/>
    <x v="3"/>
    <x v="4"/>
    <n v="12.5"/>
    <m/>
    <m/>
    <m/>
    <n v="21.99"/>
  </r>
  <r>
    <x v="724"/>
    <x v="2"/>
    <x v="4"/>
    <x v="141"/>
    <x v="9"/>
    <x v="9"/>
    <x v="1"/>
    <n v="6"/>
    <x v="0"/>
    <x v="4"/>
    <n v="12.5"/>
    <m/>
    <m/>
    <m/>
    <n v="84.73"/>
  </r>
  <r>
    <x v="725"/>
    <x v="1"/>
    <x v="1"/>
    <x v="6"/>
    <x v="273"/>
    <x v="10"/>
    <x v="1"/>
    <n v="3"/>
    <x v="3"/>
    <x v="1"/>
    <n v="10.5"/>
    <m/>
    <m/>
    <m/>
    <n v="21.99"/>
  </r>
  <r>
    <x v="726"/>
    <x v="1"/>
    <x v="4"/>
    <x v="9"/>
    <x v="222"/>
    <x v="11"/>
    <x v="1"/>
    <n v="11"/>
    <x v="3"/>
    <x v="4"/>
    <n v="12.5"/>
    <m/>
    <m/>
    <m/>
    <n v="21.99"/>
  </r>
  <r>
    <x v="727"/>
    <x v="0"/>
    <x v="1"/>
    <x v="142"/>
    <x v="285"/>
    <x v="1"/>
    <x v="1"/>
    <n v="3"/>
    <x v="2"/>
    <x v="1"/>
    <n v="10.5"/>
    <m/>
    <m/>
    <m/>
    <n v="37.979999999999997"/>
  </r>
  <r>
    <x v="728"/>
    <x v="1"/>
    <x v="3"/>
    <x v="5"/>
    <x v="185"/>
    <x v="0"/>
    <x v="1"/>
    <n v="3"/>
    <x v="3"/>
    <x v="3"/>
    <n v="9"/>
    <m/>
    <m/>
    <m/>
    <n v="21.99"/>
  </r>
  <r>
    <x v="729"/>
    <x v="1"/>
    <x v="5"/>
    <x v="8"/>
    <x v="286"/>
    <x v="2"/>
    <x v="3"/>
    <n v="0"/>
    <x v="3"/>
    <x v="5"/>
    <n v="6"/>
    <m/>
    <m/>
    <m/>
    <n v="21.99"/>
  </r>
  <r>
    <x v="730"/>
    <x v="1"/>
    <x v="4"/>
    <x v="9"/>
    <x v="41"/>
    <x v="4"/>
    <x v="1"/>
    <n v="7"/>
    <x v="0"/>
    <x v="4"/>
    <n v="12.5"/>
    <m/>
    <m/>
    <m/>
    <n v="21.99"/>
  </r>
  <r>
    <x v="731"/>
    <x v="0"/>
    <x v="1"/>
    <x v="143"/>
    <x v="76"/>
    <x v="5"/>
    <x v="1"/>
    <n v="2"/>
    <x v="3"/>
    <x v="1"/>
    <n v="10.5"/>
    <m/>
    <m/>
    <m/>
    <n v="37.979999999999997"/>
  </r>
  <r>
    <x v="732"/>
    <x v="1"/>
    <x v="4"/>
    <x v="9"/>
    <x v="209"/>
    <x v="6"/>
    <x v="1"/>
    <n v="6"/>
    <x v="1"/>
    <x v="4"/>
    <n v="12.5"/>
    <m/>
    <m/>
    <m/>
    <n v="21.99"/>
  </r>
  <r>
    <x v="733"/>
    <x v="1"/>
    <x v="1"/>
    <x v="6"/>
    <x v="287"/>
    <x v="3"/>
    <x v="1"/>
    <n v="2"/>
    <x v="2"/>
    <x v="1"/>
    <n v="10.5"/>
    <m/>
    <m/>
    <m/>
    <n v="21.99"/>
  </r>
  <r>
    <x v="734"/>
    <x v="0"/>
    <x v="5"/>
    <x v="144"/>
    <x v="288"/>
    <x v="7"/>
    <x v="1"/>
    <n v="12"/>
    <x v="0"/>
    <x v="5"/>
    <n v="6"/>
    <m/>
    <m/>
    <m/>
    <n v="37.979999999999997"/>
  </r>
  <r>
    <x v="735"/>
    <x v="1"/>
    <x v="1"/>
    <x v="6"/>
    <x v="172"/>
    <x v="8"/>
    <x v="1"/>
    <n v="2"/>
    <x v="1"/>
    <x v="1"/>
    <n v="10.5"/>
    <m/>
    <m/>
    <m/>
    <n v="21.99"/>
  </r>
  <r>
    <x v="736"/>
    <x v="1"/>
    <x v="4"/>
    <x v="9"/>
    <x v="113"/>
    <x v="9"/>
    <x v="1"/>
    <n v="8"/>
    <x v="0"/>
    <x v="4"/>
    <n v="12.5"/>
    <m/>
    <m/>
    <m/>
    <n v="21.99"/>
  </r>
  <r>
    <x v="737"/>
    <x v="0"/>
    <x v="3"/>
    <x v="145"/>
    <x v="90"/>
    <x v="10"/>
    <x v="1"/>
    <n v="3"/>
    <x v="0"/>
    <x v="3"/>
    <n v="9"/>
    <m/>
    <m/>
    <m/>
    <n v="37.979999999999997"/>
  </r>
  <r>
    <x v="738"/>
    <x v="2"/>
    <x v="3"/>
    <x v="146"/>
    <x v="194"/>
    <x v="11"/>
    <x v="1"/>
    <n v="3"/>
    <x v="2"/>
    <x v="3"/>
    <n v="9"/>
    <m/>
    <m/>
    <m/>
    <n v="84.73"/>
  </r>
  <r>
    <x v="739"/>
    <x v="2"/>
    <x v="1"/>
    <x v="147"/>
    <x v="148"/>
    <x v="1"/>
    <x v="1"/>
    <n v="3"/>
    <x v="2"/>
    <x v="1"/>
    <n v="10.5"/>
    <m/>
    <m/>
    <m/>
    <n v="84.73"/>
  </r>
  <r>
    <x v="740"/>
    <x v="1"/>
    <x v="2"/>
    <x v="4"/>
    <x v="103"/>
    <x v="0"/>
    <x v="1"/>
    <n v="16"/>
    <x v="2"/>
    <x v="2"/>
    <n v="5"/>
    <m/>
    <m/>
    <m/>
    <n v="21.99"/>
  </r>
  <r>
    <x v="741"/>
    <x v="1"/>
    <x v="1"/>
    <x v="6"/>
    <x v="18"/>
    <x v="2"/>
    <x v="3"/>
    <n v="0"/>
    <x v="0"/>
    <x v="1"/>
    <n v="10.5"/>
    <m/>
    <m/>
    <m/>
    <n v="21.99"/>
  </r>
  <r>
    <x v="742"/>
    <x v="1"/>
    <x v="3"/>
    <x v="5"/>
    <x v="75"/>
    <x v="4"/>
    <x v="1"/>
    <n v="2"/>
    <x v="0"/>
    <x v="3"/>
    <n v="9"/>
    <m/>
    <m/>
    <m/>
    <n v="21.99"/>
  </r>
  <r>
    <x v="743"/>
    <x v="1"/>
    <x v="3"/>
    <x v="5"/>
    <x v="51"/>
    <x v="5"/>
    <x v="1"/>
    <n v="3"/>
    <x v="0"/>
    <x v="3"/>
    <n v="9"/>
    <m/>
    <m/>
    <m/>
    <n v="21.99"/>
  </r>
  <r>
    <x v="744"/>
    <x v="2"/>
    <x v="5"/>
    <x v="148"/>
    <x v="0"/>
    <x v="6"/>
    <x v="1"/>
    <n v="15"/>
    <x v="0"/>
    <x v="5"/>
    <n v="6"/>
    <m/>
    <m/>
    <m/>
    <n v="84.73"/>
  </r>
  <r>
    <x v="745"/>
    <x v="0"/>
    <x v="4"/>
    <x v="149"/>
    <x v="267"/>
    <x v="3"/>
    <x v="2"/>
    <n v="0"/>
    <x v="2"/>
    <x v="4"/>
    <n v="12.5"/>
    <m/>
    <m/>
    <m/>
    <n v="37.979999999999997"/>
  </r>
  <r>
    <x v="746"/>
    <x v="1"/>
    <x v="5"/>
    <x v="8"/>
    <x v="91"/>
    <x v="7"/>
    <x v="1"/>
    <n v="14"/>
    <x v="1"/>
    <x v="5"/>
    <n v="6"/>
    <m/>
    <m/>
    <m/>
    <n v="21.99"/>
  </r>
  <r>
    <x v="747"/>
    <x v="0"/>
    <x v="5"/>
    <x v="63"/>
    <x v="132"/>
    <x v="8"/>
    <x v="1"/>
    <n v="10"/>
    <x v="2"/>
    <x v="5"/>
    <n v="6"/>
    <m/>
    <m/>
    <m/>
    <n v="37.979999999999997"/>
  </r>
  <r>
    <x v="748"/>
    <x v="0"/>
    <x v="1"/>
    <x v="150"/>
    <x v="266"/>
    <x v="9"/>
    <x v="2"/>
    <n v="0"/>
    <x v="1"/>
    <x v="1"/>
    <n v="10.5"/>
    <m/>
    <m/>
    <m/>
    <n v="37.979999999999997"/>
  </r>
  <r>
    <x v="749"/>
    <x v="1"/>
    <x v="0"/>
    <x v="2"/>
    <x v="289"/>
    <x v="10"/>
    <x v="1"/>
    <n v="3"/>
    <x v="1"/>
    <x v="0"/>
    <n v="7"/>
    <m/>
    <m/>
    <m/>
    <n v="21.99"/>
  </r>
  <r>
    <x v="750"/>
    <x v="0"/>
    <x v="2"/>
    <x v="151"/>
    <x v="290"/>
    <x v="11"/>
    <x v="1"/>
    <n v="20"/>
    <x v="3"/>
    <x v="2"/>
    <n v="5"/>
    <m/>
    <m/>
    <m/>
    <n v="37.979999999999997"/>
  </r>
  <r>
    <x v="751"/>
    <x v="1"/>
    <x v="5"/>
    <x v="8"/>
    <x v="46"/>
    <x v="1"/>
    <x v="1"/>
    <n v="11"/>
    <x v="3"/>
    <x v="5"/>
    <n v="6"/>
    <m/>
    <m/>
    <m/>
    <n v="21.99"/>
  </r>
  <r>
    <x v="752"/>
    <x v="0"/>
    <x v="5"/>
    <x v="152"/>
    <x v="122"/>
    <x v="0"/>
    <x v="1"/>
    <n v="14"/>
    <x v="0"/>
    <x v="5"/>
    <n v="6"/>
    <m/>
    <m/>
    <m/>
    <n v="37.979999999999997"/>
  </r>
  <r>
    <x v="753"/>
    <x v="1"/>
    <x v="3"/>
    <x v="5"/>
    <x v="61"/>
    <x v="2"/>
    <x v="4"/>
    <n v="0"/>
    <x v="1"/>
    <x v="3"/>
    <n v="9"/>
    <m/>
    <m/>
    <m/>
    <n v="21.99"/>
  </r>
  <r>
    <x v="754"/>
    <x v="1"/>
    <x v="4"/>
    <x v="9"/>
    <x v="215"/>
    <x v="4"/>
    <x v="1"/>
    <n v="8"/>
    <x v="3"/>
    <x v="4"/>
    <n v="12.5"/>
    <m/>
    <m/>
    <m/>
    <n v="21.99"/>
  </r>
  <r>
    <x v="755"/>
    <x v="2"/>
    <x v="3"/>
    <x v="153"/>
    <x v="291"/>
    <x v="5"/>
    <x v="1"/>
    <n v="2"/>
    <x v="2"/>
    <x v="3"/>
    <n v="9"/>
    <m/>
    <m/>
    <m/>
    <n v="84.73"/>
  </r>
  <r>
    <x v="756"/>
    <x v="0"/>
    <x v="0"/>
    <x v="49"/>
    <x v="292"/>
    <x v="6"/>
    <x v="1"/>
    <n v="2"/>
    <x v="2"/>
    <x v="0"/>
    <n v="7"/>
    <m/>
    <m/>
    <m/>
    <n v="37.979999999999997"/>
  </r>
  <r>
    <x v="757"/>
    <x v="2"/>
    <x v="2"/>
    <x v="70"/>
    <x v="293"/>
    <x v="3"/>
    <x v="4"/>
    <n v="0"/>
    <x v="0"/>
    <x v="2"/>
    <n v="5"/>
    <m/>
    <m/>
    <m/>
    <n v="84.73"/>
  </r>
  <r>
    <x v="758"/>
    <x v="1"/>
    <x v="2"/>
    <x v="4"/>
    <x v="182"/>
    <x v="7"/>
    <x v="2"/>
    <n v="0"/>
    <x v="1"/>
    <x v="2"/>
    <n v="5"/>
    <m/>
    <m/>
    <m/>
    <n v="21.99"/>
  </r>
  <r>
    <x v="759"/>
    <x v="1"/>
    <x v="0"/>
    <x v="2"/>
    <x v="156"/>
    <x v="8"/>
    <x v="1"/>
    <n v="2"/>
    <x v="1"/>
    <x v="0"/>
    <n v="7"/>
    <m/>
    <m/>
    <m/>
    <n v="21.99"/>
  </r>
  <r>
    <x v="760"/>
    <x v="0"/>
    <x v="5"/>
    <x v="154"/>
    <x v="14"/>
    <x v="9"/>
    <x v="2"/>
    <n v="0"/>
    <x v="1"/>
    <x v="5"/>
    <n v="6"/>
    <m/>
    <m/>
    <m/>
    <n v="37.979999999999997"/>
  </r>
  <r>
    <x v="761"/>
    <x v="1"/>
    <x v="1"/>
    <x v="6"/>
    <x v="294"/>
    <x v="10"/>
    <x v="1"/>
    <n v="3"/>
    <x v="0"/>
    <x v="1"/>
    <n v="10.5"/>
    <m/>
    <m/>
    <m/>
    <n v="21.99"/>
  </r>
  <r>
    <x v="762"/>
    <x v="1"/>
    <x v="0"/>
    <x v="2"/>
    <x v="244"/>
    <x v="11"/>
    <x v="1"/>
    <n v="3"/>
    <x v="1"/>
    <x v="0"/>
    <n v="7"/>
    <m/>
    <m/>
    <m/>
    <n v="21.99"/>
  </r>
  <r>
    <x v="763"/>
    <x v="1"/>
    <x v="4"/>
    <x v="9"/>
    <x v="204"/>
    <x v="1"/>
    <x v="1"/>
    <n v="10"/>
    <x v="3"/>
    <x v="4"/>
    <n v="12.5"/>
    <m/>
    <m/>
    <m/>
    <n v="21.99"/>
  </r>
  <r>
    <x v="764"/>
    <x v="2"/>
    <x v="2"/>
    <x v="155"/>
    <x v="281"/>
    <x v="0"/>
    <x v="3"/>
    <n v="0"/>
    <x v="2"/>
    <x v="2"/>
    <n v="5"/>
    <m/>
    <m/>
    <m/>
    <n v="84.73"/>
  </r>
  <r>
    <x v="765"/>
    <x v="1"/>
    <x v="1"/>
    <x v="6"/>
    <x v="200"/>
    <x v="2"/>
    <x v="1"/>
    <n v="7"/>
    <x v="2"/>
    <x v="1"/>
    <n v="10.5"/>
    <m/>
    <m/>
    <m/>
    <n v="21.99"/>
  </r>
  <r>
    <x v="766"/>
    <x v="1"/>
    <x v="0"/>
    <x v="2"/>
    <x v="214"/>
    <x v="4"/>
    <x v="1"/>
    <n v="8"/>
    <x v="2"/>
    <x v="0"/>
    <n v="7"/>
    <m/>
    <m/>
    <m/>
    <n v="21.99"/>
  </r>
  <r>
    <x v="767"/>
    <x v="1"/>
    <x v="4"/>
    <x v="9"/>
    <x v="295"/>
    <x v="5"/>
    <x v="1"/>
    <n v="5"/>
    <x v="1"/>
    <x v="4"/>
    <n v="12.5"/>
    <m/>
    <m/>
    <m/>
    <n v="21.99"/>
  </r>
  <r>
    <x v="768"/>
    <x v="0"/>
    <x v="0"/>
    <x v="156"/>
    <x v="160"/>
    <x v="6"/>
    <x v="1"/>
    <n v="2"/>
    <x v="0"/>
    <x v="0"/>
    <n v="7"/>
    <m/>
    <m/>
    <m/>
    <n v="37.979999999999997"/>
  </r>
  <r>
    <x v="769"/>
    <x v="1"/>
    <x v="3"/>
    <x v="5"/>
    <x v="134"/>
    <x v="3"/>
    <x v="4"/>
    <n v="0"/>
    <x v="0"/>
    <x v="3"/>
    <n v="9"/>
    <m/>
    <m/>
    <m/>
    <n v="21.99"/>
  </r>
  <r>
    <x v="770"/>
    <x v="1"/>
    <x v="0"/>
    <x v="2"/>
    <x v="296"/>
    <x v="7"/>
    <x v="1"/>
    <n v="2"/>
    <x v="1"/>
    <x v="0"/>
    <n v="7"/>
    <m/>
    <m/>
    <m/>
    <n v="21.99"/>
  </r>
  <r>
    <x v="771"/>
    <x v="0"/>
    <x v="3"/>
    <x v="157"/>
    <x v="40"/>
    <x v="8"/>
    <x v="1"/>
    <n v="3"/>
    <x v="3"/>
    <x v="3"/>
    <n v="9"/>
    <m/>
    <m/>
    <m/>
    <n v="37.979999999999997"/>
  </r>
  <r>
    <x v="772"/>
    <x v="2"/>
    <x v="1"/>
    <x v="158"/>
    <x v="179"/>
    <x v="9"/>
    <x v="1"/>
    <n v="2"/>
    <x v="0"/>
    <x v="1"/>
    <n v="10.5"/>
    <m/>
    <m/>
    <m/>
    <n v="84.73"/>
  </r>
  <r>
    <x v="773"/>
    <x v="1"/>
    <x v="0"/>
    <x v="2"/>
    <x v="223"/>
    <x v="10"/>
    <x v="3"/>
    <n v="0"/>
    <x v="2"/>
    <x v="0"/>
    <n v="7"/>
    <m/>
    <m/>
    <m/>
    <n v="21.99"/>
  </r>
  <r>
    <x v="774"/>
    <x v="1"/>
    <x v="5"/>
    <x v="8"/>
    <x v="73"/>
    <x v="11"/>
    <x v="1"/>
    <n v="12"/>
    <x v="2"/>
    <x v="5"/>
    <n v="6"/>
    <m/>
    <m/>
    <m/>
    <n v="21.99"/>
  </r>
  <r>
    <x v="775"/>
    <x v="1"/>
    <x v="5"/>
    <x v="8"/>
    <x v="271"/>
    <x v="1"/>
    <x v="1"/>
    <n v="13"/>
    <x v="2"/>
    <x v="5"/>
    <n v="6"/>
    <m/>
    <m/>
    <m/>
    <n v="21.99"/>
  </r>
  <r>
    <x v="776"/>
    <x v="1"/>
    <x v="5"/>
    <x v="8"/>
    <x v="200"/>
    <x v="0"/>
    <x v="0"/>
    <n v="18"/>
    <x v="2"/>
    <x v="5"/>
    <n v="6"/>
    <m/>
    <m/>
    <m/>
    <n v="21.99"/>
  </r>
  <r>
    <x v="777"/>
    <x v="2"/>
    <x v="0"/>
    <x v="159"/>
    <x v="184"/>
    <x v="2"/>
    <x v="1"/>
    <n v="3"/>
    <x v="1"/>
    <x v="0"/>
    <n v="7"/>
    <m/>
    <m/>
    <m/>
    <n v="84.73"/>
  </r>
  <r>
    <x v="778"/>
    <x v="1"/>
    <x v="4"/>
    <x v="9"/>
    <x v="297"/>
    <x v="4"/>
    <x v="0"/>
    <n v="5"/>
    <x v="2"/>
    <x v="4"/>
    <n v="12.5"/>
    <m/>
    <m/>
    <m/>
    <n v="21.99"/>
  </r>
  <r>
    <x v="779"/>
    <x v="2"/>
    <x v="1"/>
    <x v="32"/>
    <x v="78"/>
    <x v="5"/>
    <x v="1"/>
    <n v="2"/>
    <x v="2"/>
    <x v="1"/>
    <n v="10.5"/>
    <m/>
    <m/>
    <m/>
    <n v="84.73"/>
  </r>
  <r>
    <x v="780"/>
    <x v="2"/>
    <x v="1"/>
    <x v="160"/>
    <x v="3"/>
    <x v="6"/>
    <x v="4"/>
    <n v="0"/>
    <x v="1"/>
    <x v="1"/>
    <n v="10.5"/>
    <m/>
    <m/>
    <m/>
    <n v="84.73"/>
  </r>
  <r>
    <x v="781"/>
    <x v="1"/>
    <x v="1"/>
    <x v="6"/>
    <x v="123"/>
    <x v="3"/>
    <x v="4"/>
    <n v="0"/>
    <x v="2"/>
    <x v="1"/>
    <n v="10.5"/>
    <m/>
    <m/>
    <m/>
    <n v="21.99"/>
  </r>
  <r>
    <x v="782"/>
    <x v="1"/>
    <x v="0"/>
    <x v="2"/>
    <x v="44"/>
    <x v="7"/>
    <x v="0"/>
    <n v="2"/>
    <x v="1"/>
    <x v="0"/>
    <n v="7"/>
    <m/>
    <m/>
    <m/>
    <n v="21.99"/>
  </r>
  <r>
    <x v="783"/>
    <x v="2"/>
    <x v="1"/>
    <x v="127"/>
    <x v="166"/>
    <x v="8"/>
    <x v="2"/>
    <n v="0"/>
    <x v="2"/>
    <x v="1"/>
    <n v="10.5"/>
    <m/>
    <m/>
    <m/>
    <n v="84.73"/>
  </r>
  <r>
    <x v="784"/>
    <x v="1"/>
    <x v="3"/>
    <x v="5"/>
    <x v="273"/>
    <x v="9"/>
    <x v="1"/>
    <n v="3"/>
    <x v="1"/>
    <x v="3"/>
    <n v="9"/>
    <m/>
    <m/>
    <m/>
    <n v="21.99"/>
  </r>
  <r>
    <x v="785"/>
    <x v="1"/>
    <x v="4"/>
    <x v="9"/>
    <x v="298"/>
    <x v="10"/>
    <x v="1"/>
    <n v="5"/>
    <x v="2"/>
    <x v="4"/>
    <n v="12.5"/>
    <m/>
    <m/>
    <m/>
    <n v="21.99"/>
  </r>
  <r>
    <x v="786"/>
    <x v="1"/>
    <x v="5"/>
    <x v="8"/>
    <x v="136"/>
    <x v="11"/>
    <x v="1"/>
    <n v="11"/>
    <x v="3"/>
    <x v="5"/>
    <n v="6"/>
    <m/>
    <m/>
    <m/>
    <n v="21.99"/>
  </r>
  <r>
    <x v="787"/>
    <x v="1"/>
    <x v="2"/>
    <x v="4"/>
    <x v="179"/>
    <x v="1"/>
    <x v="0"/>
    <n v="15"/>
    <x v="3"/>
    <x v="2"/>
    <n v="5"/>
    <m/>
    <m/>
    <m/>
    <n v="21.99"/>
  </r>
  <r>
    <x v="788"/>
    <x v="1"/>
    <x v="4"/>
    <x v="9"/>
    <x v="104"/>
    <x v="0"/>
    <x v="1"/>
    <n v="9"/>
    <x v="2"/>
    <x v="4"/>
    <n v="12.5"/>
    <m/>
    <m/>
    <m/>
    <n v="21.99"/>
  </r>
  <r>
    <x v="789"/>
    <x v="1"/>
    <x v="5"/>
    <x v="8"/>
    <x v="69"/>
    <x v="2"/>
    <x v="1"/>
    <n v="15"/>
    <x v="3"/>
    <x v="5"/>
    <n v="6"/>
    <m/>
    <m/>
    <m/>
    <n v="21.99"/>
  </r>
  <r>
    <x v="790"/>
    <x v="1"/>
    <x v="4"/>
    <x v="9"/>
    <x v="291"/>
    <x v="4"/>
    <x v="2"/>
    <n v="0"/>
    <x v="1"/>
    <x v="4"/>
    <n v="12.5"/>
    <m/>
    <m/>
    <m/>
    <n v="21.99"/>
  </r>
  <r>
    <x v="791"/>
    <x v="1"/>
    <x v="5"/>
    <x v="8"/>
    <x v="10"/>
    <x v="5"/>
    <x v="2"/>
    <n v="0"/>
    <x v="0"/>
    <x v="5"/>
    <n v="6"/>
    <m/>
    <m/>
    <m/>
    <n v="21.99"/>
  </r>
  <r>
    <x v="792"/>
    <x v="0"/>
    <x v="1"/>
    <x v="161"/>
    <x v="0"/>
    <x v="6"/>
    <x v="1"/>
    <n v="2"/>
    <x v="0"/>
    <x v="1"/>
    <n v="10.5"/>
    <m/>
    <m/>
    <m/>
    <n v="37.979999999999997"/>
  </r>
  <r>
    <x v="793"/>
    <x v="1"/>
    <x v="5"/>
    <x v="8"/>
    <x v="6"/>
    <x v="3"/>
    <x v="1"/>
    <n v="12"/>
    <x v="1"/>
    <x v="5"/>
    <n v="6"/>
    <m/>
    <m/>
    <m/>
    <n v="21.99"/>
  </r>
  <r>
    <x v="794"/>
    <x v="2"/>
    <x v="0"/>
    <x v="162"/>
    <x v="299"/>
    <x v="7"/>
    <x v="4"/>
    <n v="0"/>
    <x v="2"/>
    <x v="0"/>
    <n v="7"/>
    <m/>
    <m/>
    <m/>
    <n v="84.73"/>
  </r>
  <r>
    <x v="795"/>
    <x v="1"/>
    <x v="3"/>
    <x v="5"/>
    <x v="14"/>
    <x v="8"/>
    <x v="2"/>
    <n v="0"/>
    <x v="0"/>
    <x v="3"/>
    <n v="9"/>
    <m/>
    <m/>
    <m/>
    <n v="21.99"/>
  </r>
  <r>
    <x v="796"/>
    <x v="1"/>
    <x v="5"/>
    <x v="8"/>
    <x v="264"/>
    <x v="9"/>
    <x v="1"/>
    <n v="12"/>
    <x v="1"/>
    <x v="5"/>
    <n v="6"/>
    <m/>
    <m/>
    <m/>
    <n v="21.99"/>
  </r>
  <r>
    <x v="797"/>
    <x v="1"/>
    <x v="4"/>
    <x v="9"/>
    <x v="300"/>
    <x v="10"/>
    <x v="4"/>
    <n v="0"/>
    <x v="3"/>
    <x v="4"/>
    <n v="12.5"/>
    <m/>
    <m/>
    <m/>
    <n v="21.99"/>
  </r>
  <r>
    <x v="798"/>
    <x v="0"/>
    <x v="4"/>
    <x v="163"/>
    <x v="173"/>
    <x v="11"/>
    <x v="1"/>
    <n v="6"/>
    <x v="2"/>
    <x v="4"/>
    <n v="12.5"/>
    <m/>
    <m/>
    <m/>
    <n v="37.979999999999997"/>
  </r>
  <r>
    <x v="799"/>
    <x v="1"/>
    <x v="4"/>
    <x v="9"/>
    <x v="264"/>
    <x v="1"/>
    <x v="1"/>
    <n v="6"/>
    <x v="3"/>
    <x v="4"/>
    <n v="12.5"/>
    <m/>
    <m/>
    <m/>
    <n v="21.99"/>
  </r>
  <r>
    <x v="800"/>
    <x v="2"/>
    <x v="4"/>
    <x v="164"/>
    <x v="133"/>
    <x v="0"/>
    <x v="1"/>
    <n v="6"/>
    <x v="3"/>
    <x v="4"/>
    <n v="12.5"/>
    <m/>
    <m/>
    <m/>
    <n v="84.73"/>
  </r>
  <r>
    <x v="801"/>
    <x v="1"/>
    <x v="2"/>
    <x v="4"/>
    <x v="32"/>
    <x v="2"/>
    <x v="1"/>
    <n v="16"/>
    <x v="2"/>
    <x v="2"/>
    <n v="5"/>
    <m/>
    <m/>
    <m/>
    <n v="21.99"/>
  </r>
  <r>
    <x v="802"/>
    <x v="1"/>
    <x v="2"/>
    <x v="4"/>
    <x v="100"/>
    <x v="4"/>
    <x v="1"/>
    <n v="16"/>
    <x v="2"/>
    <x v="2"/>
    <n v="5"/>
    <m/>
    <m/>
    <m/>
    <n v="21.99"/>
  </r>
  <r>
    <x v="803"/>
    <x v="0"/>
    <x v="5"/>
    <x v="165"/>
    <x v="301"/>
    <x v="5"/>
    <x v="1"/>
    <n v="10"/>
    <x v="2"/>
    <x v="5"/>
    <n v="6"/>
    <m/>
    <m/>
    <m/>
    <n v="37.979999999999997"/>
  </r>
  <r>
    <x v="804"/>
    <x v="1"/>
    <x v="3"/>
    <x v="5"/>
    <x v="302"/>
    <x v="6"/>
    <x v="1"/>
    <n v="2"/>
    <x v="3"/>
    <x v="3"/>
    <n v="9"/>
    <m/>
    <m/>
    <m/>
    <n v="21.99"/>
  </r>
  <r>
    <x v="805"/>
    <x v="1"/>
    <x v="0"/>
    <x v="2"/>
    <x v="303"/>
    <x v="3"/>
    <x v="2"/>
    <n v="0"/>
    <x v="3"/>
    <x v="0"/>
    <n v="7"/>
    <m/>
    <m/>
    <m/>
    <n v="21.99"/>
  </r>
  <r>
    <x v="806"/>
    <x v="2"/>
    <x v="1"/>
    <x v="166"/>
    <x v="304"/>
    <x v="7"/>
    <x v="1"/>
    <n v="2"/>
    <x v="1"/>
    <x v="1"/>
    <n v="10.5"/>
    <m/>
    <m/>
    <m/>
    <n v="84.73"/>
  </r>
  <r>
    <x v="807"/>
    <x v="1"/>
    <x v="4"/>
    <x v="9"/>
    <x v="148"/>
    <x v="8"/>
    <x v="1"/>
    <n v="6"/>
    <x v="1"/>
    <x v="4"/>
    <n v="12.5"/>
    <m/>
    <m/>
    <m/>
    <n v="21.99"/>
  </r>
  <r>
    <x v="808"/>
    <x v="1"/>
    <x v="1"/>
    <x v="6"/>
    <x v="305"/>
    <x v="9"/>
    <x v="2"/>
    <n v="0"/>
    <x v="3"/>
    <x v="1"/>
    <n v="10.5"/>
    <m/>
    <m/>
    <m/>
    <n v="21.99"/>
  </r>
  <r>
    <x v="809"/>
    <x v="1"/>
    <x v="4"/>
    <x v="9"/>
    <x v="112"/>
    <x v="10"/>
    <x v="1"/>
    <n v="8"/>
    <x v="0"/>
    <x v="4"/>
    <n v="12.5"/>
    <m/>
    <m/>
    <m/>
    <n v="21.99"/>
  </r>
  <r>
    <x v="810"/>
    <x v="1"/>
    <x v="1"/>
    <x v="6"/>
    <x v="133"/>
    <x v="11"/>
    <x v="1"/>
    <n v="2"/>
    <x v="1"/>
    <x v="1"/>
    <n v="10.5"/>
    <m/>
    <m/>
    <m/>
    <n v="21.99"/>
  </r>
  <r>
    <x v="811"/>
    <x v="0"/>
    <x v="5"/>
    <x v="167"/>
    <x v="306"/>
    <x v="1"/>
    <x v="1"/>
    <n v="10"/>
    <x v="1"/>
    <x v="5"/>
    <n v="6"/>
    <m/>
    <m/>
    <m/>
    <n v="37.979999999999997"/>
  </r>
  <r>
    <x v="812"/>
    <x v="0"/>
    <x v="5"/>
    <x v="168"/>
    <x v="307"/>
    <x v="0"/>
    <x v="4"/>
    <n v="0"/>
    <x v="2"/>
    <x v="5"/>
    <n v="6"/>
    <m/>
    <m/>
    <m/>
    <n v="37.979999999999997"/>
  </r>
  <r>
    <x v="813"/>
    <x v="1"/>
    <x v="5"/>
    <x v="8"/>
    <x v="281"/>
    <x v="2"/>
    <x v="2"/>
    <n v="0"/>
    <x v="0"/>
    <x v="5"/>
    <n v="6"/>
    <m/>
    <m/>
    <m/>
    <n v="21.99"/>
  </r>
  <r>
    <x v="814"/>
    <x v="0"/>
    <x v="3"/>
    <x v="20"/>
    <x v="76"/>
    <x v="4"/>
    <x v="1"/>
    <n v="2"/>
    <x v="0"/>
    <x v="3"/>
    <n v="9"/>
    <m/>
    <m/>
    <m/>
    <n v="37.979999999999997"/>
  </r>
  <r>
    <x v="815"/>
    <x v="1"/>
    <x v="1"/>
    <x v="6"/>
    <x v="223"/>
    <x v="5"/>
    <x v="1"/>
    <n v="3"/>
    <x v="0"/>
    <x v="1"/>
    <n v="10.5"/>
    <m/>
    <m/>
    <m/>
    <n v="21.99"/>
  </r>
  <r>
    <x v="816"/>
    <x v="2"/>
    <x v="5"/>
    <x v="169"/>
    <x v="153"/>
    <x v="6"/>
    <x v="1"/>
    <n v="20"/>
    <x v="2"/>
    <x v="5"/>
    <n v="6"/>
    <m/>
    <m/>
    <m/>
    <n v="84.73"/>
  </r>
  <r>
    <x v="817"/>
    <x v="0"/>
    <x v="5"/>
    <x v="105"/>
    <x v="14"/>
    <x v="3"/>
    <x v="2"/>
    <n v="0"/>
    <x v="3"/>
    <x v="5"/>
    <n v="6"/>
    <m/>
    <m/>
    <m/>
    <n v="37.979999999999997"/>
  </r>
  <r>
    <x v="818"/>
    <x v="1"/>
    <x v="0"/>
    <x v="2"/>
    <x v="281"/>
    <x v="7"/>
    <x v="2"/>
    <n v="0"/>
    <x v="3"/>
    <x v="0"/>
    <n v="7"/>
    <m/>
    <m/>
    <m/>
    <n v="21.99"/>
  </r>
  <r>
    <x v="819"/>
    <x v="1"/>
    <x v="5"/>
    <x v="8"/>
    <x v="170"/>
    <x v="8"/>
    <x v="0"/>
    <n v="15"/>
    <x v="0"/>
    <x v="5"/>
    <n v="6"/>
    <m/>
    <m/>
    <m/>
    <n v="21.99"/>
  </r>
  <r>
    <x v="820"/>
    <x v="1"/>
    <x v="2"/>
    <x v="4"/>
    <x v="166"/>
    <x v="9"/>
    <x v="0"/>
    <n v="15"/>
    <x v="1"/>
    <x v="2"/>
    <n v="5"/>
    <m/>
    <m/>
    <m/>
    <n v="21.99"/>
  </r>
  <r>
    <x v="821"/>
    <x v="2"/>
    <x v="2"/>
    <x v="170"/>
    <x v="248"/>
    <x v="10"/>
    <x v="1"/>
    <n v="20"/>
    <x v="2"/>
    <x v="2"/>
    <n v="5"/>
    <m/>
    <m/>
    <m/>
    <n v="84.73"/>
  </r>
  <r>
    <x v="822"/>
    <x v="1"/>
    <x v="0"/>
    <x v="2"/>
    <x v="287"/>
    <x v="11"/>
    <x v="4"/>
    <n v="0"/>
    <x v="0"/>
    <x v="0"/>
    <n v="7"/>
    <m/>
    <m/>
    <m/>
    <n v="21.99"/>
  </r>
  <r>
    <x v="823"/>
    <x v="0"/>
    <x v="4"/>
    <x v="171"/>
    <x v="78"/>
    <x v="1"/>
    <x v="1"/>
    <n v="8"/>
    <x v="1"/>
    <x v="4"/>
    <n v="12.5"/>
    <m/>
    <m/>
    <m/>
    <n v="37.979999999999997"/>
  </r>
  <r>
    <x v="824"/>
    <x v="1"/>
    <x v="0"/>
    <x v="2"/>
    <x v="277"/>
    <x v="0"/>
    <x v="1"/>
    <n v="2"/>
    <x v="3"/>
    <x v="0"/>
    <n v="7"/>
    <m/>
    <m/>
    <m/>
    <n v="21.99"/>
  </r>
  <r>
    <x v="825"/>
    <x v="0"/>
    <x v="5"/>
    <x v="36"/>
    <x v="195"/>
    <x v="2"/>
    <x v="2"/>
    <n v="0"/>
    <x v="3"/>
    <x v="5"/>
    <n v="6"/>
    <m/>
    <m/>
    <m/>
    <n v="37.979999999999997"/>
  </r>
  <r>
    <x v="826"/>
    <x v="1"/>
    <x v="3"/>
    <x v="5"/>
    <x v="101"/>
    <x v="4"/>
    <x v="4"/>
    <n v="0"/>
    <x v="0"/>
    <x v="3"/>
    <n v="9"/>
    <m/>
    <m/>
    <m/>
    <n v="21.99"/>
  </r>
  <r>
    <x v="827"/>
    <x v="2"/>
    <x v="5"/>
    <x v="172"/>
    <x v="308"/>
    <x v="5"/>
    <x v="0"/>
    <n v="15"/>
    <x v="0"/>
    <x v="5"/>
    <n v="6"/>
    <m/>
    <m/>
    <m/>
    <n v="84.73"/>
  </r>
  <r>
    <x v="828"/>
    <x v="1"/>
    <x v="2"/>
    <x v="4"/>
    <x v="255"/>
    <x v="6"/>
    <x v="0"/>
    <n v="19"/>
    <x v="0"/>
    <x v="2"/>
    <n v="5"/>
    <m/>
    <m/>
    <m/>
    <n v="21.99"/>
  </r>
  <r>
    <x v="829"/>
    <x v="0"/>
    <x v="3"/>
    <x v="173"/>
    <x v="269"/>
    <x v="3"/>
    <x v="4"/>
    <n v="0"/>
    <x v="0"/>
    <x v="3"/>
    <n v="9"/>
    <m/>
    <m/>
    <m/>
    <n v="37.979999999999997"/>
  </r>
  <r>
    <x v="830"/>
    <x v="1"/>
    <x v="1"/>
    <x v="6"/>
    <x v="25"/>
    <x v="7"/>
    <x v="1"/>
    <n v="3"/>
    <x v="3"/>
    <x v="1"/>
    <n v="10.5"/>
    <m/>
    <m/>
    <m/>
    <n v="21.99"/>
  </r>
  <r>
    <x v="831"/>
    <x v="1"/>
    <x v="2"/>
    <x v="4"/>
    <x v="153"/>
    <x v="8"/>
    <x v="1"/>
    <n v="20"/>
    <x v="3"/>
    <x v="2"/>
    <n v="5"/>
    <m/>
    <m/>
    <m/>
    <n v="21.99"/>
  </r>
  <r>
    <x v="832"/>
    <x v="1"/>
    <x v="5"/>
    <x v="8"/>
    <x v="264"/>
    <x v="9"/>
    <x v="3"/>
    <n v="0"/>
    <x v="1"/>
    <x v="5"/>
    <n v="6"/>
    <m/>
    <m/>
    <m/>
    <n v="21.99"/>
  </r>
  <r>
    <x v="833"/>
    <x v="1"/>
    <x v="4"/>
    <x v="9"/>
    <x v="106"/>
    <x v="10"/>
    <x v="2"/>
    <n v="0"/>
    <x v="0"/>
    <x v="4"/>
    <n v="12.5"/>
    <m/>
    <m/>
    <m/>
    <n v="21.99"/>
  </r>
  <r>
    <x v="834"/>
    <x v="2"/>
    <x v="0"/>
    <x v="174"/>
    <x v="297"/>
    <x v="11"/>
    <x v="1"/>
    <n v="2"/>
    <x v="0"/>
    <x v="0"/>
    <n v="7"/>
    <m/>
    <m/>
    <m/>
    <n v="84.73"/>
  </r>
  <r>
    <x v="835"/>
    <x v="1"/>
    <x v="0"/>
    <x v="2"/>
    <x v="40"/>
    <x v="1"/>
    <x v="1"/>
    <n v="3"/>
    <x v="0"/>
    <x v="0"/>
    <n v="7"/>
    <m/>
    <m/>
    <m/>
    <n v="21.99"/>
  </r>
  <r>
    <x v="836"/>
    <x v="2"/>
    <x v="3"/>
    <x v="175"/>
    <x v="171"/>
    <x v="0"/>
    <x v="0"/>
    <n v="3"/>
    <x v="3"/>
    <x v="3"/>
    <n v="9"/>
    <m/>
    <m/>
    <m/>
    <n v="84.73"/>
  </r>
  <r>
    <x v="837"/>
    <x v="0"/>
    <x v="4"/>
    <x v="176"/>
    <x v="309"/>
    <x v="2"/>
    <x v="1"/>
    <n v="6"/>
    <x v="2"/>
    <x v="4"/>
    <n v="12.5"/>
    <m/>
    <m/>
    <m/>
    <n v="37.979999999999997"/>
  </r>
  <r>
    <x v="838"/>
    <x v="1"/>
    <x v="2"/>
    <x v="4"/>
    <x v="310"/>
    <x v="4"/>
    <x v="2"/>
    <n v="0"/>
    <x v="1"/>
    <x v="2"/>
    <n v="5"/>
    <m/>
    <m/>
    <m/>
    <n v="21.99"/>
  </r>
  <r>
    <x v="839"/>
    <x v="2"/>
    <x v="5"/>
    <x v="177"/>
    <x v="311"/>
    <x v="5"/>
    <x v="1"/>
    <n v="15"/>
    <x v="2"/>
    <x v="5"/>
    <n v="6"/>
    <m/>
    <m/>
    <m/>
    <n v="84.73"/>
  </r>
  <r>
    <x v="840"/>
    <x v="0"/>
    <x v="4"/>
    <x v="178"/>
    <x v="56"/>
    <x v="6"/>
    <x v="1"/>
    <n v="12"/>
    <x v="3"/>
    <x v="4"/>
    <n v="12.5"/>
    <m/>
    <m/>
    <m/>
    <n v="37.979999999999997"/>
  </r>
  <r>
    <x v="841"/>
    <x v="1"/>
    <x v="4"/>
    <x v="9"/>
    <x v="285"/>
    <x v="3"/>
    <x v="1"/>
    <n v="6"/>
    <x v="3"/>
    <x v="4"/>
    <n v="12.5"/>
    <m/>
    <m/>
    <m/>
    <n v="21.99"/>
  </r>
  <r>
    <x v="842"/>
    <x v="1"/>
    <x v="0"/>
    <x v="2"/>
    <x v="54"/>
    <x v="7"/>
    <x v="1"/>
    <n v="3"/>
    <x v="0"/>
    <x v="0"/>
    <n v="7"/>
    <m/>
    <m/>
    <m/>
    <n v="21.99"/>
  </r>
  <r>
    <x v="843"/>
    <x v="1"/>
    <x v="4"/>
    <x v="9"/>
    <x v="34"/>
    <x v="8"/>
    <x v="3"/>
    <n v="0"/>
    <x v="1"/>
    <x v="4"/>
    <n v="12.5"/>
    <m/>
    <m/>
    <m/>
    <n v="21.99"/>
  </r>
  <r>
    <x v="844"/>
    <x v="2"/>
    <x v="0"/>
    <x v="179"/>
    <x v="265"/>
    <x v="9"/>
    <x v="1"/>
    <n v="8"/>
    <x v="1"/>
    <x v="0"/>
    <n v="7"/>
    <m/>
    <m/>
    <m/>
    <n v="84.73"/>
  </r>
  <r>
    <x v="845"/>
    <x v="1"/>
    <x v="0"/>
    <x v="2"/>
    <x v="122"/>
    <x v="10"/>
    <x v="1"/>
    <n v="3"/>
    <x v="3"/>
    <x v="0"/>
    <n v="7"/>
    <m/>
    <m/>
    <m/>
    <n v="21.99"/>
  </r>
  <r>
    <x v="846"/>
    <x v="1"/>
    <x v="4"/>
    <x v="9"/>
    <x v="96"/>
    <x v="11"/>
    <x v="1"/>
    <n v="12"/>
    <x v="3"/>
    <x v="4"/>
    <n v="12.5"/>
    <m/>
    <m/>
    <m/>
    <n v="21.99"/>
  </r>
  <r>
    <x v="847"/>
    <x v="1"/>
    <x v="5"/>
    <x v="8"/>
    <x v="212"/>
    <x v="1"/>
    <x v="1"/>
    <n v="19"/>
    <x v="0"/>
    <x v="5"/>
    <n v="6"/>
    <m/>
    <m/>
    <m/>
    <n v="21.99"/>
  </r>
  <r>
    <x v="848"/>
    <x v="1"/>
    <x v="1"/>
    <x v="6"/>
    <x v="138"/>
    <x v="0"/>
    <x v="2"/>
    <n v="0"/>
    <x v="0"/>
    <x v="1"/>
    <n v="10.5"/>
    <m/>
    <m/>
    <m/>
    <n v="21.99"/>
  </r>
  <r>
    <x v="849"/>
    <x v="2"/>
    <x v="3"/>
    <x v="180"/>
    <x v="312"/>
    <x v="2"/>
    <x v="1"/>
    <n v="2"/>
    <x v="1"/>
    <x v="3"/>
    <n v="9"/>
    <m/>
    <m/>
    <m/>
    <n v="84.73"/>
  </r>
  <r>
    <x v="850"/>
    <x v="1"/>
    <x v="5"/>
    <x v="8"/>
    <x v="312"/>
    <x v="4"/>
    <x v="1"/>
    <n v="12"/>
    <x v="1"/>
    <x v="5"/>
    <n v="6"/>
    <m/>
    <m/>
    <m/>
    <n v="21.99"/>
  </r>
  <r>
    <x v="851"/>
    <x v="1"/>
    <x v="4"/>
    <x v="9"/>
    <x v="63"/>
    <x v="5"/>
    <x v="2"/>
    <n v="0"/>
    <x v="1"/>
    <x v="4"/>
    <n v="12.5"/>
    <m/>
    <m/>
    <m/>
    <n v="21.99"/>
  </r>
  <r>
    <x v="852"/>
    <x v="1"/>
    <x v="3"/>
    <x v="5"/>
    <x v="24"/>
    <x v="6"/>
    <x v="3"/>
    <n v="0"/>
    <x v="2"/>
    <x v="3"/>
    <n v="9"/>
    <m/>
    <m/>
    <m/>
    <n v="21.99"/>
  </r>
  <r>
    <x v="853"/>
    <x v="2"/>
    <x v="1"/>
    <x v="181"/>
    <x v="313"/>
    <x v="3"/>
    <x v="3"/>
    <n v="0"/>
    <x v="1"/>
    <x v="1"/>
    <n v="10.5"/>
    <m/>
    <m/>
    <m/>
    <n v="84.73"/>
  </r>
  <r>
    <x v="854"/>
    <x v="2"/>
    <x v="2"/>
    <x v="182"/>
    <x v="285"/>
    <x v="7"/>
    <x v="1"/>
    <n v="19"/>
    <x v="3"/>
    <x v="2"/>
    <n v="5"/>
    <m/>
    <m/>
    <m/>
    <n v="84.73"/>
  </r>
  <r>
    <x v="855"/>
    <x v="2"/>
    <x v="4"/>
    <x v="183"/>
    <x v="42"/>
    <x v="8"/>
    <x v="1"/>
    <n v="5"/>
    <x v="3"/>
    <x v="4"/>
    <n v="12.5"/>
    <m/>
    <m/>
    <m/>
    <n v="84.73"/>
  </r>
  <r>
    <x v="856"/>
    <x v="1"/>
    <x v="5"/>
    <x v="8"/>
    <x v="314"/>
    <x v="9"/>
    <x v="1"/>
    <n v="11"/>
    <x v="3"/>
    <x v="5"/>
    <n v="6"/>
    <m/>
    <m/>
    <m/>
    <n v="21.99"/>
  </r>
  <r>
    <x v="857"/>
    <x v="1"/>
    <x v="5"/>
    <x v="8"/>
    <x v="297"/>
    <x v="10"/>
    <x v="1"/>
    <n v="14"/>
    <x v="1"/>
    <x v="5"/>
    <n v="6"/>
    <m/>
    <m/>
    <m/>
    <n v="21.99"/>
  </r>
  <r>
    <x v="858"/>
    <x v="1"/>
    <x v="5"/>
    <x v="8"/>
    <x v="315"/>
    <x v="11"/>
    <x v="0"/>
    <n v="11"/>
    <x v="0"/>
    <x v="5"/>
    <n v="6"/>
    <m/>
    <m/>
    <m/>
    <n v="21.99"/>
  </r>
  <r>
    <x v="859"/>
    <x v="1"/>
    <x v="4"/>
    <x v="9"/>
    <x v="42"/>
    <x v="1"/>
    <x v="2"/>
    <n v="0"/>
    <x v="1"/>
    <x v="4"/>
    <n v="12.5"/>
    <m/>
    <m/>
    <m/>
    <n v="21.99"/>
  </r>
  <r>
    <x v="860"/>
    <x v="0"/>
    <x v="1"/>
    <x v="184"/>
    <x v="202"/>
    <x v="0"/>
    <x v="1"/>
    <n v="2"/>
    <x v="1"/>
    <x v="1"/>
    <n v="10.5"/>
    <m/>
    <m/>
    <m/>
    <n v="37.979999999999997"/>
  </r>
  <r>
    <x v="861"/>
    <x v="1"/>
    <x v="1"/>
    <x v="6"/>
    <x v="193"/>
    <x v="2"/>
    <x v="0"/>
    <n v="3"/>
    <x v="0"/>
    <x v="1"/>
    <n v="10.5"/>
    <m/>
    <m/>
    <m/>
    <n v="21.99"/>
  </r>
  <r>
    <x v="862"/>
    <x v="1"/>
    <x v="4"/>
    <x v="9"/>
    <x v="247"/>
    <x v="4"/>
    <x v="1"/>
    <n v="8"/>
    <x v="2"/>
    <x v="4"/>
    <n v="12.5"/>
    <m/>
    <m/>
    <m/>
    <n v="21.99"/>
  </r>
  <r>
    <x v="863"/>
    <x v="1"/>
    <x v="4"/>
    <x v="9"/>
    <x v="316"/>
    <x v="5"/>
    <x v="1"/>
    <n v="8"/>
    <x v="3"/>
    <x v="4"/>
    <n v="12.5"/>
    <m/>
    <m/>
    <m/>
    <n v="21.99"/>
  </r>
  <r>
    <x v="864"/>
    <x v="1"/>
    <x v="2"/>
    <x v="4"/>
    <x v="124"/>
    <x v="6"/>
    <x v="4"/>
    <n v="0"/>
    <x v="1"/>
    <x v="2"/>
    <n v="5"/>
    <m/>
    <m/>
    <m/>
    <n v="21.99"/>
  </r>
  <r>
    <x v="865"/>
    <x v="1"/>
    <x v="5"/>
    <x v="8"/>
    <x v="265"/>
    <x v="3"/>
    <x v="3"/>
    <n v="0"/>
    <x v="1"/>
    <x v="5"/>
    <n v="6"/>
    <m/>
    <m/>
    <m/>
    <n v="21.99"/>
  </r>
  <r>
    <x v="866"/>
    <x v="1"/>
    <x v="5"/>
    <x v="8"/>
    <x v="233"/>
    <x v="7"/>
    <x v="1"/>
    <n v="15"/>
    <x v="1"/>
    <x v="5"/>
    <n v="6"/>
    <m/>
    <m/>
    <m/>
    <n v="21.99"/>
  </r>
  <r>
    <x v="867"/>
    <x v="2"/>
    <x v="0"/>
    <x v="161"/>
    <x v="172"/>
    <x v="8"/>
    <x v="1"/>
    <n v="6"/>
    <x v="2"/>
    <x v="0"/>
    <n v="7"/>
    <m/>
    <m/>
    <m/>
    <n v="84.73"/>
  </r>
  <r>
    <x v="868"/>
    <x v="2"/>
    <x v="5"/>
    <x v="125"/>
    <x v="27"/>
    <x v="9"/>
    <x v="1"/>
    <n v="20"/>
    <x v="0"/>
    <x v="5"/>
    <n v="6"/>
    <m/>
    <m/>
    <m/>
    <n v="84.73"/>
  </r>
  <r>
    <x v="869"/>
    <x v="1"/>
    <x v="5"/>
    <x v="8"/>
    <x v="53"/>
    <x v="10"/>
    <x v="1"/>
    <n v="15"/>
    <x v="1"/>
    <x v="5"/>
    <n v="6"/>
    <m/>
    <m/>
    <m/>
    <n v="21.99"/>
  </r>
  <r>
    <x v="870"/>
    <x v="1"/>
    <x v="2"/>
    <x v="4"/>
    <x v="317"/>
    <x v="11"/>
    <x v="0"/>
    <n v="16"/>
    <x v="2"/>
    <x v="2"/>
    <n v="5"/>
    <m/>
    <m/>
    <m/>
    <n v="21.99"/>
  </r>
  <r>
    <x v="871"/>
    <x v="1"/>
    <x v="5"/>
    <x v="8"/>
    <x v="36"/>
    <x v="1"/>
    <x v="3"/>
    <n v="0"/>
    <x v="2"/>
    <x v="5"/>
    <n v="6"/>
    <m/>
    <m/>
    <m/>
    <n v="21.99"/>
  </r>
  <r>
    <x v="872"/>
    <x v="1"/>
    <x v="4"/>
    <x v="9"/>
    <x v="318"/>
    <x v="0"/>
    <x v="1"/>
    <n v="8"/>
    <x v="1"/>
    <x v="4"/>
    <n v="12.5"/>
    <m/>
    <m/>
    <m/>
    <n v="21.99"/>
  </r>
  <r>
    <x v="873"/>
    <x v="1"/>
    <x v="1"/>
    <x v="6"/>
    <x v="37"/>
    <x v="2"/>
    <x v="2"/>
    <n v="0"/>
    <x v="0"/>
    <x v="1"/>
    <n v="10.5"/>
    <m/>
    <m/>
    <m/>
    <n v="21.99"/>
  </r>
  <r>
    <x v="874"/>
    <x v="1"/>
    <x v="2"/>
    <x v="4"/>
    <x v="129"/>
    <x v="4"/>
    <x v="1"/>
    <n v="17"/>
    <x v="0"/>
    <x v="2"/>
    <n v="5"/>
    <m/>
    <m/>
    <m/>
    <n v="21.99"/>
  </r>
  <r>
    <x v="875"/>
    <x v="0"/>
    <x v="2"/>
    <x v="185"/>
    <x v="135"/>
    <x v="5"/>
    <x v="1"/>
    <n v="17"/>
    <x v="1"/>
    <x v="2"/>
    <n v="5"/>
    <m/>
    <m/>
    <m/>
    <n v="37.979999999999997"/>
  </r>
  <r>
    <x v="876"/>
    <x v="1"/>
    <x v="1"/>
    <x v="6"/>
    <x v="36"/>
    <x v="6"/>
    <x v="2"/>
    <n v="0"/>
    <x v="3"/>
    <x v="1"/>
    <n v="10.5"/>
    <m/>
    <m/>
    <m/>
    <n v="21.99"/>
  </r>
  <r>
    <x v="877"/>
    <x v="1"/>
    <x v="1"/>
    <x v="6"/>
    <x v="107"/>
    <x v="3"/>
    <x v="1"/>
    <n v="2"/>
    <x v="3"/>
    <x v="1"/>
    <n v="10.5"/>
    <m/>
    <m/>
    <m/>
    <n v="21.99"/>
  </r>
  <r>
    <x v="878"/>
    <x v="1"/>
    <x v="0"/>
    <x v="2"/>
    <x v="258"/>
    <x v="7"/>
    <x v="1"/>
    <n v="3"/>
    <x v="0"/>
    <x v="0"/>
    <n v="7"/>
    <m/>
    <m/>
    <m/>
    <n v="21.99"/>
  </r>
  <r>
    <x v="879"/>
    <x v="1"/>
    <x v="1"/>
    <x v="6"/>
    <x v="204"/>
    <x v="8"/>
    <x v="1"/>
    <n v="2"/>
    <x v="1"/>
    <x v="1"/>
    <n v="10.5"/>
    <m/>
    <m/>
    <m/>
    <n v="21.99"/>
  </r>
  <r>
    <x v="880"/>
    <x v="1"/>
    <x v="0"/>
    <x v="2"/>
    <x v="90"/>
    <x v="9"/>
    <x v="1"/>
    <n v="3"/>
    <x v="2"/>
    <x v="0"/>
    <n v="7"/>
    <m/>
    <m/>
    <m/>
    <n v="21.99"/>
  </r>
  <r>
    <x v="881"/>
    <x v="1"/>
    <x v="4"/>
    <x v="9"/>
    <x v="105"/>
    <x v="10"/>
    <x v="0"/>
    <n v="5"/>
    <x v="1"/>
    <x v="4"/>
    <n v="12.5"/>
    <m/>
    <m/>
    <m/>
    <n v="21.99"/>
  </r>
  <r>
    <x v="882"/>
    <x v="1"/>
    <x v="0"/>
    <x v="2"/>
    <x v="129"/>
    <x v="11"/>
    <x v="2"/>
    <n v="0"/>
    <x v="0"/>
    <x v="0"/>
    <n v="7"/>
    <m/>
    <m/>
    <m/>
    <n v="21.99"/>
  </r>
  <r>
    <x v="883"/>
    <x v="1"/>
    <x v="4"/>
    <x v="9"/>
    <x v="124"/>
    <x v="1"/>
    <x v="1"/>
    <n v="8"/>
    <x v="0"/>
    <x v="4"/>
    <n v="12.5"/>
    <m/>
    <m/>
    <m/>
    <n v="21.99"/>
  </r>
  <r>
    <x v="884"/>
    <x v="0"/>
    <x v="4"/>
    <x v="186"/>
    <x v="319"/>
    <x v="0"/>
    <x v="1"/>
    <n v="8"/>
    <x v="2"/>
    <x v="4"/>
    <n v="12.5"/>
    <m/>
    <m/>
    <m/>
    <n v="37.979999999999997"/>
  </r>
  <r>
    <x v="885"/>
    <x v="1"/>
    <x v="0"/>
    <x v="2"/>
    <x v="28"/>
    <x v="2"/>
    <x v="1"/>
    <n v="3"/>
    <x v="3"/>
    <x v="0"/>
    <n v="7"/>
    <m/>
    <m/>
    <m/>
    <n v="21.99"/>
  </r>
  <r>
    <x v="886"/>
    <x v="0"/>
    <x v="2"/>
    <x v="187"/>
    <x v="297"/>
    <x v="4"/>
    <x v="1"/>
    <n v="19"/>
    <x v="3"/>
    <x v="2"/>
    <n v="5"/>
    <m/>
    <m/>
    <m/>
    <n v="37.979999999999997"/>
  </r>
  <r>
    <x v="887"/>
    <x v="1"/>
    <x v="3"/>
    <x v="5"/>
    <x v="118"/>
    <x v="5"/>
    <x v="1"/>
    <n v="2"/>
    <x v="2"/>
    <x v="3"/>
    <n v="9"/>
    <m/>
    <m/>
    <m/>
    <n v="21.99"/>
  </r>
  <r>
    <x v="888"/>
    <x v="1"/>
    <x v="1"/>
    <x v="6"/>
    <x v="37"/>
    <x v="6"/>
    <x v="1"/>
    <n v="2"/>
    <x v="1"/>
    <x v="1"/>
    <n v="10.5"/>
    <m/>
    <m/>
    <m/>
    <n v="21.99"/>
  </r>
  <r>
    <x v="889"/>
    <x v="2"/>
    <x v="3"/>
    <x v="188"/>
    <x v="4"/>
    <x v="3"/>
    <x v="1"/>
    <n v="3"/>
    <x v="1"/>
    <x v="3"/>
    <n v="9"/>
    <m/>
    <m/>
    <m/>
    <n v="84.73"/>
  </r>
  <r>
    <x v="890"/>
    <x v="2"/>
    <x v="1"/>
    <x v="189"/>
    <x v="192"/>
    <x v="7"/>
    <x v="4"/>
    <n v="0"/>
    <x v="1"/>
    <x v="1"/>
    <n v="10.5"/>
    <m/>
    <m/>
    <m/>
    <n v="84.73"/>
  </r>
  <r>
    <x v="891"/>
    <x v="1"/>
    <x v="2"/>
    <x v="4"/>
    <x v="320"/>
    <x v="8"/>
    <x v="1"/>
    <n v="16"/>
    <x v="1"/>
    <x v="2"/>
    <n v="5"/>
    <m/>
    <m/>
    <m/>
    <n v="21.99"/>
  </r>
  <r>
    <x v="892"/>
    <x v="2"/>
    <x v="3"/>
    <x v="190"/>
    <x v="26"/>
    <x v="9"/>
    <x v="1"/>
    <n v="2"/>
    <x v="3"/>
    <x v="3"/>
    <n v="9"/>
    <m/>
    <m/>
    <m/>
    <n v="84.73"/>
  </r>
  <r>
    <x v="893"/>
    <x v="2"/>
    <x v="5"/>
    <x v="191"/>
    <x v="58"/>
    <x v="10"/>
    <x v="1"/>
    <n v="19"/>
    <x v="3"/>
    <x v="5"/>
    <n v="6"/>
    <m/>
    <m/>
    <m/>
    <n v="84.73"/>
  </r>
  <r>
    <x v="894"/>
    <x v="1"/>
    <x v="1"/>
    <x v="6"/>
    <x v="187"/>
    <x v="11"/>
    <x v="1"/>
    <n v="3"/>
    <x v="1"/>
    <x v="1"/>
    <n v="10.5"/>
    <m/>
    <m/>
    <m/>
    <n v="21.99"/>
  </r>
  <r>
    <x v="895"/>
    <x v="1"/>
    <x v="4"/>
    <x v="9"/>
    <x v="135"/>
    <x v="1"/>
    <x v="2"/>
    <n v="0"/>
    <x v="3"/>
    <x v="4"/>
    <n v="12.5"/>
    <m/>
    <m/>
    <m/>
    <n v="21.99"/>
  </r>
  <r>
    <x v="896"/>
    <x v="2"/>
    <x v="4"/>
    <x v="192"/>
    <x v="137"/>
    <x v="0"/>
    <x v="1"/>
    <n v="8"/>
    <x v="0"/>
    <x v="4"/>
    <n v="12.5"/>
    <m/>
    <m/>
    <m/>
    <n v="84.73"/>
  </r>
  <r>
    <x v="897"/>
    <x v="0"/>
    <x v="3"/>
    <x v="193"/>
    <x v="24"/>
    <x v="2"/>
    <x v="1"/>
    <n v="2"/>
    <x v="3"/>
    <x v="3"/>
    <n v="9"/>
    <m/>
    <m/>
    <m/>
    <n v="37.979999999999997"/>
  </r>
  <r>
    <x v="898"/>
    <x v="1"/>
    <x v="1"/>
    <x v="6"/>
    <x v="168"/>
    <x v="4"/>
    <x v="1"/>
    <n v="6"/>
    <x v="3"/>
    <x v="1"/>
    <n v="10.5"/>
    <m/>
    <m/>
    <m/>
    <n v="21.99"/>
  </r>
  <r>
    <x v="899"/>
    <x v="1"/>
    <x v="3"/>
    <x v="5"/>
    <x v="45"/>
    <x v="5"/>
    <x v="1"/>
    <n v="6"/>
    <x v="2"/>
    <x v="3"/>
    <n v="9"/>
    <m/>
    <m/>
    <m/>
    <n v="21.99"/>
  </r>
  <r>
    <x v="900"/>
    <x v="2"/>
    <x v="3"/>
    <x v="194"/>
    <x v="321"/>
    <x v="6"/>
    <x v="2"/>
    <n v="0"/>
    <x v="1"/>
    <x v="3"/>
    <n v="9"/>
    <m/>
    <m/>
    <m/>
    <n v="84.73"/>
  </r>
  <r>
    <x v="901"/>
    <x v="1"/>
    <x v="3"/>
    <x v="5"/>
    <x v="322"/>
    <x v="3"/>
    <x v="3"/>
    <n v="0"/>
    <x v="1"/>
    <x v="3"/>
    <n v="9"/>
    <m/>
    <m/>
    <m/>
    <n v="21.99"/>
  </r>
  <r>
    <x v="902"/>
    <x v="1"/>
    <x v="0"/>
    <x v="2"/>
    <x v="307"/>
    <x v="7"/>
    <x v="1"/>
    <n v="3"/>
    <x v="1"/>
    <x v="0"/>
    <n v="7"/>
    <m/>
    <m/>
    <m/>
    <n v="21.99"/>
  </r>
  <r>
    <x v="903"/>
    <x v="1"/>
    <x v="4"/>
    <x v="9"/>
    <x v="323"/>
    <x v="8"/>
    <x v="1"/>
    <n v="6"/>
    <x v="1"/>
    <x v="4"/>
    <n v="12.5"/>
    <m/>
    <m/>
    <m/>
    <n v="21.99"/>
  </r>
  <r>
    <x v="904"/>
    <x v="0"/>
    <x v="5"/>
    <x v="195"/>
    <x v="324"/>
    <x v="9"/>
    <x v="0"/>
    <n v="15"/>
    <x v="3"/>
    <x v="5"/>
    <n v="6"/>
    <m/>
    <m/>
    <m/>
    <n v="37.979999999999997"/>
  </r>
  <r>
    <x v="905"/>
    <x v="2"/>
    <x v="4"/>
    <x v="196"/>
    <x v="69"/>
    <x v="10"/>
    <x v="1"/>
    <n v="5"/>
    <x v="3"/>
    <x v="4"/>
    <n v="12.5"/>
    <m/>
    <m/>
    <m/>
    <n v="84.73"/>
  </r>
  <r>
    <x v="906"/>
    <x v="0"/>
    <x v="1"/>
    <x v="197"/>
    <x v="258"/>
    <x v="11"/>
    <x v="1"/>
    <n v="2"/>
    <x v="2"/>
    <x v="1"/>
    <n v="10.5"/>
    <m/>
    <m/>
    <m/>
    <n v="37.979999999999997"/>
  </r>
  <r>
    <x v="907"/>
    <x v="1"/>
    <x v="3"/>
    <x v="5"/>
    <x v="3"/>
    <x v="1"/>
    <x v="2"/>
    <n v="0"/>
    <x v="2"/>
    <x v="3"/>
    <n v="9"/>
    <m/>
    <m/>
    <m/>
    <n v="21.99"/>
  </r>
  <r>
    <x v="908"/>
    <x v="1"/>
    <x v="3"/>
    <x v="5"/>
    <x v="148"/>
    <x v="0"/>
    <x v="2"/>
    <n v="0"/>
    <x v="1"/>
    <x v="3"/>
    <n v="9"/>
    <m/>
    <m/>
    <m/>
    <n v="21.99"/>
  </r>
  <r>
    <x v="909"/>
    <x v="2"/>
    <x v="3"/>
    <x v="198"/>
    <x v="325"/>
    <x v="2"/>
    <x v="1"/>
    <n v="2"/>
    <x v="3"/>
    <x v="3"/>
    <n v="9"/>
    <m/>
    <m/>
    <m/>
    <n v="84.73"/>
  </r>
  <r>
    <x v="910"/>
    <x v="1"/>
    <x v="3"/>
    <x v="5"/>
    <x v="148"/>
    <x v="4"/>
    <x v="1"/>
    <n v="2"/>
    <x v="2"/>
    <x v="3"/>
    <n v="9"/>
    <m/>
    <m/>
    <m/>
    <n v="21.99"/>
  </r>
  <r>
    <x v="911"/>
    <x v="1"/>
    <x v="0"/>
    <x v="2"/>
    <x v="19"/>
    <x v="5"/>
    <x v="1"/>
    <n v="2"/>
    <x v="0"/>
    <x v="0"/>
    <n v="7"/>
    <m/>
    <m/>
    <m/>
    <n v="21.99"/>
  </r>
  <r>
    <x v="912"/>
    <x v="1"/>
    <x v="1"/>
    <x v="6"/>
    <x v="303"/>
    <x v="6"/>
    <x v="1"/>
    <n v="3"/>
    <x v="3"/>
    <x v="1"/>
    <n v="10.5"/>
    <m/>
    <m/>
    <m/>
    <n v="21.99"/>
  </r>
  <r>
    <x v="913"/>
    <x v="1"/>
    <x v="2"/>
    <x v="4"/>
    <x v="8"/>
    <x v="3"/>
    <x v="1"/>
    <n v="20"/>
    <x v="0"/>
    <x v="2"/>
    <n v="5"/>
    <m/>
    <m/>
    <m/>
    <n v="21.99"/>
  </r>
  <r>
    <x v="914"/>
    <x v="1"/>
    <x v="1"/>
    <x v="6"/>
    <x v="326"/>
    <x v="7"/>
    <x v="1"/>
    <n v="3"/>
    <x v="0"/>
    <x v="1"/>
    <n v="10.5"/>
    <m/>
    <m/>
    <m/>
    <n v="21.99"/>
  </r>
  <r>
    <x v="915"/>
    <x v="1"/>
    <x v="5"/>
    <x v="8"/>
    <x v="327"/>
    <x v="8"/>
    <x v="1"/>
    <n v="14"/>
    <x v="3"/>
    <x v="5"/>
    <n v="6"/>
    <m/>
    <m/>
    <m/>
    <n v="21.99"/>
  </r>
  <r>
    <x v="916"/>
    <x v="1"/>
    <x v="4"/>
    <x v="9"/>
    <x v="28"/>
    <x v="9"/>
    <x v="1"/>
    <n v="8"/>
    <x v="2"/>
    <x v="4"/>
    <n v="12.5"/>
    <m/>
    <m/>
    <m/>
    <n v="21.99"/>
  </r>
  <r>
    <x v="917"/>
    <x v="1"/>
    <x v="4"/>
    <x v="9"/>
    <x v="178"/>
    <x v="10"/>
    <x v="4"/>
    <n v="0"/>
    <x v="1"/>
    <x v="4"/>
    <n v="12.5"/>
    <m/>
    <m/>
    <m/>
    <n v="21.99"/>
  </r>
  <r>
    <x v="918"/>
    <x v="0"/>
    <x v="2"/>
    <x v="68"/>
    <x v="328"/>
    <x v="11"/>
    <x v="1"/>
    <n v="16"/>
    <x v="3"/>
    <x v="2"/>
    <n v="5"/>
    <m/>
    <m/>
    <m/>
    <n v="37.979999999999997"/>
  </r>
  <r>
    <x v="919"/>
    <x v="2"/>
    <x v="2"/>
    <x v="199"/>
    <x v="99"/>
    <x v="1"/>
    <x v="1"/>
    <n v="17"/>
    <x v="1"/>
    <x v="2"/>
    <n v="5"/>
    <m/>
    <m/>
    <m/>
    <n v="84.73"/>
  </r>
  <r>
    <x v="920"/>
    <x v="2"/>
    <x v="3"/>
    <x v="200"/>
    <x v="127"/>
    <x v="0"/>
    <x v="1"/>
    <n v="3"/>
    <x v="0"/>
    <x v="3"/>
    <n v="9"/>
    <m/>
    <m/>
    <m/>
    <n v="84.73"/>
  </r>
  <r>
    <x v="921"/>
    <x v="1"/>
    <x v="3"/>
    <x v="5"/>
    <x v="76"/>
    <x v="2"/>
    <x v="1"/>
    <n v="3"/>
    <x v="1"/>
    <x v="3"/>
    <n v="9"/>
    <m/>
    <m/>
    <m/>
    <n v="21.99"/>
  </r>
  <r>
    <x v="922"/>
    <x v="1"/>
    <x v="0"/>
    <x v="2"/>
    <x v="149"/>
    <x v="4"/>
    <x v="1"/>
    <n v="3"/>
    <x v="1"/>
    <x v="0"/>
    <n v="7"/>
    <m/>
    <m/>
    <m/>
    <n v="21.99"/>
  </r>
  <r>
    <x v="923"/>
    <x v="2"/>
    <x v="2"/>
    <x v="201"/>
    <x v="134"/>
    <x v="5"/>
    <x v="0"/>
    <n v="18"/>
    <x v="2"/>
    <x v="2"/>
    <n v="5"/>
    <m/>
    <m/>
    <m/>
    <n v="84.73"/>
  </r>
  <r>
    <x v="924"/>
    <x v="1"/>
    <x v="1"/>
    <x v="6"/>
    <x v="259"/>
    <x v="6"/>
    <x v="1"/>
    <n v="2"/>
    <x v="2"/>
    <x v="1"/>
    <n v="10.5"/>
    <m/>
    <m/>
    <m/>
    <n v="21.99"/>
  </r>
  <r>
    <x v="925"/>
    <x v="2"/>
    <x v="5"/>
    <x v="125"/>
    <x v="71"/>
    <x v="3"/>
    <x v="1"/>
    <n v="14"/>
    <x v="3"/>
    <x v="5"/>
    <n v="6"/>
    <m/>
    <m/>
    <m/>
    <n v="84.73"/>
  </r>
  <r>
    <x v="926"/>
    <x v="1"/>
    <x v="2"/>
    <x v="4"/>
    <x v="302"/>
    <x v="7"/>
    <x v="1"/>
    <n v="20"/>
    <x v="0"/>
    <x v="2"/>
    <n v="5"/>
    <m/>
    <m/>
    <m/>
    <n v="21.99"/>
  </r>
  <r>
    <x v="927"/>
    <x v="1"/>
    <x v="3"/>
    <x v="5"/>
    <x v="202"/>
    <x v="8"/>
    <x v="1"/>
    <n v="3"/>
    <x v="0"/>
    <x v="3"/>
    <n v="9"/>
    <m/>
    <m/>
    <m/>
    <n v="21.99"/>
  </r>
  <r>
    <x v="928"/>
    <x v="1"/>
    <x v="4"/>
    <x v="9"/>
    <x v="329"/>
    <x v="9"/>
    <x v="2"/>
    <n v="0"/>
    <x v="2"/>
    <x v="4"/>
    <n v="12.5"/>
    <m/>
    <m/>
    <m/>
    <n v="21.99"/>
  </r>
  <r>
    <x v="929"/>
    <x v="1"/>
    <x v="0"/>
    <x v="2"/>
    <x v="330"/>
    <x v="10"/>
    <x v="1"/>
    <n v="2"/>
    <x v="0"/>
    <x v="0"/>
    <n v="7"/>
    <m/>
    <m/>
    <m/>
    <n v="21.99"/>
  </r>
  <r>
    <x v="930"/>
    <x v="2"/>
    <x v="2"/>
    <x v="202"/>
    <x v="181"/>
    <x v="11"/>
    <x v="1"/>
    <n v="19"/>
    <x v="0"/>
    <x v="2"/>
    <n v="5"/>
    <m/>
    <m/>
    <m/>
    <n v="84.73"/>
  </r>
  <r>
    <x v="931"/>
    <x v="1"/>
    <x v="2"/>
    <x v="4"/>
    <x v="40"/>
    <x v="1"/>
    <x v="1"/>
    <n v="18"/>
    <x v="1"/>
    <x v="2"/>
    <n v="5"/>
    <m/>
    <m/>
    <m/>
    <n v="21.99"/>
  </r>
  <r>
    <x v="932"/>
    <x v="1"/>
    <x v="5"/>
    <x v="8"/>
    <x v="11"/>
    <x v="0"/>
    <x v="1"/>
    <n v="14"/>
    <x v="1"/>
    <x v="5"/>
    <n v="6"/>
    <m/>
    <m/>
    <m/>
    <n v="21.99"/>
  </r>
  <r>
    <x v="933"/>
    <x v="1"/>
    <x v="2"/>
    <x v="4"/>
    <x v="324"/>
    <x v="2"/>
    <x v="1"/>
    <n v="19"/>
    <x v="0"/>
    <x v="2"/>
    <n v="5"/>
    <m/>
    <m/>
    <m/>
    <n v="21.99"/>
  </r>
  <r>
    <x v="934"/>
    <x v="1"/>
    <x v="2"/>
    <x v="4"/>
    <x v="44"/>
    <x v="4"/>
    <x v="1"/>
    <n v="15"/>
    <x v="0"/>
    <x v="2"/>
    <n v="5"/>
    <m/>
    <m/>
    <m/>
    <n v="21.99"/>
  </r>
  <r>
    <x v="935"/>
    <x v="1"/>
    <x v="5"/>
    <x v="8"/>
    <x v="331"/>
    <x v="5"/>
    <x v="1"/>
    <n v="13"/>
    <x v="3"/>
    <x v="5"/>
    <n v="6"/>
    <m/>
    <m/>
    <m/>
    <n v="21.99"/>
  </r>
  <r>
    <x v="936"/>
    <x v="0"/>
    <x v="3"/>
    <x v="203"/>
    <x v="304"/>
    <x v="6"/>
    <x v="1"/>
    <n v="5"/>
    <x v="1"/>
    <x v="3"/>
    <n v="9"/>
    <m/>
    <m/>
    <m/>
    <n v="37.979999999999997"/>
  </r>
  <r>
    <x v="937"/>
    <x v="1"/>
    <x v="5"/>
    <x v="8"/>
    <x v="32"/>
    <x v="3"/>
    <x v="4"/>
    <n v="0"/>
    <x v="3"/>
    <x v="5"/>
    <n v="6"/>
    <m/>
    <m/>
    <m/>
    <n v="21.99"/>
  </r>
  <r>
    <x v="938"/>
    <x v="1"/>
    <x v="2"/>
    <x v="4"/>
    <x v="332"/>
    <x v="7"/>
    <x v="2"/>
    <n v="0"/>
    <x v="1"/>
    <x v="2"/>
    <n v="5"/>
    <m/>
    <m/>
    <m/>
    <n v="21.99"/>
  </r>
  <r>
    <x v="939"/>
    <x v="1"/>
    <x v="2"/>
    <x v="4"/>
    <x v="91"/>
    <x v="8"/>
    <x v="0"/>
    <n v="23"/>
    <x v="2"/>
    <x v="2"/>
    <n v="5"/>
    <m/>
    <m/>
    <m/>
    <n v="21.99"/>
  </r>
  <r>
    <x v="940"/>
    <x v="1"/>
    <x v="1"/>
    <x v="6"/>
    <x v="120"/>
    <x v="9"/>
    <x v="3"/>
    <n v="0"/>
    <x v="1"/>
    <x v="1"/>
    <n v="10.5"/>
    <m/>
    <m/>
    <m/>
    <n v="21.99"/>
  </r>
  <r>
    <x v="941"/>
    <x v="1"/>
    <x v="5"/>
    <x v="8"/>
    <x v="21"/>
    <x v="10"/>
    <x v="2"/>
    <n v="0"/>
    <x v="2"/>
    <x v="5"/>
    <n v="6"/>
    <m/>
    <m/>
    <m/>
    <n v="21.99"/>
  </r>
  <r>
    <x v="942"/>
    <x v="1"/>
    <x v="4"/>
    <x v="9"/>
    <x v="333"/>
    <x v="11"/>
    <x v="0"/>
    <n v="7"/>
    <x v="2"/>
    <x v="4"/>
    <n v="12.5"/>
    <m/>
    <m/>
    <m/>
    <n v="21.99"/>
  </r>
  <r>
    <x v="943"/>
    <x v="1"/>
    <x v="0"/>
    <x v="2"/>
    <x v="171"/>
    <x v="1"/>
    <x v="0"/>
    <n v="8"/>
    <x v="1"/>
    <x v="0"/>
    <n v="7"/>
    <m/>
    <m/>
    <m/>
    <n v="21.99"/>
  </r>
  <r>
    <x v="944"/>
    <x v="1"/>
    <x v="5"/>
    <x v="8"/>
    <x v="13"/>
    <x v="0"/>
    <x v="0"/>
    <n v="11"/>
    <x v="1"/>
    <x v="5"/>
    <n v="6"/>
    <m/>
    <m/>
    <m/>
    <n v="21.99"/>
  </r>
  <r>
    <x v="945"/>
    <x v="1"/>
    <x v="5"/>
    <x v="8"/>
    <x v="223"/>
    <x v="2"/>
    <x v="1"/>
    <n v="16"/>
    <x v="3"/>
    <x v="5"/>
    <n v="6"/>
    <m/>
    <m/>
    <m/>
    <n v="21.99"/>
  </r>
  <r>
    <x v="946"/>
    <x v="1"/>
    <x v="3"/>
    <x v="5"/>
    <x v="227"/>
    <x v="4"/>
    <x v="1"/>
    <n v="5"/>
    <x v="0"/>
    <x v="3"/>
    <n v="9"/>
    <m/>
    <m/>
    <m/>
    <n v="21.99"/>
  </r>
  <r>
    <x v="947"/>
    <x v="1"/>
    <x v="1"/>
    <x v="6"/>
    <x v="222"/>
    <x v="5"/>
    <x v="1"/>
    <n v="4"/>
    <x v="2"/>
    <x v="1"/>
    <n v="10.5"/>
    <m/>
    <m/>
    <m/>
    <n v="21.99"/>
  </r>
  <r>
    <x v="948"/>
    <x v="1"/>
    <x v="5"/>
    <x v="8"/>
    <x v="231"/>
    <x v="6"/>
    <x v="1"/>
    <n v="10"/>
    <x v="0"/>
    <x v="5"/>
    <n v="6"/>
    <m/>
    <m/>
    <m/>
    <n v="21.99"/>
  </r>
  <r>
    <x v="949"/>
    <x v="0"/>
    <x v="5"/>
    <x v="144"/>
    <x v="334"/>
    <x v="3"/>
    <x v="2"/>
    <n v="0"/>
    <x v="1"/>
    <x v="5"/>
    <n v="6"/>
    <m/>
    <m/>
    <m/>
    <n v="37.979999999999997"/>
  </r>
  <r>
    <x v="950"/>
    <x v="1"/>
    <x v="5"/>
    <x v="8"/>
    <x v="41"/>
    <x v="7"/>
    <x v="4"/>
    <n v="0"/>
    <x v="1"/>
    <x v="5"/>
    <n v="6"/>
    <m/>
    <m/>
    <m/>
    <n v="21.99"/>
  </r>
  <r>
    <x v="951"/>
    <x v="0"/>
    <x v="3"/>
    <x v="204"/>
    <x v="26"/>
    <x v="8"/>
    <x v="1"/>
    <n v="2"/>
    <x v="1"/>
    <x v="3"/>
    <n v="9"/>
    <m/>
    <m/>
    <m/>
    <n v="37.979999999999997"/>
  </r>
  <r>
    <x v="952"/>
    <x v="1"/>
    <x v="2"/>
    <x v="4"/>
    <x v="7"/>
    <x v="9"/>
    <x v="3"/>
    <n v="0"/>
    <x v="0"/>
    <x v="2"/>
    <n v="5"/>
    <m/>
    <m/>
    <m/>
    <n v="21.99"/>
  </r>
  <r>
    <x v="953"/>
    <x v="2"/>
    <x v="0"/>
    <x v="205"/>
    <x v="215"/>
    <x v="10"/>
    <x v="1"/>
    <n v="3"/>
    <x v="2"/>
    <x v="0"/>
    <n v="7"/>
    <m/>
    <m/>
    <m/>
    <n v="84.73"/>
  </r>
  <r>
    <x v="954"/>
    <x v="1"/>
    <x v="3"/>
    <x v="5"/>
    <x v="100"/>
    <x v="11"/>
    <x v="1"/>
    <n v="7"/>
    <x v="2"/>
    <x v="3"/>
    <n v="9"/>
    <m/>
    <m/>
    <m/>
    <n v="21.99"/>
  </r>
  <r>
    <x v="955"/>
    <x v="1"/>
    <x v="3"/>
    <x v="5"/>
    <x v="335"/>
    <x v="1"/>
    <x v="1"/>
    <n v="2"/>
    <x v="1"/>
    <x v="3"/>
    <n v="9"/>
    <m/>
    <m/>
    <m/>
    <n v="21.99"/>
  </r>
  <r>
    <x v="956"/>
    <x v="2"/>
    <x v="0"/>
    <x v="206"/>
    <x v="53"/>
    <x v="0"/>
    <x v="1"/>
    <n v="3"/>
    <x v="0"/>
    <x v="0"/>
    <n v="7"/>
    <m/>
    <m/>
    <m/>
    <n v="84.73"/>
  </r>
  <r>
    <x v="957"/>
    <x v="1"/>
    <x v="5"/>
    <x v="8"/>
    <x v="176"/>
    <x v="2"/>
    <x v="1"/>
    <n v="10"/>
    <x v="2"/>
    <x v="5"/>
    <n v="6"/>
    <m/>
    <m/>
    <m/>
    <n v="21.99"/>
  </r>
  <r>
    <x v="958"/>
    <x v="1"/>
    <x v="1"/>
    <x v="6"/>
    <x v="145"/>
    <x v="4"/>
    <x v="1"/>
    <n v="2"/>
    <x v="3"/>
    <x v="1"/>
    <n v="10.5"/>
    <m/>
    <m/>
    <m/>
    <n v="21.99"/>
  </r>
  <r>
    <x v="959"/>
    <x v="2"/>
    <x v="2"/>
    <x v="207"/>
    <x v="163"/>
    <x v="5"/>
    <x v="2"/>
    <n v="0"/>
    <x v="3"/>
    <x v="2"/>
    <n v="5"/>
    <m/>
    <m/>
    <m/>
    <n v="84.73"/>
  </r>
  <r>
    <x v="960"/>
    <x v="1"/>
    <x v="2"/>
    <x v="4"/>
    <x v="157"/>
    <x v="6"/>
    <x v="1"/>
    <n v="19"/>
    <x v="0"/>
    <x v="2"/>
    <n v="5"/>
    <m/>
    <m/>
    <m/>
    <n v="21.99"/>
  </r>
  <r>
    <x v="961"/>
    <x v="0"/>
    <x v="1"/>
    <x v="208"/>
    <x v="336"/>
    <x v="3"/>
    <x v="3"/>
    <n v="0"/>
    <x v="2"/>
    <x v="1"/>
    <n v="10.5"/>
    <m/>
    <m/>
    <m/>
    <n v="37.979999999999997"/>
  </r>
  <r>
    <x v="962"/>
    <x v="2"/>
    <x v="1"/>
    <x v="209"/>
    <x v="300"/>
    <x v="7"/>
    <x v="1"/>
    <n v="3"/>
    <x v="1"/>
    <x v="1"/>
    <n v="10.5"/>
    <m/>
    <m/>
    <m/>
    <n v="84.73"/>
  </r>
  <r>
    <x v="963"/>
    <x v="1"/>
    <x v="0"/>
    <x v="2"/>
    <x v="88"/>
    <x v="8"/>
    <x v="1"/>
    <n v="3"/>
    <x v="1"/>
    <x v="0"/>
    <n v="7"/>
    <m/>
    <m/>
    <m/>
    <n v="21.99"/>
  </r>
  <r>
    <x v="964"/>
    <x v="1"/>
    <x v="5"/>
    <x v="8"/>
    <x v="260"/>
    <x v="9"/>
    <x v="1"/>
    <n v="12"/>
    <x v="3"/>
    <x v="5"/>
    <n v="6"/>
    <m/>
    <m/>
    <m/>
    <n v="21.99"/>
  </r>
  <r>
    <x v="965"/>
    <x v="1"/>
    <x v="2"/>
    <x v="4"/>
    <x v="163"/>
    <x v="10"/>
    <x v="1"/>
    <n v="20"/>
    <x v="0"/>
    <x v="2"/>
    <n v="5"/>
    <m/>
    <m/>
    <m/>
    <n v="21.99"/>
  </r>
  <r>
    <x v="966"/>
    <x v="1"/>
    <x v="3"/>
    <x v="5"/>
    <x v="147"/>
    <x v="11"/>
    <x v="1"/>
    <n v="3"/>
    <x v="0"/>
    <x v="3"/>
    <n v="9"/>
    <m/>
    <m/>
    <m/>
    <n v="21.99"/>
  </r>
  <r>
    <x v="967"/>
    <x v="2"/>
    <x v="1"/>
    <x v="210"/>
    <x v="219"/>
    <x v="1"/>
    <x v="4"/>
    <n v="0"/>
    <x v="3"/>
    <x v="1"/>
    <n v="10.5"/>
    <m/>
    <m/>
    <m/>
    <n v="84.73"/>
  </r>
  <r>
    <x v="968"/>
    <x v="2"/>
    <x v="0"/>
    <x v="211"/>
    <x v="337"/>
    <x v="0"/>
    <x v="1"/>
    <n v="2"/>
    <x v="0"/>
    <x v="0"/>
    <n v="7"/>
    <m/>
    <m/>
    <m/>
    <n v="84.73"/>
  </r>
  <r>
    <x v="969"/>
    <x v="1"/>
    <x v="0"/>
    <x v="2"/>
    <x v="186"/>
    <x v="2"/>
    <x v="1"/>
    <n v="3"/>
    <x v="3"/>
    <x v="0"/>
    <n v="7"/>
    <m/>
    <m/>
    <m/>
    <n v="21.99"/>
  </r>
  <r>
    <x v="970"/>
    <x v="0"/>
    <x v="4"/>
    <x v="212"/>
    <x v="89"/>
    <x v="4"/>
    <x v="0"/>
    <n v="8"/>
    <x v="2"/>
    <x v="4"/>
    <n v="12.5"/>
    <m/>
    <m/>
    <m/>
    <n v="37.979999999999997"/>
  </r>
  <r>
    <x v="971"/>
    <x v="1"/>
    <x v="4"/>
    <x v="9"/>
    <x v="76"/>
    <x v="5"/>
    <x v="2"/>
    <n v="0"/>
    <x v="2"/>
    <x v="4"/>
    <n v="12.5"/>
    <m/>
    <m/>
    <m/>
    <n v="21.99"/>
  </r>
  <r>
    <x v="972"/>
    <x v="1"/>
    <x v="5"/>
    <x v="8"/>
    <x v="134"/>
    <x v="6"/>
    <x v="1"/>
    <n v="10"/>
    <x v="1"/>
    <x v="5"/>
    <n v="6"/>
    <m/>
    <m/>
    <m/>
    <n v="21.99"/>
  </r>
  <r>
    <x v="973"/>
    <x v="2"/>
    <x v="4"/>
    <x v="213"/>
    <x v="338"/>
    <x v="3"/>
    <x v="1"/>
    <n v="5"/>
    <x v="1"/>
    <x v="4"/>
    <n v="12.5"/>
    <m/>
    <m/>
    <m/>
    <n v="84.73"/>
  </r>
  <r>
    <x v="974"/>
    <x v="0"/>
    <x v="1"/>
    <x v="214"/>
    <x v="339"/>
    <x v="7"/>
    <x v="1"/>
    <n v="3"/>
    <x v="0"/>
    <x v="1"/>
    <n v="10.5"/>
    <m/>
    <m/>
    <m/>
    <n v="37.979999999999997"/>
  </r>
  <r>
    <x v="975"/>
    <x v="2"/>
    <x v="4"/>
    <x v="215"/>
    <x v="179"/>
    <x v="8"/>
    <x v="4"/>
    <n v="0"/>
    <x v="1"/>
    <x v="4"/>
    <n v="12.5"/>
    <m/>
    <m/>
    <m/>
    <n v="84.73"/>
  </r>
  <r>
    <x v="976"/>
    <x v="1"/>
    <x v="1"/>
    <x v="6"/>
    <x v="7"/>
    <x v="9"/>
    <x v="1"/>
    <n v="2"/>
    <x v="0"/>
    <x v="1"/>
    <n v="10.5"/>
    <m/>
    <m/>
    <m/>
    <n v="21.99"/>
  </r>
  <r>
    <x v="977"/>
    <x v="2"/>
    <x v="5"/>
    <x v="216"/>
    <x v="231"/>
    <x v="10"/>
    <x v="3"/>
    <n v="0"/>
    <x v="1"/>
    <x v="5"/>
    <n v="6"/>
    <m/>
    <m/>
    <m/>
    <n v="84.73"/>
  </r>
  <r>
    <x v="978"/>
    <x v="1"/>
    <x v="3"/>
    <x v="5"/>
    <x v="340"/>
    <x v="11"/>
    <x v="2"/>
    <n v="0"/>
    <x v="0"/>
    <x v="3"/>
    <n v="9"/>
    <m/>
    <m/>
    <m/>
    <n v="21.99"/>
  </r>
  <r>
    <x v="979"/>
    <x v="1"/>
    <x v="3"/>
    <x v="5"/>
    <x v="189"/>
    <x v="1"/>
    <x v="2"/>
    <n v="0"/>
    <x v="2"/>
    <x v="3"/>
    <n v="9"/>
    <m/>
    <m/>
    <m/>
    <n v="21.99"/>
  </r>
  <r>
    <x v="980"/>
    <x v="2"/>
    <x v="0"/>
    <x v="217"/>
    <x v="294"/>
    <x v="0"/>
    <x v="3"/>
    <n v="0"/>
    <x v="2"/>
    <x v="0"/>
    <n v="7"/>
    <m/>
    <m/>
    <m/>
    <n v="84.73"/>
  </r>
  <r>
    <x v="981"/>
    <x v="1"/>
    <x v="1"/>
    <x v="6"/>
    <x v="269"/>
    <x v="2"/>
    <x v="0"/>
    <n v="3"/>
    <x v="2"/>
    <x v="1"/>
    <n v="10.5"/>
    <m/>
    <m/>
    <m/>
    <n v="21.99"/>
  </r>
  <r>
    <x v="982"/>
    <x v="1"/>
    <x v="1"/>
    <x v="6"/>
    <x v="341"/>
    <x v="4"/>
    <x v="0"/>
    <n v="2"/>
    <x v="0"/>
    <x v="1"/>
    <n v="10.5"/>
    <m/>
    <m/>
    <m/>
    <n v="21.99"/>
  </r>
  <r>
    <x v="983"/>
    <x v="1"/>
    <x v="3"/>
    <x v="5"/>
    <x v="342"/>
    <x v="5"/>
    <x v="2"/>
    <n v="0"/>
    <x v="2"/>
    <x v="3"/>
    <n v="9"/>
    <m/>
    <m/>
    <m/>
    <n v="21.99"/>
  </r>
  <r>
    <x v="984"/>
    <x v="1"/>
    <x v="3"/>
    <x v="5"/>
    <x v="343"/>
    <x v="6"/>
    <x v="1"/>
    <n v="2"/>
    <x v="1"/>
    <x v="3"/>
    <n v="9"/>
    <m/>
    <m/>
    <m/>
    <n v="21.99"/>
  </r>
  <r>
    <x v="985"/>
    <x v="1"/>
    <x v="4"/>
    <x v="9"/>
    <x v="344"/>
    <x v="3"/>
    <x v="1"/>
    <n v="8"/>
    <x v="3"/>
    <x v="4"/>
    <n v="12.5"/>
    <m/>
    <m/>
    <m/>
    <n v="21.99"/>
  </r>
  <r>
    <x v="986"/>
    <x v="2"/>
    <x v="5"/>
    <x v="218"/>
    <x v="256"/>
    <x v="7"/>
    <x v="2"/>
    <n v="0"/>
    <x v="0"/>
    <x v="5"/>
    <n v="6"/>
    <m/>
    <m/>
    <m/>
    <n v="84.73"/>
  </r>
  <r>
    <x v="987"/>
    <x v="0"/>
    <x v="0"/>
    <x v="18"/>
    <x v="34"/>
    <x v="8"/>
    <x v="1"/>
    <n v="3"/>
    <x v="3"/>
    <x v="0"/>
    <n v="7"/>
    <m/>
    <m/>
    <m/>
    <n v="37.979999999999997"/>
  </r>
  <r>
    <x v="988"/>
    <x v="0"/>
    <x v="2"/>
    <x v="219"/>
    <x v="291"/>
    <x v="9"/>
    <x v="1"/>
    <n v="19"/>
    <x v="2"/>
    <x v="2"/>
    <n v="5"/>
    <m/>
    <m/>
    <m/>
    <n v="37.979999999999997"/>
  </r>
  <r>
    <x v="989"/>
    <x v="1"/>
    <x v="2"/>
    <x v="4"/>
    <x v="319"/>
    <x v="10"/>
    <x v="1"/>
    <n v="16"/>
    <x v="0"/>
    <x v="2"/>
    <n v="5"/>
    <m/>
    <m/>
    <m/>
    <n v="21.99"/>
  </r>
  <r>
    <x v="990"/>
    <x v="1"/>
    <x v="1"/>
    <x v="6"/>
    <x v="92"/>
    <x v="11"/>
    <x v="2"/>
    <n v="0"/>
    <x v="1"/>
    <x v="1"/>
    <n v="10.5"/>
    <m/>
    <m/>
    <m/>
    <n v="21.99"/>
  </r>
  <r>
    <x v="991"/>
    <x v="2"/>
    <x v="4"/>
    <x v="220"/>
    <x v="345"/>
    <x v="1"/>
    <x v="2"/>
    <n v="0"/>
    <x v="1"/>
    <x v="4"/>
    <n v="12.5"/>
    <m/>
    <m/>
    <m/>
    <n v="84.73"/>
  </r>
  <r>
    <x v="992"/>
    <x v="1"/>
    <x v="3"/>
    <x v="5"/>
    <x v="280"/>
    <x v="0"/>
    <x v="1"/>
    <n v="2"/>
    <x v="1"/>
    <x v="3"/>
    <n v="9"/>
    <m/>
    <m/>
    <m/>
    <n v="21.99"/>
  </r>
  <r>
    <x v="993"/>
    <x v="1"/>
    <x v="5"/>
    <x v="8"/>
    <x v="280"/>
    <x v="2"/>
    <x v="1"/>
    <n v="19"/>
    <x v="0"/>
    <x v="5"/>
    <n v="6"/>
    <m/>
    <m/>
    <m/>
    <n v="21.99"/>
  </r>
  <r>
    <x v="994"/>
    <x v="1"/>
    <x v="2"/>
    <x v="4"/>
    <x v="346"/>
    <x v="4"/>
    <x v="1"/>
    <n v="18"/>
    <x v="0"/>
    <x v="2"/>
    <n v="5"/>
    <m/>
    <m/>
    <m/>
    <n v="21.99"/>
  </r>
  <r>
    <x v="995"/>
    <x v="1"/>
    <x v="3"/>
    <x v="5"/>
    <x v="58"/>
    <x v="5"/>
    <x v="1"/>
    <n v="2"/>
    <x v="1"/>
    <x v="3"/>
    <n v="9"/>
    <m/>
    <m/>
    <m/>
    <n v="21.99"/>
  </r>
  <r>
    <x v="996"/>
    <x v="1"/>
    <x v="0"/>
    <x v="2"/>
    <x v="274"/>
    <x v="6"/>
    <x v="1"/>
    <n v="2"/>
    <x v="3"/>
    <x v="0"/>
    <n v="7"/>
    <m/>
    <m/>
    <m/>
    <n v="21.99"/>
  </r>
  <r>
    <x v="997"/>
    <x v="0"/>
    <x v="4"/>
    <x v="221"/>
    <x v="91"/>
    <x v="3"/>
    <x v="1"/>
    <n v="7"/>
    <x v="1"/>
    <x v="4"/>
    <n v="12.5"/>
    <m/>
    <m/>
    <m/>
    <n v="37.979999999999997"/>
  </r>
  <r>
    <x v="998"/>
    <x v="1"/>
    <x v="4"/>
    <x v="9"/>
    <x v="347"/>
    <x v="7"/>
    <x v="1"/>
    <n v="6"/>
    <x v="1"/>
    <x v="4"/>
    <n v="12.5"/>
    <m/>
    <m/>
    <m/>
    <n v="21.99"/>
  </r>
  <r>
    <x v="999"/>
    <x v="1"/>
    <x v="4"/>
    <x v="9"/>
    <x v="151"/>
    <x v="8"/>
    <x v="2"/>
    <n v="0"/>
    <x v="2"/>
    <x v="4"/>
    <n v="12.5"/>
    <m/>
    <m/>
    <m/>
    <n v="21.99"/>
  </r>
  <r>
    <x v="1000"/>
    <x v="1"/>
    <x v="1"/>
    <x v="6"/>
    <x v="150"/>
    <x v="9"/>
    <x v="1"/>
    <n v="2"/>
    <x v="2"/>
    <x v="1"/>
    <n v="10.5"/>
    <m/>
    <m/>
    <m/>
    <n v="21.99"/>
  </r>
  <r>
    <x v="1001"/>
    <x v="0"/>
    <x v="3"/>
    <x v="222"/>
    <x v="225"/>
    <x v="10"/>
    <x v="4"/>
    <n v="0"/>
    <x v="3"/>
    <x v="3"/>
    <n v="9"/>
    <m/>
    <m/>
    <m/>
    <n v="37.979999999999997"/>
  </r>
  <r>
    <x v="1002"/>
    <x v="1"/>
    <x v="4"/>
    <x v="9"/>
    <x v="219"/>
    <x v="11"/>
    <x v="3"/>
    <n v="0"/>
    <x v="2"/>
    <x v="4"/>
    <n v="12.5"/>
    <m/>
    <m/>
    <m/>
    <n v="21.99"/>
  </r>
  <r>
    <x v="1003"/>
    <x v="1"/>
    <x v="3"/>
    <x v="5"/>
    <x v="311"/>
    <x v="1"/>
    <x v="1"/>
    <n v="3"/>
    <x v="2"/>
    <x v="3"/>
    <n v="9"/>
    <m/>
    <m/>
    <m/>
    <n v="21.99"/>
  </r>
  <r>
    <x v="1004"/>
    <x v="1"/>
    <x v="2"/>
    <x v="4"/>
    <x v="348"/>
    <x v="0"/>
    <x v="1"/>
    <n v="16"/>
    <x v="0"/>
    <x v="2"/>
    <n v="5"/>
    <m/>
    <m/>
    <m/>
    <n v="21.99"/>
  </r>
  <r>
    <x v="1005"/>
    <x v="2"/>
    <x v="0"/>
    <x v="223"/>
    <x v="179"/>
    <x v="2"/>
    <x v="1"/>
    <n v="3"/>
    <x v="1"/>
    <x v="0"/>
    <n v="7"/>
    <m/>
    <m/>
    <m/>
    <n v="84.73"/>
  </r>
  <r>
    <x v="1006"/>
    <x v="1"/>
    <x v="1"/>
    <x v="6"/>
    <x v="27"/>
    <x v="4"/>
    <x v="1"/>
    <n v="2"/>
    <x v="1"/>
    <x v="1"/>
    <n v="10.5"/>
    <m/>
    <m/>
    <m/>
    <n v="21.99"/>
  </r>
  <r>
    <x v="1007"/>
    <x v="2"/>
    <x v="0"/>
    <x v="107"/>
    <x v="337"/>
    <x v="5"/>
    <x v="4"/>
    <n v="0"/>
    <x v="2"/>
    <x v="0"/>
    <n v="7"/>
    <m/>
    <m/>
    <m/>
    <n v="84.73"/>
  </r>
  <r>
    <x v="1008"/>
    <x v="0"/>
    <x v="3"/>
    <x v="224"/>
    <x v="92"/>
    <x v="6"/>
    <x v="1"/>
    <n v="2"/>
    <x v="2"/>
    <x v="3"/>
    <n v="9"/>
    <m/>
    <m/>
    <m/>
    <n v="37.979999999999997"/>
  </r>
  <r>
    <x v="1009"/>
    <x v="1"/>
    <x v="1"/>
    <x v="6"/>
    <x v="58"/>
    <x v="3"/>
    <x v="1"/>
    <n v="3"/>
    <x v="3"/>
    <x v="1"/>
    <n v="10.5"/>
    <m/>
    <m/>
    <m/>
    <n v="21.99"/>
  </r>
  <r>
    <x v="1010"/>
    <x v="2"/>
    <x v="5"/>
    <x v="14"/>
    <x v="285"/>
    <x v="7"/>
    <x v="1"/>
    <n v="14"/>
    <x v="0"/>
    <x v="5"/>
    <n v="6"/>
    <m/>
    <m/>
    <m/>
    <n v="84.73"/>
  </r>
  <r>
    <x v="1011"/>
    <x v="2"/>
    <x v="3"/>
    <x v="225"/>
    <x v="331"/>
    <x v="8"/>
    <x v="2"/>
    <n v="0"/>
    <x v="1"/>
    <x v="3"/>
    <n v="9"/>
    <m/>
    <m/>
    <m/>
    <n v="84.73"/>
  </r>
  <r>
    <x v="1012"/>
    <x v="1"/>
    <x v="3"/>
    <x v="5"/>
    <x v="42"/>
    <x v="9"/>
    <x v="1"/>
    <n v="3"/>
    <x v="2"/>
    <x v="3"/>
    <n v="9"/>
    <m/>
    <m/>
    <m/>
    <n v="21.99"/>
  </r>
  <r>
    <x v="1013"/>
    <x v="1"/>
    <x v="5"/>
    <x v="8"/>
    <x v="49"/>
    <x v="10"/>
    <x v="1"/>
    <n v="10"/>
    <x v="0"/>
    <x v="5"/>
    <n v="6"/>
    <m/>
    <m/>
    <m/>
    <n v="21.99"/>
  </r>
  <r>
    <x v="1014"/>
    <x v="0"/>
    <x v="3"/>
    <x v="33"/>
    <x v="245"/>
    <x v="11"/>
    <x v="3"/>
    <n v="0"/>
    <x v="1"/>
    <x v="3"/>
    <n v="9"/>
    <m/>
    <m/>
    <m/>
    <n v="37.979999999999997"/>
  </r>
  <r>
    <x v="1015"/>
    <x v="2"/>
    <x v="2"/>
    <x v="226"/>
    <x v="192"/>
    <x v="1"/>
    <x v="4"/>
    <n v="0"/>
    <x v="0"/>
    <x v="2"/>
    <n v="5"/>
    <m/>
    <m/>
    <m/>
    <n v="84.73"/>
  </r>
  <r>
    <x v="1016"/>
    <x v="1"/>
    <x v="1"/>
    <x v="6"/>
    <x v="303"/>
    <x v="0"/>
    <x v="1"/>
    <n v="3"/>
    <x v="3"/>
    <x v="1"/>
    <n v="10.5"/>
    <m/>
    <m/>
    <m/>
    <n v="21.99"/>
  </r>
  <r>
    <x v="1017"/>
    <x v="1"/>
    <x v="5"/>
    <x v="8"/>
    <x v="194"/>
    <x v="2"/>
    <x v="2"/>
    <n v="0"/>
    <x v="0"/>
    <x v="5"/>
    <n v="6"/>
    <m/>
    <m/>
    <m/>
    <n v="21.99"/>
  </r>
  <r>
    <x v="1018"/>
    <x v="2"/>
    <x v="2"/>
    <x v="227"/>
    <x v="349"/>
    <x v="4"/>
    <x v="1"/>
    <n v="18"/>
    <x v="3"/>
    <x v="2"/>
    <n v="5"/>
    <m/>
    <m/>
    <m/>
    <n v="84.73"/>
  </r>
  <r>
    <x v="1019"/>
    <x v="0"/>
    <x v="3"/>
    <x v="228"/>
    <x v="350"/>
    <x v="5"/>
    <x v="1"/>
    <n v="3"/>
    <x v="2"/>
    <x v="3"/>
    <n v="9"/>
    <m/>
    <m/>
    <m/>
    <n v="37.979999999999997"/>
  </r>
  <r>
    <x v="1020"/>
    <x v="1"/>
    <x v="4"/>
    <x v="9"/>
    <x v="178"/>
    <x v="6"/>
    <x v="2"/>
    <n v="0"/>
    <x v="1"/>
    <x v="4"/>
    <n v="12.5"/>
    <m/>
    <m/>
    <m/>
    <n v="21.99"/>
  </r>
  <r>
    <x v="1021"/>
    <x v="0"/>
    <x v="1"/>
    <x v="208"/>
    <x v="45"/>
    <x v="3"/>
    <x v="1"/>
    <n v="3"/>
    <x v="0"/>
    <x v="1"/>
    <n v="10.5"/>
    <m/>
    <m/>
    <m/>
    <n v="37.979999999999997"/>
  </r>
  <r>
    <x v="1022"/>
    <x v="0"/>
    <x v="5"/>
    <x v="229"/>
    <x v="266"/>
    <x v="7"/>
    <x v="4"/>
    <n v="0"/>
    <x v="0"/>
    <x v="5"/>
    <n v="6"/>
    <m/>
    <m/>
    <m/>
    <n v="37.979999999999997"/>
  </r>
  <r>
    <x v="1023"/>
    <x v="1"/>
    <x v="3"/>
    <x v="5"/>
    <x v="138"/>
    <x v="8"/>
    <x v="0"/>
    <n v="2"/>
    <x v="0"/>
    <x v="3"/>
    <n v="9"/>
    <m/>
    <m/>
    <m/>
    <n v="21.99"/>
  </r>
  <r>
    <x v="1024"/>
    <x v="1"/>
    <x v="0"/>
    <x v="2"/>
    <x v="306"/>
    <x v="9"/>
    <x v="0"/>
    <n v="3"/>
    <x v="2"/>
    <x v="0"/>
    <n v="7"/>
    <m/>
    <m/>
    <m/>
    <n v="21.99"/>
  </r>
  <r>
    <x v="1025"/>
    <x v="1"/>
    <x v="0"/>
    <x v="2"/>
    <x v="351"/>
    <x v="10"/>
    <x v="4"/>
    <n v="0"/>
    <x v="1"/>
    <x v="0"/>
    <n v="7"/>
    <m/>
    <m/>
    <m/>
    <n v="21.99"/>
  </r>
  <r>
    <x v="1026"/>
    <x v="0"/>
    <x v="4"/>
    <x v="230"/>
    <x v="20"/>
    <x v="11"/>
    <x v="1"/>
    <n v="8"/>
    <x v="2"/>
    <x v="4"/>
    <n v="12.5"/>
    <m/>
    <m/>
    <m/>
    <n v="37.979999999999997"/>
  </r>
  <r>
    <x v="1027"/>
    <x v="1"/>
    <x v="2"/>
    <x v="4"/>
    <x v="183"/>
    <x v="1"/>
    <x v="1"/>
    <n v="16"/>
    <x v="1"/>
    <x v="2"/>
    <n v="5"/>
    <m/>
    <m/>
    <m/>
    <n v="21.99"/>
  </r>
  <r>
    <x v="1028"/>
    <x v="2"/>
    <x v="3"/>
    <x v="231"/>
    <x v="100"/>
    <x v="0"/>
    <x v="2"/>
    <n v="0"/>
    <x v="1"/>
    <x v="3"/>
    <n v="9"/>
    <m/>
    <m/>
    <m/>
    <n v="84.73"/>
  </r>
  <r>
    <x v="1029"/>
    <x v="1"/>
    <x v="4"/>
    <x v="9"/>
    <x v="273"/>
    <x v="2"/>
    <x v="0"/>
    <n v="8"/>
    <x v="0"/>
    <x v="4"/>
    <n v="12.5"/>
    <m/>
    <m/>
    <m/>
    <n v="21.99"/>
  </r>
  <r>
    <x v="1030"/>
    <x v="1"/>
    <x v="4"/>
    <x v="9"/>
    <x v="145"/>
    <x v="4"/>
    <x v="1"/>
    <n v="5"/>
    <x v="1"/>
    <x v="4"/>
    <n v="12.5"/>
    <m/>
    <m/>
    <m/>
    <n v="21.99"/>
  </r>
  <r>
    <x v="1031"/>
    <x v="1"/>
    <x v="4"/>
    <x v="9"/>
    <x v="69"/>
    <x v="5"/>
    <x v="1"/>
    <n v="5"/>
    <x v="1"/>
    <x v="4"/>
    <n v="12.5"/>
    <m/>
    <m/>
    <m/>
    <n v="21.99"/>
  </r>
  <r>
    <x v="1032"/>
    <x v="1"/>
    <x v="1"/>
    <x v="6"/>
    <x v="167"/>
    <x v="6"/>
    <x v="2"/>
    <n v="0"/>
    <x v="3"/>
    <x v="1"/>
    <n v="10.5"/>
    <m/>
    <m/>
    <m/>
    <n v="21.99"/>
  </r>
  <r>
    <x v="1033"/>
    <x v="1"/>
    <x v="0"/>
    <x v="2"/>
    <x v="254"/>
    <x v="3"/>
    <x v="2"/>
    <n v="0"/>
    <x v="2"/>
    <x v="0"/>
    <n v="7"/>
    <m/>
    <m/>
    <m/>
    <n v="21.99"/>
  </r>
  <r>
    <x v="1034"/>
    <x v="1"/>
    <x v="0"/>
    <x v="2"/>
    <x v="352"/>
    <x v="7"/>
    <x v="1"/>
    <n v="3"/>
    <x v="1"/>
    <x v="0"/>
    <n v="7"/>
    <m/>
    <m/>
    <m/>
    <n v="21.99"/>
  </r>
  <r>
    <x v="1035"/>
    <x v="1"/>
    <x v="4"/>
    <x v="9"/>
    <x v="203"/>
    <x v="8"/>
    <x v="0"/>
    <n v="10"/>
    <x v="1"/>
    <x v="4"/>
    <n v="12.5"/>
    <m/>
    <m/>
    <m/>
    <n v="21.99"/>
  </r>
  <r>
    <x v="1036"/>
    <x v="1"/>
    <x v="3"/>
    <x v="5"/>
    <x v="238"/>
    <x v="9"/>
    <x v="4"/>
    <n v="0"/>
    <x v="0"/>
    <x v="3"/>
    <n v="9"/>
    <m/>
    <m/>
    <m/>
    <n v="21.99"/>
  </r>
  <r>
    <x v="1037"/>
    <x v="2"/>
    <x v="2"/>
    <x v="232"/>
    <x v="43"/>
    <x v="10"/>
    <x v="4"/>
    <n v="0"/>
    <x v="0"/>
    <x v="2"/>
    <n v="5"/>
    <m/>
    <m/>
    <m/>
    <n v="84.73"/>
  </r>
  <r>
    <x v="1038"/>
    <x v="1"/>
    <x v="5"/>
    <x v="8"/>
    <x v="314"/>
    <x v="11"/>
    <x v="1"/>
    <n v="13"/>
    <x v="0"/>
    <x v="5"/>
    <n v="6"/>
    <m/>
    <m/>
    <m/>
    <n v="21.99"/>
  </r>
  <r>
    <x v="1039"/>
    <x v="2"/>
    <x v="5"/>
    <x v="233"/>
    <x v="352"/>
    <x v="1"/>
    <x v="1"/>
    <n v="11"/>
    <x v="2"/>
    <x v="5"/>
    <n v="6"/>
    <m/>
    <m/>
    <m/>
    <n v="84.73"/>
  </r>
  <r>
    <x v="1040"/>
    <x v="1"/>
    <x v="4"/>
    <x v="9"/>
    <x v="324"/>
    <x v="0"/>
    <x v="3"/>
    <n v="0"/>
    <x v="0"/>
    <x v="4"/>
    <n v="12.5"/>
    <m/>
    <m/>
    <m/>
    <n v="21.99"/>
  </r>
  <r>
    <x v="1041"/>
    <x v="0"/>
    <x v="3"/>
    <x v="234"/>
    <x v="181"/>
    <x v="2"/>
    <x v="0"/>
    <n v="3"/>
    <x v="2"/>
    <x v="3"/>
    <n v="9"/>
    <m/>
    <m/>
    <m/>
    <n v="37.979999999999997"/>
  </r>
  <r>
    <x v="1042"/>
    <x v="2"/>
    <x v="1"/>
    <x v="235"/>
    <x v="340"/>
    <x v="4"/>
    <x v="1"/>
    <n v="2"/>
    <x v="2"/>
    <x v="1"/>
    <n v="10.5"/>
    <m/>
    <m/>
    <m/>
    <n v="84.73"/>
  </r>
  <r>
    <x v="1043"/>
    <x v="1"/>
    <x v="5"/>
    <x v="8"/>
    <x v="27"/>
    <x v="5"/>
    <x v="2"/>
    <n v="0"/>
    <x v="2"/>
    <x v="5"/>
    <n v="6"/>
    <m/>
    <m/>
    <m/>
    <n v="21.99"/>
  </r>
  <r>
    <x v="1044"/>
    <x v="1"/>
    <x v="2"/>
    <x v="4"/>
    <x v="353"/>
    <x v="6"/>
    <x v="2"/>
    <n v="0"/>
    <x v="3"/>
    <x v="2"/>
    <n v="5"/>
    <m/>
    <m/>
    <m/>
    <n v="21.99"/>
  </r>
  <r>
    <x v="1045"/>
    <x v="1"/>
    <x v="5"/>
    <x v="8"/>
    <x v="230"/>
    <x v="3"/>
    <x v="1"/>
    <n v="12"/>
    <x v="2"/>
    <x v="5"/>
    <n v="6"/>
    <m/>
    <m/>
    <m/>
    <n v="21.99"/>
  </r>
  <r>
    <x v="1046"/>
    <x v="1"/>
    <x v="2"/>
    <x v="4"/>
    <x v="14"/>
    <x v="7"/>
    <x v="0"/>
    <n v="15"/>
    <x v="2"/>
    <x v="2"/>
    <n v="5"/>
    <m/>
    <m/>
    <m/>
    <n v="21.99"/>
  </r>
  <r>
    <x v="1047"/>
    <x v="1"/>
    <x v="3"/>
    <x v="5"/>
    <x v="119"/>
    <x v="8"/>
    <x v="2"/>
    <n v="0"/>
    <x v="2"/>
    <x v="3"/>
    <n v="9"/>
    <m/>
    <m/>
    <m/>
    <n v="21.99"/>
  </r>
  <r>
    <x v="1048"/>
    <x v="1"/>
    <x v="5"/>
    <x v="8"/>
    <x v="36"/>
    <x v="9"/>
    <x v="4"/>
    <n v="0"/>
    <x v="0"/>
    <x v="5"/>
    <n v="6"/>
    <m/>
    <m/>
    <m/>
    <n v="21.99"/>
  </r>
  <r>
    <x v="1049"/>
    <x v="1"/>
    <x v="0"/>
    <x v="2"/>
    <x v="161"/>
    <x v="10"/>
    <x v="1"/>
    <n v="3"/>
    <x v="0"/>
    <x v="0"/>
    <n v="7"/>
    <m/>
    <m/>
    <m/>
    <n v="21.99"/>
  </r>
  <r>
    <x v="1050"/>
    <x v="1"/>
    <x v="1"/>
    <x v="6"/>
    <x v="354"/>
    <x v="11"/>
    <x v="1"/>
    <n v="3"/>
    <x v="3"/>
    <x v="1"/>
    <n v="10.5"/>
    <m/>
    <m/>
    <m/>
    <n v="21.99"/>
  </r>
  <r>
    <x v="1051"/>
    <x v="2"/>
    <x v="1"/>
    <x v="236"/>
    <x v="13"/>
    <x v="1"/>
    <x v="2"/>
    <n v="0"/>
    <x v="2"/>
    <x v="1"/>
    <n v="10.5"/>
    <m/>
    <m/>
    <m/>
    <n v="84.73"/>
  </r>
  <r>
    <x v="1052"/>
    <x v="1"/>
    <x v="2"/>
    <x v="4"/>
    <x v="59"/>
    <x v="0"/>
    <x v="1"/>
    <n v="15"/>
    <x v="0"/>
    <x v="2"/>
    <n v="5"/>
    <m/>
    <m/>
    <m/>
    <n v="21.99"/>
  </r>
  <r>
    <x v="1053"/>
    <x v="0"/>
    <x v="4"/>
    <x v="237"/>
    <x v="145"/>
    <x v="2"/>
    <x v="0"/>
    <n v="8"/>
    <x v="3"/>
    <x v="4"/>
    <n v="12.5"/>
    <m/>
    <m/>
    <m/>
    <n v="37.979999999999997"/>
  </r>
  <r>
    <x v="1054"/>
    <x v="1"/>
    <x v="1"/>
    <x v="6"/>
    <x v="208"/>
    <x v="4"/>
    <x v="1"/>
    <n v="3"/>
    <x v="1"/>
    <x v="1"/>
    <n v="10.5"/>
    <m/>
    <m/>
    <m/>
    <n v="21.99"/>
  </r>
  <r>
    <x v="1055"/>
    <x v="1"/>
    <x v="2"/>
    <x v="4"/>
    <x v="355"/>
    <x v="5"/>
    <x v="1"/>
    <n v="17"/>
    <x v="0"/>
    <x v="2"/>
    <n v="5"/>
    <m/>
    <m/>
    <m/>
    <n v="21.99"/>
  </r>
  <r>
    <x v="1056"/>
    <x v="1"/>
    <x v="5"/>
    <x v="8"/>
    <x v="312"/>
    <x v="6"/>
    <x v="0"/>
    <n v="14"/>
    <x v="1"/>
    <x v="5"/>
    <n v="6"/>
    <m/>
    <m/>
    <m/>
    <n v="21.99"/>
  </r>
  <r>
    <x v="1057"/>
    <x v="2"/>
    <x v="0"/>
    <x v="238"/>
    <x v="167"/>
    <x v="3"/>
    <x v="1"/>
    <n v="6"/>
    <x v="3"/>
    <x v="0"/>
    <n v="7"/>
    <m/>
    <m/>
    <m/>
    <n v="84.73"/>
  </r>
  <r>
    <x v="1058"/>
    <x v="0"/>
    <x v="2"/>
    <x v="239"/>
    <x v="329"/>
    <x v="7"/>
    <x v="1"/>
    <n v="19"/>
    <x v="1"/>
    <x v="2"/>
    <n v="5"/>
    <m/>
    <m/>
    <m/>
    <n v="37.979999999999997"/>
  </r>
  <r>
    <x v="1059"/>
    <x v="2"/>
    <x v="3"/>
    <x v="240"/>
    <x v="64"/>
    <x v="8"/>
    <x v="1"/>
    <n v="2"/>
    <x v="3"/>
    <x v="3"/>
    <n v="9"/>
    <m/>
    <m/>
    <m/>
    <n v="84.73"/>
  </r>
  <r>
    <x v="1060"/>
    <x v="1"/>
    <x v="2"/>
    <x v="4"/>
    <x v="145"/>
    <x v="9"/>
    <x v="1"/>
    <n v="19"/>
    <x v="2"/>
    <x v="2"/>
    <n v="5"/>
    <m/>
    <m/>
    <m/>
    <n v="21.99"/>
  </r>
  <r>
    <x v="1061"/>
    <x v="0"/>
    <x v="4"/>
    <x v="241"/>
    <x v="356"/>
    <x v="10"/>
    <x v="1"/>
    <n v="6"/>
    <x v="0"/>
    <x v="4"/>
    <n v="12.5"/>
    <m/>
    <m/>
    <m/>
    <n v="37.979999999999997"/>
  </r>
  <r>
    <x v="1062"/>
    <x v="1"/>
    <x v="5"/>
    <x v="8"/>
    <x v="309"/>
    <x v="11"/>
    <x v="4"/>
    <n v="0"/>
    <x v="3"/>
    <x v="5"/>
    <n v="6"/>
    <m/>
    <m/>
    <m/>
    <n v="21.99"/>
  </r>
  <r>
    <x v="1063"/>
    <x v="2"/>
    <x v="4"/>
    <x v="242"/>
    <x v="169"/>
    <x v="1"/>
    <x v="1"/>
    <n v="7"/>
    <x v="3"/>
    <x v="4"/>
    <n v="12.5"/>
    <m/>
    <m/>
    <m/>
    <n v="84.73"/>
  </r>
  <r>
    <x v="1064"/>
    <x v="1"/>
    <x v="5"/>
    <x v="8"/>
    <x v="137"/>
    <x v="0"/>
    <x v="1"/>
    <n v="11"/>
    <x v="3"/>
    <x v="5"/>
    <n v="6"/>
    <m/>
    <m/>
    <m/>
    <n v="21.99"/>
  </r>
  <r>
    <x v="1065"/>
    <x v="1"/>
    <x v="4"/>
    <x v="9"/>
    <x v="336"/>
    <x v="2"/>
    <x v="4"/>
    <n v="0"/>
    <x v="2"/>
    <x v="4"/>
    <n v="12.5"/>
    <m/>
    <m/>
    <m/>
    <n v="21.99"/>
  </r>
  <r>
    <x v="1066"/>
    <x v="2"/>
    <x v="4"/>
    <x v="39"/>
    <x v="135"/>
    <x v="4"/>
    <x v="2"/>
    <n v="0"/>
    <x v="3"/>
    <x v="4"/>
    <n v="12.5"/>
    <m/>
    <m/>
    <m/>
    <n v="84.73"/>
  </r>
  <r>
    <x v="1067"/>
    <x v="1"/>
    <x v="2"/>
    <x v="4"/>
    <x v="5"/>
    <x v="5"/>
    <x v="1"/>
    <n v="22"/>
    <x v="2"/>
    <x v="2"/>
    <n v="5"/>
    <m/>
    <m/>
    <m/>
    <n v="21.99"/>
  </r>
  <r>
    <x v="1068"/>
    <x v="0"/>
    <x v="5"/>
    <x v="243"/>
    <x v="57"/>
    <x v="6"/>
    <x v="1"/>
    <n v="13"/>
    <x v="2"/>
    <x v="5"/>
    <n v="6"/>
    <m/>
    <m/>
    <m/>
    <n v="37.979999999999997"/>
  </r>
  <r>
    <x v="1069"/>
    <x v="1"/>
    <x v="0"/>
    <x v="2"/>
    <x v="274"/>
    <x v="3"/>
    <x v="3"/>
    <n v="0"/>
    <x v="0"/>
    <x v="0"/>
    <n v="7"/>
    <m/>
    <m/>
    <m/>
    <n v="21.99"/>
  </r>
  <r>
    <x v="1070"/>
    <x v="1"/>
    <x v="1"/>
    <x v="6"/>
    <x v="202"/>
    <x v="7"/>
    <x v="1"/>
    <n v="3"/>
    <x v="0"/>
    <x v="1"/>
    <n v="10.5"/>
    <m/>
    <m/>
    <m/>
    <n v="21.99"/>
  </r>
  <r>
    <x v="1071"/>
    <x v="0"/>
    <x v="2"/>
    <x v="244"/>
    <x v="335"/>
    <x v="8"/>
    <x v="4"/>
    <n v="0"/>
    <x v="1"/>
    <x v="2"/>
    <n v="5"/>
    <m/>
    <m/>
    <m/>
    <n v="37.979999999999997"/>
  </r>
  <r>
    <x v="1072"/>
    <x v="1"/>
    <x v="4"/>
    <x v="9"/>
    <x v="91"/>
    <x v="9"/>
    <x v="1"/>
    <n v="5"/>
    <x v="2"/>
    <x v="4"/>
    <n v="12.5"/>
    <m/>
    <m/>
    <m/>
    <n v="21.99"/>
  </r>
  <r>
    <x v="1073"/>
    <x v="1"/>
    <x v="4"/>
    <x v="9"/>
    <x v="2"/>
    <x v="10"/>
    <x v="1"/>
    <n v="8"/>
    <x v="2"/>
    <x v="4"/>
    <n v="12.5"/>
    <m/>
    <m/>
    <m/>
    <n v="21.99"/>
  </r>
  <r>
    <x v="1074"/>
    <x v="0"/>
    <x v="5"/>
    <x v="245"/>
    <x v="96"/>
    <x v="11"/>
    <x v="2"/>
    <n v="0"/>
    <x v="1"/>
    <x v="5"/>
    <n v="6"/>
    <m/>
    <m/>
    <m/>
    <n v="37.979999999999997"/>
  </r>
  <r>
    <x v="1075"/>
    <x v="1"/>
    <x v="3"/>
    <x v="5"/>
    <x v="188"/>
    <x v="1"/>
    <x v="3"/>
    <n v="0"/>
    <x v="0"/>
    <x v="3"/>
    <n v="9"/>
    <m/>
    <m/>
    <m/>
    <n v="21.99"/>
  </r>
  <r>
    <x v="1076"/>
    <x v="1"/>
    <x v="2"/>
    <x v="4"/>
    <x v="53"/>
    <x v="0"/>
    <x v="4"/>
    <n v="0"/>
    <x v="3"/>
    <x v="2"/>
    <n v="5"/>
    <m/>
    <m/>
    <m/>
    <n v="21.99"/>
  </r>
  <r>
    <x v="1077"/>
    <x v="1"/>
    <x v="4"/>
    <x v="9"/>
    <x v="344"/>
    <x v="2"/>
    <x v="1"/>
    <n v="7"/>
    <x v="0"/>
    <x v="4"/>
    <n v="12.5"/>
    <m/>
    <m/>
    <m/>
    <n v="21.99"/>
  </r>
  <r>
    <x v="1078"/>
    <x v="1"/>
    <x v="1"/>
    <x v="6"/>
    <x v="203"/>
    <x v="4"/>
    <x v="2"/>
    <n v="0"/>
    <x v="2"/>
    <x v="1"/>
    <n v="10.5"/>
    <m/>
    <m/>
    <m/>
    <n v="21.99"/>
  </r>
  <r>
    <x v="1079"/>
    <x v="0"/>
    <x v="3"/>
    <x v="246"/>
    <x v="241"/>
    <x v="5"/>
    <x v="4"/>
    <n v="0"/>
    <x v="1"/>
    <x v="3"/>
    <n v="9"/>
    <m/>
    <m/>
    <m/>
    <n v="37.979999999999997"/>
  </r>
  <r>
    <x v="1080"/>
    <x v="1"/>
    <x v="1"/>
    <x v="6"/>
    <x v="307"/>
    <x v="6"/>
    <x v="1"/>
    <n v="2"/>
    <x v="1"/>
    <x v="1"/>
    <n v="10.5"/>
    <m/>
    <m/>
    <m/>
    <n v="21.99"/>
  </r>
  <r>
    <x v="1081"/>
    <x v="1"/>
    <x v="4"/>
    <x v="9"/>
    <x v="98"/>
    <x v="3"/>
    <x v="4"/>
    <n v="0"/>
    <x v="1"/>
    <x v="4"/>
    <n v="12.5"/>
    <m/>
    <m/>
    <m/>
    <n v="21.99"/>
  </r>
  <r>
    <x v="1082"/>
    <x v="1"/>
    <x v="5"/>
    <x v="8"/>
    <x v="4"/>
    <x v="7"/>
    <x v="1"/>
    <n v="11"/>
    <x v="3"/>
    <x v="5"/>
    <n v="6"/>
    <m/>
    <m/>
    <m/>
    <n v="21.99"/>
  </r>
  <r>
    <x v="1083"/>
    <x v="1"/>
    <x v="4"/>
    <x v="9"/>
    <x v="120"/>
    <x v="8"/>
    <x v="1"/>
    <n v="7"/>
    <x v="2"/>
    <x v="4"/>
    <n v="12.5"/>
    <m/>
    <m/>
    <m/>
    <n v="21.99"/>
  </r>
  <r>
    <x v="1084"/>
    <x v="1"/>
    <x v="1"/>
    <x v="6"/>
    <x v="145"/>
    <x v="9"/>
    <x v="2"/>
    <n v="0"/>
    <x v="1"/>
    <x v="1"/>
    <n v="10.5"/>
    <m/>
    <m/>
    <m/>
    <n v="21.99"/>
  </r>
  <r>
    <x v="1085"/>
    <x v="0"/>
    <x v="0"/>
    <x v="247"/>
    <x v="92"/>
    <x v="10"/>
    <x v="3"/>
    <n v="0"/>
    <x v="0"/>
    <x v="0"/>
    <n v="7"/>
    <m/>
    <m/>
    <m/>
    <n v="37.979999999999997"/>
  </r>
  <r>
    <x v="1086"/>
    <x v="1"/>
    <x v="2"/>
    <x v="4"/>
    <x v="357"/>
    <x v="11"/>
    <x v="1"/>
    <n v="16"/>
    <x v="2"/>
    <x v="2"/>
    <n v="5"/>
    <m/>
    <m/>
    <m/>
    <n v="21.99"/>
  </r>
  <r>
    <x v="1087"/>
    <x v="1"/>
    <x v="1"/>
    <x v="6"/>
    <x v="107"/>
    <x v="1"/>
    <x v="2"/>
    <n v="0"/>
    <x v="0"/>
    <x v="1"/>
    <n v="10.5"/>
    <m/>
    <m/>
    <m/>
    <n v="21.99"/>
  </r>
  <r>
    <x v="1088"/>
    <x v="2"/>
    <x v="2"/>
    <x v="182"/>
    <x v="242"/>
    <x v="0"/>
    <x v="0"/>
    <n v="15"/>
    <x v="1"/>
    <x v="2"/>
    <n v="5"/>
    <m/>
    <m/>
    <m/>
    <n v="84.73"/>
  </r>
  <r>
    <x v="1089"/>
    <x v="0"/>
    <x v="5"/>
    <x v="248"/>
    <x v="158"/>
    <x v="2"/>
    <x v="1"/>
    <n v="13"/>
    <x v="3"/>
    <x v="5"/>
    <n v="6"/>
    <m/>
    <m/>
    <m/>
    <n v="37.979999999999997"/>
  </r>
  <r>
    <x v="1090"/>
    <x v="1"/>
    <x v="3"/>
    <x v="5"/>
    <x v="284"/>
    <x v="4"/>
    <x v="2"/>
    <n v="0"/>
    <x v="1"/>
    <x v="3"/>
    <n v="9"/>
    <m/>
    <m/>
    <m/>
    <n v="21.99"/>
  </r>
  <r>
    <x v="1091"/>
    <x v="2"/>
    <x v="5"/>
    <x v="249"/>
    <x v="232"/>
    <x v="5"/>
    <x v="1"/>
    <n v="11"/>
    <x v="1"/>
    <x v="5"/>
    <n v="6"/>
    <m/>
    <m/>
    <m/>
    <n v="84.73"/>
  </r>
  <r>
    <x v="1092"/>
    <x v="2"/>
    <x v="3"/>
    <x v="250"/>
    <x v="265"/>
    <x v="6"/>
    <x v="1"/>
    <n v="2"/>
    <x v="0"/>
    <x v="3"/>
    <n v="9"/>
    <m/>
    <m/>
    <m/>
    <n v="84.73"/>
  </r>
  <r>
    <x v="1093"/>
    <x v="0"/>
    <x v="1"/>
    <x v="251"/>
    <x v="329"/>
    <x v="3"/>
    <x v="1"/>
    <n v="3"/>
    <x v="1"/>
    <x v="1"/>
    <n v="10.5"/>
    <m/>
    <m/>
    <m/>
    <n v="37.979999999999997"/>
  </r>
  <r>
    <x v="1094"/>
    <x v="1"/>
    <x v="2"/>
    <x v="4"/>
    <x v="358"/>
    <x v="7"/>
    <x v="1"/>
    <n v="15"/>
    <x v="0"/>
    <x v="2"/>
    <n v="5"/>
    <m/>
    <m/>
    <m/>
    <n v="21.99"/>
  </r>
  <r>
    <x v="1095"/>
    <x v="1"/>
    <x v="0"/>
    <x v="2"/>
    <x v="348"/>
    <x v="8"/>
    <x v="2"/>
    <n v="0"/>
    <x v="2"/>
    <x v="0"/>
    <n v="7"/>
    <m/>
    <m/>
    <m/>
    <n v="21.99"/>
  </r>
  <r>
    <x v="1096"/>
    <x v="0"/>
    <x v="0"/>
    <x v="252"/>
    <x v="261"/>
    <x v="9"/>
    <x v="1"/>
    <n v="8"/>
    <x v="1"/>
    <x v="0"/>
    <n v="7"/>
    <m/>
    <m/>
    <m/>
    <n v="37.979999999999997"/>
  </r>
  <r>
    <x v="1097"/>
    <x v="2"/>
    <x v="0"/>
    <x v="253"/>
    <x v="78"/>
    <x v="10"/>
    <x v="1"/>
    <n v="3"/>
    <x v="1"/>
    <x v="0"/>
    <n v="7"/>
    <m/>
    <m/>
    <m/>
    <n v="84.73"/>
  </r>
  <r>
    <x v="1098"/>
    <x v="1"/>
    <x v="4"/>
    <x v="9"/>
    <x v="35"/>
    <x v="11"/>
    <x v="2"/>
    <n v="0"/>
    <x v="3"/>
    <x v="4"/>
    <n v="12.5"/>
    <m/>
    <m/>
    <m/>
    <n v="21.99"/>
  </r>
  <r>
    <x v="1099"/>
    <x v="1"/>
    <x v="1"/>
    <x v="6"/>
    <x v="201"/>
    <x v="1"/>
    <x v="1"/>
    <n v="7"/>
    <x v="1"/>
    <x v="1"/>
    <n v="10.5"/>
    <m/>
    <m/>
    <m/>
    <n v="21.99"/>
  </r>
  <r>
    <x v="1100"/>
    <x v="1"/>
    <x v="3"/>
    <x v="5"/>
    <x v="11"/>
    <x v="0"/>
    <x v="1"/>
    <n v="2"/>
    <x v="3"/>
    <x v="3"/>
    <n v="9"/>
    <m/>
    <m/>
    <m/>
    <n v="21.99"/>
  </r>
  <r>
    <x v="1101"/>
    <x v="2"/>
    <x v="3"/>
    <x v="254"/>
    <x v="232"/>
    <x v="2"/>
    <x v="4"/>
    <n v="0"/>
    <x v="2"/>
    <x v="3"/>
    <n v="9"/>
    <m/>
    <m/>
    <m/>
    <n v="84.73"/>
  </r>
  <r>
    <x v="1102"/>
    <x v="2"/>
    <x v="2"/>
    <x v="255"/>
    <x v="359"/>
    <x v="4"/>
    <x v="1"/>
    <n v="15"/>
    <x v="3"/>
    <x v="2"/>
    <n v="5"/>
    <m/>
    <m/>
    <m/>
    <n v="84.73"/>
  </r>
  <r>
    <x v="1103"/>
    <x v="0"/>
    <x v="4"/>
    <x v="256"/>
    <x v="273"/>
    <x v="5"/>
    <x v="1"/>
    <n v="5"/>
    <x v="0"/>
    <x v="4"/>
    <n v="12.5"/>
    <m/>
    <m/>
    <m/>
    <n v="37.979999999999997"/>
  </r>
  <r>
    <x v="1104"/>
    <x v="2"/>
    <x v="4"/>
    <x v="257"/>
    <x v="194"/>
    <x v="6"/>
    <x v="2"/>
    <n v="0"/>
    <x v="3"/>
    <x v="4"/>
    <n v="12.5"/>
    <m/>
    <m/>
    <m/>
    <n v="84.73"/>
  </r>
  <r>
    <x v="1105"/>
    <x v="2"/>
    <x v="2"/>
    <x v="258"/>
    <x v="329"/>
    <x v="3"/>
    <x v="4"/>
    <n v="0"/>
    <x v="3"/>
    <x v="2"/>
    <n v="5"/>
    <m/>
    <m/>
    <m/>
    <n v="84.73"/>
  </r>
  <r>
    <x v="1106"/>
    <x v="1"/>
    <x v="5"/>
    <x v="8"/>
    <x v="220"/>
    <x v="7"/>
    <x v="0"/>
    <n v="10"/>
    <x v="1"/>
    <x v="5"/>
    <n v="6"/>
    <m/>
    <m/>
    <m/>
    <n v="21.99"/>
  </r>
  <r>
    <x v="1107"/>
    <x v="1"/>
    <x v="1"/>
    <x v="6"/>
    <x v="314"/>
    <x v="8"/>
    <x v="4"/>
    <n v="0"/>
    <x v="1"/>
    <x v="1"/>
    <n v="10.5"/>
    <m/>
    <m/>
    <m/>
    <n v="21.99"/>
  </r>
  <r>
    <x v="1108"/>
    <x v="1"/>
    <x v="3"/>
    <x v="5"/>
    <x v="51"/>
    <x v="9"/>
    <x v="2"/>
    <n v="0"/>
    <x v="2"/>
    <x v="3"/>
    <n v="9"/>
    <m/>
    <m/>
    <m/>
    <n v="21.99"/>
  </r>
  <r>
    <x v="1109"/>
    <x v="1"/>
    <x v="2"/>
    <x v="4"/>
    <x v="131"/>
    <x v="10"/>
    <x v="1"/>
    <n v="19"/>
    <x v="0"/>
    <x v="2"/>
    <n v="5"/>
    <m/>
    <m/>
    <m/>
    <n v="21.99"/>
  </r>
  <r>
    <x v="1110"/>
    <x v="0"/>
    <x v="2"/>
    <x v="259"/>
    <x v="202"/>
    <x v="11"/>
    <x v="1"/>
    <n v="15"/>
    <x v="0"/>
    <x v="2"/>
    <n v="5"/>
    <m/>
    <m/>
    <m/>
    <n v="37.979999999999997"/>
  </r>
  <r>
    <x v="1111"/>
    <x v="1"/>
    <x v="2"/>
    <x v="4"/>
    <x v="328"/>
    <x v="1"/>
    <x v="1"/>
    <n v="19"/>
    <x v="3"/>
    <x v="2"/>
    <n v="5"/>
    <m/>
    <m/>
    <m/>
    <n v="21.99"/>
  </r>
  <r>
    <x v="1112"/>
    <x v="2"/>
    <x v="1"/>
    <x v="260"/>
    <x v="261"/>
    <x v="0"/>
    <x v="2"/>
    <n v="0"/>
    <x v="1"/>
    <x v="1"/>
    <n v="10.5"/>
    <m/>
    <m/>
    <m/>
    <n v="84.73"/>
  </r>
  <r>
    <x v="1113"/>
    <x v="1"/>
    <x v="1"/>
    <x v="6"/>
    <x v="2"/>
    <x v="2"/>
    <x v="1"/>
    <n v="8"/>
    <x v="0"/>
    <x v="1"/>
    <n v="10.5"/>
    <m/>
    <m/>
    <m/>
    <n v="21.99"/>
  </r>
  <r>
    <x v="1114"/>
    <x v="1"/>
    <x v="0"/>
    <x v="2"/>
    <x v="360"/>
    <x v="4"/>
    <x v="1"/>
    <n v="4"/>
    <x v="0"/>
    <x v="0"/>
    <n v="7"/>
    <m/>
    <m/>
    <m/>
    <n v="21.99"/>
  </r>
  <r>
    <x v="1115"/>
    <x v="0"/>
    <x v="5"/>
    <x v="261"/>
    <x v="109"/>
    <x v="5"/>
    <x v="1"/>
    <n v="10"/>
    <x v="2"/>
    <x v="5"/>
    <n v="6"/>
    <m/>
    <m/>
    <m/>
    <n v="37.979999999999997"/>
  </r>
  <r>
    <x v="1116"/>
    <x v="2"/>
    <x v="3"/>
    <x v="262"/>
    <x v="47"/>
    <x v="6"/>
    <x v="0"/>
    <n v="2"/>
    <x v="1"/>
    <x v="3"/>
    <n v="9"/>
    <m/>
    <m/>
    <m/>
    <n v="84.73"/>
  </r>
  <r>
    <x v="1117"/>
    <x v="2"/>
    <x v="3"/>
    <x v="263"/>
    <x v="361"/>
    <x v="3"/>
    <x v="1"/>
    <n v="3"/>
    <x v="3"/>
    <x v="3"/>
    <n v="9"/>
    <m/>
    <m/>
    <m/>
    <n v="84.73"/>
  </r>
  <r>
    <x v="1118"/>
    <x v="2"/>
    <x v="2"/>
    <x v="258"/>
    <x v="253"/>
    <x v="7"/>
    <x v="1"/>
    <n v="15"/>
    <x v="2"/>
    <x v="2"/>
    <n v="5"/>
    <m/>
    <m/>
    <m/>
    <n v="84.73"/>
  </r>
  <r>
    <x v="1119"/>
    <x v="1"/>
    <x v="3"/>
    <x v="5"/>
    <x v="253"/>
    <x v="8"/>
    <x v="2"/>
    <n v="0"/>
    <x v="2"/>
    <x v="3"/>
    <n v="9"/>
    <m/>
    <m/>
    <m/>
    <n v="21.99"/>
  </r>
  <r>
    <x v="1120"/>
    <x v="1"/>
    <x v="1"/>
    <x v="6"/>
    <x v="360"/>
    <x v="9"/>
    <x v="3"/>
    <n v="0"/>
    <x v="3"/>
    <x v="1"/>
    <n v="10.5"/>
    <m/>
    <m/>
    <m/>
    <n v="21.99"/>
  </r>
  <r>
    <x v="1121"/>
    <x v="0"/>
    <x v="5"/>
    <x v="101"/>
    <x v="332"/>
    <x v="10"/>
    <x v="1"/>
    <n v="15"/>
    <x v="2"/>
    <x v="5"/>
    <n v="6"/>
    <m/>
    <m/>
    <m/>
    <n v="37.979999999999997"/>
  </r>
  <r>
    <x v="1122"/>
    <x v="1"/>
    <x v="3"/>
    <x v="5"/>
    <x v="99"/>
    <x v="11"/>
    <x v="1"/>
    <n v="3"/>
    <x v="2"/>
    <x v="3"/>
    <n v="9"/>
    <m/>
    <m/>
    <m/>
    <n v="21.99"/>
  </r>
  <r>
    <x v="1123"/>
    <x v="1"/>
    <x v="3"/>
    <x v="5"/>
    <x v="11"/>
    <x v="1"/>
    <x v="1"/>
    <n v="2"/>
    <x v="3"/>
    <x v="3"/>
    <n v="9"/>
    <m/>
    <m/>
    <m/>
    <n v="21.99"/>
  </r>
  <r>
    <x v="1124"/>
    <x v="1"/>
    <x v="4"/>
    <x v="9"/>
    <x v="362"/>
    <x v="0"/>
    <x v="1"/>
    <n v="8"/>
    <x v="2"/>
    <x v="4"/>
    <n v="12.5"/>
    <m/>
    <m/>
    <m/>
    <n v="21.99"/>
  </r>
  <r>
    <x v="1125"/>
    <x v="1"/>
    <x v="3"/>
    <x v="5"/>
    <x v="131"/>
    <x v="2"/>
    <x v="3"/>
    <n v="0"/>
    <x v="2"/>
    <x v="3"/>
    <n v="9"/>
    <m/>
    <m/>
    <m/>
    <n v="21.99"/>
  </r>
  <r>
    <x v="1126"/>
    <x v="1"/>
    <x v="3"/>
    <x v="5"/>
    <x v="363"/>
    <x v="4"/>
    <x v="1"/>
    <n v="3"/>
    <x v="0"/>
    <x v="3"/>
    <n v="9"/>
    <m/>
    <m/>
    <m/>
    <n v="21.99"/>
  </r>
  <r>
    <x v="1127"/>
    <x v="1"/>
    <x v="5"/>
    <x v="8"/>
    <x v="323"/>
    <x v="5"/>
    <x v="3"/>
    <n v="0"/>
    <x v="3"/>
    <x v="5"/>
    <n v="6"/>
    <m/>
    <m/>
    <m/>
    <n v="21.99"/>
  </r>
  <r>
    <x v="1128"/>
    <x v="1"/>
    <x v="5"/>
    <x v="8"/>
    <x v="345"/>
    <x v="6"/>
    <x v="1"/>
    <n v="13"/>
    <x v="1"/>
    <x v="5"/>
    <n v="6"/>
    <m/>
    <m/>
    <m/>
    <n v="21.99"/>
  </r>
  <r>
    <x v="1129"/>
    <x v="1"/>
    <x v="2"/>
    <x v="4"/>
    <x v="85"/>
    <x v="3"/>
    <x v="0"/>
    <n v="18"/>
    <x v="3"/>
    <x v="2"/>
    <n v="5"/>
    <m/>
    <m/>
    <m/>
    <n v="21.99"/>
  </r>
  <r>
    <x v="1130"/>
    <x v="2"/>
    <x v="5"/>
    <x v="264"/>
    <x v="207"/>
    <x v="7"/>
    <x v="1"/>
    <n v="13"/>
    <x v="3"/>
    <x v="5"/>
    <n v="6"/>
    <m/>
    <m/>
    <m/>
    <n v="84.73"/>
  </r>
  <r>
    <x v="1131"/>
    <x v="1"/>
    <x v="1"/>
    <x v="6"/>
    <x v="181"/>
    <x v="8"/>
    <x v="3"/>
    <n v="0"/>
    <x v="1"/>
    <x v="1"/>
    <n v="10.5"/>
    <m/>
    <m/>
    <m/>
    <n v="21.99"/>
  </r>
  <r>
    <x v="1132"/>
    <x v="1"/>
    <x v="1"/>
    <x v="6"/>
    <x v="13"/>
    <x v="9"/>
    <x v="1"/>
    <n v="3"/>
    <x v="1"/>
    <x v="1"/>
    <n v="10.5"/>
    <m/>
    <m/>
    <m/>
    <n v="21.99"/>
  </r>
  <r>
    <x v="1133"/>
    <x v="1"/>
    <x v="4"/>
    <x v="9"/>
    <x v="66"/>
    <x v="10"/>
    <x v="0"/>
    <n v="6"/>
    <x v="2"/>
    <x v="4"/>
    <n v="12.5"/>
    <m/>
    <m/>
    <m/>
    <n v="21.99"/>
  </r>
  <r>
    <x v="1134"/>
    <x v="1"/>
    <x v="4"/>
    <x v="9"/>
    <x v="339"/>
    <x v="11"/>
    <x v="2"/>
    <n v="0"/>
    <x v="1"/>
    <x v="4"/>
    <n v="12.5"/>
    <m/>
    <m/>
    <m/>
    <n v="21.99"/>
  </r>
  <r>
    <x v="1135"/>
    <x v="2"/>
    <x v="3"/>
    <x v="265"/>
    <x v="140"/>
    <x v="1"/>
    <x v="1"/>
    <n v="3"/>
    <x v="2"/>
    <x v="3"/>
    <n v="9"/>
    <m/>
    <m/>
    <m/>
    <n v="84.73"/>
  </r>
  <r>
    <x v="1136"/>
    <x v="2"/>
    <x v="5"/>
    <x v="64"/>
    <x v="178"/>
    <x v="0"/>
    <x v="1"/>
    <n v="15"/>
    <x v="3"/>
    <x v="5"/>
    <n v="6"/>
    <m/>
    <m/>
    <m/>
    <n v="84.73"/>
  </r>
  <r>
    <x v="1137"/>
    <x v="1"/>
    <x v="0"/>
    <x v="2"/>
    <x v="139"/>
    <x v="2"/>
    <x v="2"/>
    <n v="0"/>
    <x v="0"/>
    <x v="0"/>
    <n v="7"/>
    <m/>
    <m/>
    <m/>
    <n v="21.99"/>
  </r>
  <r>
    <x v="1138"/>
    <x v="1"/>
    <x v="3"/>
    <x v="5"/>
    <x v="364"/>
    <x v="4"/>
    <x v="2"/>
    <n v="0"/>
    <x v="1"/>
    <x v="3"/>
    <n v="9"/>
    <m/>
    <m/>
    <m/>
    <n v="21.99"/>
  </r>
  <r>
    <x v="1139"/>
    <x v="2"/>
    <x v="4"/>
    <x v="7"/>
    <x v="21"/>
    <x v="5"/>
    <x v="1"/>
    <n v="7"/>
    <x v="1"/>
    <x v="4"/>
    <n v="12.5"/>
    <m/>
    <m/>
    <m/>
    <n v="84.73"/>
  </r>
  <r>
    <x v="1140"/>
    <x v="1"/>
    <x v="2"/>
    <x v="4"/>
    <x v="13"/>
    <x v="6"/>
    <x v="0"/>
    <n v="20"/>
    <x v="2"/>
    <x v="2"/>
    <n v="5"/>
    <m/>
    <m/>
    <m/>
    <n v="21.99"/>
  </r>
  <r>
    <x v="1141"/>
    <x v="1"/>
    <x v="0"/>
    <x v="2"/>
    <x v="40"/>
    <x v="3"/>
    <x v="3"/>
    <n v="0"/>
    <x v="1"/>
    <x v="0"/>
    <n v="7"/>
    <m/>
    <m/>
    <m/>
    <n v="21.99"/>
  </r>
  <r>
    <x v="1142"/>
    <x v="1"/>
    <x v="2"/>
    <x v="4"/>
    <x v="356"/>
    <x v="7"/>
    <x v="2"/>
    <n v="0"/>
    <x v="1"/>
    <x v="2"/>
    <n v="5"/>
    <m/>
    <m/>
    <m/>
    <n v="21.99"/>
  </r>
  <r>
    <x v="1143"/>
    <x v="0"/>
    <x v="1"/>
    <x v="266"/>
    <x v="199"/>
    <x v="8"/>
    <x v="1"/>
    <n v="2"/>
    <x v="0"/>
    <x v="1"/>
    <n v="10.5"/>
    <m/>
    <m/>
    <m/>
    <n v="37.979999999999997"/>
  </r>
  <r>
    <x v="1144"/>
    <x v="1"/>
    <x v="0"/>
    <x v="2"/>
    <x v="365"/>
    <x v="9"/>
    <x v="1"/>
    <n v="8"/>
    <x v="0"/>
    <x v="0"/>
    <n v="7"/>
    <m/>
    <m/>
    <m/>
    <n v="21.99"/>
  </r>
  <r>
    <x v="1145"/>
    <x v="1"/>
    <x v="4"/>
    <x v="9"/>
    <x v="73"/>
    <x v="10"/>
    <x v="1"/>
    <n v="11"/>
    <x v="1"/>
    <x v="4"/>
    <n v="12.5"/>
    <m/>
    <m/>
    <m/>
    <n v="21.99"/>
  </r>
  <r>
    <x v="1146"/>
    <x v="1"/>
    <x v="2"/>
    <x v="4"/>
    <x v="105"/>
    <x v="11"/>
    <x v="1"/>
    <n v="15"/>
    <x v="1"/>
    <x v="2"/>
    <n v="5"/>
    <m/>
    <m/>
    <m/>
    <n v="21.99"/>
  </r>
  <r>
    <x v="1147"/>
    <x v="1"/>
    <x v="4"/>
    <x v="9"/>
    <x v="61"/>
    <x v="1"/>
    <x v="0"/>
    <n v="7"/>
    <x v="0"/>
    <x v="4"/>
    <n v="12.5"/>
    <m/>
    <m/>
    <m/>
    <n v="21.99"/>
  </r>
  <r>
    <x v="1148"/>
    <x v="1"/>
    <x v="2"/>
    <x v="4"/>
    <x v="201"/>
    <x v="0"/>
    <x v="1"/>
    <n v="20"/>
    <x v="3"/>
    <x v="2"/>
    <n v="5"/>
    <m/>
    <m/>
    <m/>
    <n v="21.99"/>
  </r>
  <r>
    <x v="1149"/>
    <x v="1"/>
    <x v="0"/>
    <x v="2"/>
    <x v="341"/>
    <x v="2"/>
    <x v="1"/>
    <n v="3"/>
    <x v="1"/>
    <x v="0"/>
    <n v="7"/>
    <m/>
    <m/>
    <m/>
    <n v="21.99"/>
  </r>
  <r>
    <x v="1150"/>
    <x v="1"/>
    <x v="1"/>
    <x v="6"/>
    <x v="201"/>
    <x v="4"/>
    <x v="1"/>
    <n v="3"/>
    <x v="1"/>
    <x v="1"/>
    <n v="10.5"/>
    <m/>
    <m/>
    <m/>
    <n v="21.99"/>
  </r>
  <r>
    <x v="1151"/>
    <x v="1"/>
    <x v="1"/>
    <x v="6"/>
    <x v="186"/>
    <x v="5"/>
    <x v="0"/>
    <n v="3"/>
    <x v="1"/>
    <x v="1"/>
    <n v="10.5"/>
    <m/>
    <m/>
    <m/>
    <n v="21.99"/>
  </r>
  <r>
    <x v="1152"/>
    <x v="1"/>
    <x v="1"/>
    <x v="6"/>
    <x v="54"/>
    <x v="6"/>
    <x v="1"/>
    <n v="3"/>
    <x v="1"/>
    <x v="1"/>
    <n v="10.5"/>
    <m/>
    <m/>
    <m/>
    <n v="21.99"/>
  </r>
  <r>
    <x v="1153"/>
    <x v="0"/>
    <x v="2"/>
    <x v="267"/>
    <x v="366"/>
    <x v="3"/>
    <x v="1"/>
    <n v="20"/>
    <x v="1"/>
    <x v="2"/>
    <n v="5"/>
    <m/>
    <m/>
    <m/>
    <n v="37.979999999999997"/>
  </r>
  <r>
    <x v="1154"/>
    <x v="2"/>
    <x v="4"/>
    <x v="213"/>
    <x v="95"/>
    <x v="7"/>
    <x v="1"/>
    <n v="7"/>
    <x v="3"/>
    <x v="4"/>
    <n v="12.5"/>
    <m/>
    <m/>
    <m/>
    <n v="84.73"/>
  </r>
  <r>
    <x v="1155"/>
    <x v="1"/>
    <x v="1"/>
    <x v="6"/>
    <x v="156"/>
    <x v="8"/>
    <x v="1"/>
    <n v="2"/>
    <x v="0"/>
    <x v="1"/>
    <n v="10.5"/>
    <m/>
    <m/>
    <m/>
    <n v="21.99"/>
  </r>
  <r>
    <x v="1156"/>
    <x v="1"/>
    <x v="3"/>
    <x v="5"/>
    <x v="325"/>
    <x v="9"/>
    <x v="1"/>
    <n v="2"/>
    <x v="2"/>
    <x v="3"/>
    <n v="9"/>
    <m/>
    <m/>
    <m/>
    <n v="21.99"/>
  </r>
  <r>
    <x v="1157"/>
    <x v="1"/>
    <x v="4"/>
    <x v="9"/>
    <x v="109"/>
    <x v="10"/>
    <x v="1"/>
    <n v="7"/>
    <x v="2"/>
    <x v="4"/>
    <n v="12.5"/>
    <m/>
    <m/>
    <m/>
    <n v="21.99"/>
  </r>
  <r>
    <x v="1158"/>
    <x v="1"/>
    <x v="1"/>
    <x v="6"/>
    <x v="161"/>
    <x v="11"/>
    <x v="3"/>
    <n v="0"/>
    <x v="3"/>
    <x v="1"/>
    <n v="10.5"/>
    <m/>
    <m/>
    <m/>
    <n v="21.99"/>
  </r>
  <r>
    <x v="1159"/>
    <x v="2"/>
    <x v="2"/>
    <x v="268"/>
    <x v="66"/>
    <x v="1"/>
    <x v="1"/>
    <n v="18"/>
    <x v="1"/>
    <x v="2"/>
    <n v="5"/>
    <m/>
    <m/>
    <m/>
    <n v="84.73"/>
  </r>
  <r>
    <x v="1160"/>
    <x v="2"/>
    <x v="4"/>
    <x v="269"/>
    <x v="361"/>
    <x v="0"/>
    <x v="1"/>
    <n v="6"/>
    <x v="1"/>
    <x v="4"/>
    <n v="12.5"/>
    <m/>
    <m/>
    <m/>
    <n v="84.73"/>
  </r>
  <r>
    <x v="1161"/>
    <x v="1"/>
    <x v="5"/>
    <x v="8"/>
    <x v="367"/>
    <x v="2"/>
    <x v="3"/>
    <n v="0"/>
    <x v="1"/>
    <x v="5"/>
    <n v="6"/>
    <m/>
    <m/>
    <m/>
    <n v="21.99"/>
  </r>
  <r>
    <x v="1162"/>
    <x v="2"/>
    <x v="1"/>
    <x v="270"/>
    <x v="307"/>
    <x v="4"/>
    <x v="4"/>
    <n v="0"/>
    <x v="0"/>
    <x v="1"/>
    <n v="10.5"/>
    <m/>
    <m/>
    <m/>
    <n v="84.73"/>
  </r>
  <r>
    <x v="1163"/>
    <x v="1"/>
    <x v="1"/>
    <x v="6"/>
    <x v="11"/>
    <x v="5"/>
    <x v="1"/>
    <n v="2"/>
    <x v="1"/>
    <x v="1"/>
    <n v="10.5"/>
    <m/>
    <m/>
    <m/>
    <n v="21.99"/>
  </r>
  <r>
    <x v="1164"/>
    <x v="1"/>
    <x v="3"/>
    <x v="5"/>
    <x v="61"/>
    <x v="6"/>
    <x v="3"/>
    <n v="0"/>
    <x v="1"/>
    <x v="3"/>
    <n v="9"/>
    <m/>
    <m/>
    <m/>
    <n v="21.99"/>
  </r>
  <r>
    <x v="1165"/>
    <x v="2"/>
    <x v="5"/>
    <x v="271"/>
    <x v="263"/>
    <x v="3"/>
    <x v="1"/>
    <n v="12"/>
    <x v="1"/>
    <x v="5"/>
    <n v="6"/>
    <m/>
    <m/>
    <m/>
    <n v="84.73"/>
  </r>
  <r>
    <x v="1166"/>
    <x v="1"/>
    <x v="5"/>
    <x v="8"/>
    <x v="114"/>
    <x v="7"/>
    <x v="2"/>
    <n v="0"/>
    <x v="0"/>
    <x v="5"/>
    <n v="6"/>
    <m/>
    <m/>
    <m/>
    <n v="21.99"/>
  </r>
  <r>
    <x v="1167"/>
    <x v="1"/>
    <x v="5"/>
    <x v="8"/>
    <x v="368"/>
    <x v="8"/>
    <x v="0"/>
    <n v="17"/>
    <x v="1"/>
    <x v="5"/>
    <n v="6"/>
    <m/>
    <m/>
    <m/>
    <n v="21.99"/>
  </r>
  <r>
    <x v="1168"/>
    <x v="1"/>
    <x v="2"/>
    <x v="4"/>
    <x v="68"/>
    <x v="9"/>
    <x v="1"/>
    <n v="16"/>
    <x v="0"/>
    <x v="2"/>
    <n v="5"/>
    <m/>
    <m/>
    <m/>
    <n v="21.99"/>
  </r>
  <r>
    <x v="1169"/>
    <x v="1"/>
    <x v="4"/>
    <x v="9"/>
    <x v="315"/>
    <x v="10"/>
    <x v="1"/>
    <n v="6"/>
    <x v="1"/>
    <x v="4"/>
    <n v="12.5"/>
    <m/>
    <m/>
    <m/>
    <n v="21.99"/>
  </r>
  <r>
    <x v="1170"/>
    <x v="1"/>
    <x v="3"/>
    <x v="5"/>
    <x v="369"/>
    <x v="11"/>
    <x v="1"/>
    <n v="2"/>
    <x v="1"/>
    <x v="3"/>
    <n v="9"/>
    <m/>
    <m/>
    <m/>
    <n v="21.99"/>
  </r>
  <r>
    <x v="1171"/>
    <x v="1"/>
    <x v="2"/>
    <x v="4"/>
    <x v="343"/>
    <x v="1"/>
    <x v="1"/>
    <n v="20"/>
    <x v="2"/>
    <x v="2"/>
    <n v="5"/>
    <m/>
    <m/>
    <m/>
    <n v="21.99"/>
  </r>
  <r>
    <x v="1172"/>
    <x v="1"/>
    <x v="0"/>
    <x v="2"/>
    <x v="370"/>
    <x v="0"/>
    <x v="1"/>
    <n v="8"/>
    <x v="2"/>
    <x v="0"/>
    <n v="7"/>
    <m/>
    <m/>
    <m/>
    <n v="21.99"/>
  </r>
  <r>
    <x v="1173"/>
    <x v="2"/>
    <x v="5"/>
    <x v="272"/>
    <x v="371"/>
    <x v="2"/>
    <x v="1"/>
    <n v="20"/>
    <x v="2"/>
    <x v="5"/>
    <n v="6"/>
    <m/>
    <m/>
    <m/>
    <n v="84.73"/>
  </r>
  <r>
    <x v="1174"/>
    <x v="2"/>
    <x v="3"/>
    <x v="273"/>
    <x v="326"/>
    <x v="4"/>
    <x v="2"/>
    <n v="0"/>
    <x v="2"/>
    <x v="3"/>
    <n v="9"/>
    <m/>
    <m/>
    <m/>
    <n v="84.73"/>
  </r>
  <r>
    <x v="1175"/>
    <x v="1"/>
    <x v="3"/>
    <x v="5"/>
    <x v="297"/>
    <x v="5"/>
    <x v="3"/>
    <n v="0"/>
    <x v="2"/>
    <x v="3"/>
    <n v="9"/>
    <m/>
    <m/>
    <m/>
    <n v="21.99"/>
  </r>
  <r>
    <x v="1176"/>
    <x v="1"/>
    <x v="5"/>
    <x v="8"/>
    <x v="193"/>
    <x v="6"/>
    <x v="2"/>
    <n v="0"/>
    <x v="3"/>
    <x v="5"/>
    <n v="6"/>
    <m/>
    <m/>
    <m/>
    <n v="21.99"/>
  </r>
  <r>
    <x v="1177"/>
    <x v="2"/>
    <x v="4"/>
    <x v="274"/>
    <x v="44"/>
    <x v="3"/>
    <x v="1"/>
    <n v="6"/>
    <x v="2"/>
    <x v="4"/>
    <n v="12.5"/>
    <m/>
    <m/>
    <m/>
    <n v="84.73"/>
  </r>
  <r>
    <x v="1178"/>
    <x v="2"/>
    <x v="1"/>
    <x v="275"/>
    <x v="182"/>
    <x v="7"/>
    <x v="1"/>
    <n v="6"/>
    <x v="1"/>
    <x v="1"/>
    <n v="10.5"/>
    <m/>
    <m/>
    <m/>
    <n v="84.73"/>
  </r>
  <r>
    <x v="1179"/>
    <x v="1"/>
    <x v="4"/>
    <x v="9"/>
    <x v="235"/>
    <x v="8"/>
    <x v="4"/>
    <n v="0"/>
    <x v="1"/>
    <x v="4"/>
    <n v="12.5"/>
    <m/>
    <m/>
    <m/>
    <n v="21.99"/>
  </r>
  <r>
    <x v="1180"/>
    <x v="1"/>
    <x v="5"/>
    <x v="8"/>
    <x v="372"/>
    <x v="9"/>
    <x v="2"/>
    <n v="0"/>
    <x v="2"/>
    <x v="5"/>
    <n v="6"/>
    <m/>
    <m/>
    <m/>
    <n v="21.99"/>
  </r>
  <r>
    <x v="1181"/>
    <x v="1"/>
    <x v="0"/>
    <x v="2"/>
    <x v="57"/>
    <x v="10"/>
    <x v="1"/>
    <n v="3"/>
    <x v="0"/>
    <x v="0"/>
    <n v="7"/>
    <m/>
    <m/>
    <m/>
    <n v="21.99"/>
  </r>
  <r>
    <x v="1182"/>
    <x v="2"/>
    <x v="0"/>
    <x v="159"/>
    <x v="33"/>
    <x v="11"/>
    <x v="3"/>
    <n v="0"/>
    <x v="1"/>
    <x v="0"/>
    <n v="7"/>
    <m/>
    <m/>
    <m/>
    <n v="84.73"/>
  </r>
  <r>
    <x v="1183"/>
    <x v="1"/>
    <x v="1"/>
    <x v="6"/>
    <x v="80"/>
    <x v="1"/>
    <x v="1"/>
    <n v="2"/>
    <x v="2"/>
    <x v="1"/>
    <n v="10.5"/>
    <m/>
    <m/>
    <m/>
    <n v="21.99"/>
  </r>
  <r>
    <x v="1184"/>
    <x v="1"/>
    <x v="5"/>
    <x v="8"/>
    <x v="12"/>
    <x v="0"/>
    <x v="2"/>
    <n v="0"/>
    <x v="0"/>
    <x v="5"/>
    <n v="6"/>
    <m/>
    <m/>
    <m/>
    <n v="21.99"/>
  </r>
  <r>
    <x v="1185"/>
    <x v="2"/>
    <x v="3"/>
    <x v="276"/>
    <x v="200"/>
    <x v="2"/>
    <x v="1"/>
    <n v="3"/>
    <x v="2"/>
    <x v="3"/>
    <n v="9"/>
    <m/>
    <m/>
    <m/>
    <n v="84.73"/>
  </r>
  <r>
    <x v="1186"/>
    <x v="1"/>
    <x v="2"/>
    <x v="4"/>
    <x v="260"/>
    <x v="4"/>
    <x v="3"/>
    <n v="0"/>
    <x v="3"/>
    <x v="2"/>
    <n v="5"/>
    <m/>
    <m/>
    <m/>
    <n v="21.99"/>
  </r>
  <r>
    <x v="1187"/>
    <x v="1"/>
    <x v="1"/>
    <x v="6"/>
    <x v="164"/>
    <x v="5"/>
    <x v="1"/>
    <n v="6"/>
    <x v="1"/>
    <x v="1"/>
    <n v="10.5"/>
    <m/>
    <m/>
    <m/>
    <n v="21.99"/>
  </r>
  <r>
    <x v="1188"/>
    <x v="1"/>
    <x v="3"/>
    <x v="5"/>
    <x v="231"/>
    <x v="6"/>
    <x v="1"/>
    <n v="3"/>
    <x v="3"/>
    <x v="3"/>
    <n v="9"/>
    <m/>
    <m/>
    <m/>
    <n v="21.99"/>
  </r>
  <r>
    <x v="1189"/>
    <x v="2"/>
    <x v="0"/>
    <x v="223"/>
    <x v="264"/>
    <x v="3"/>
    <x v="1"/>
    <n v="3"/>
    <x v="2"/>
    <x v="0"/>
    <n v="7"/>
    <m/>
    <m/>
    <m/>
    <n v="84.73"/>
  </r>
  <r>
    <x v="1190"/>
    <x v="1"/>
    <x v="0"/>
    <x v="2"/>
    <x v="373"/>
    <x v="7"/>
    <x v="1"/>
    <n v="3"/>
    <x v="3"/>
    <x v="0"/>
    <n v="7"/>
    <m/>
    <m/>
    <m/>
    <n v="21.99"/>
  </r>
  <r>
    <x v="1191"/>
    <x v="0"/>
    <x v="4"/>
    <x v="241"/>
    <x v="338"/>
    <x v="8"/>
    <x v="3"/>
    <n v="0"/>
    <x v="0"/>
    <x v="4"/>
    <n v="12.5"/>
    <m/>
    <m/>
    <m/>
    <n v="37.979999999999997"/>
  </r>
  <r>
    <x v="1192"/>
    <x v="2"/>
    <x v="3"/>
    <x v="277"/>
    <x v="323"/>
    <x v="9"/>
    <x v="2"/>
    <n v="0"/>
    <x v="3"/>
    <x v="3"/>
    <n v="9"/>
    <m/>
    <m/>
    <m/>
    <n v="84.73"/>
  </r>
  <r>
    <x v="1193"/>
    <x v="1"/>
    <x v="1"/>
    <x v="6"/>
    <x v="294"/>
    <x v="10"/>
    <x v="1"/>
    <n v="2"/>
    <x v="2"/>
    <x v="1"/>
    <n v="10.5"/>
    <m/>
    <m/>
    <m/>
    <n v="21.99"/>
  </r>
  <r>
    <x v="1194"/>
    <x v="1"/>
    <x v="1"/>
    <x v="6"/>
    <x v="340"/>
    <x v="11"/>
    <x v="1"/>
    <n v="2"/>
    <x v="3"/>
    <x v="1"/>
    <n v="10.5"/>
    <m/>
    <m/>
    <m/>
    <n v="21.99"/>
  </r>
  <r>
    <x v="1195"/>
    <x v="1"/>
    <x v="1"/>
    <x v="6"/>
    <x v="283"/>
    <x v="1"/>
    <x v="2"/>
    <n v="0"/>
    <x v="0"/>
    <x v="1"/>
    <n v="10.5"/>
    <m/>
    <m/>
    <m/>
    <n v="21.99"/>
  </r>
  <r>
    <x v="1196"/>
    <x v="2"/>
    <x v="3"/>
    <x v="278"/>
    <x v="374"/>
    <x v="0"/>
    <x v="1"/>
    <n v="2"/>
    <x v="1"/>
    <x v="3"/>
    <n v="9"/>
    <m/>
    <m/>
    <m/>
    <n v="84.73"/>
  </r>
  <r>
    <x v="1197"/>
    <x v="1"/>
    <x v="1"/>
    <x v="6"/>
    <x v="181"/>
    <x v="2"/>
    <x v="1"/>
    <n v="2"/>
    <x v="3"/>
    <x v="1"/>
    <n v="10.5"/>
    <m/>
    <m/>
    <m/>
    <n v="21.99"/>
  </r>
  <r>
    <x v="1198"/>
    <x v="1"/>
    <x v="0"/>
    <x v="2"/>
    <x v="26"/>
    <x v="4"/>
    <x v="0"/>
    <n v="2"/>
    <x v="1"/>
    <x v="0"/>
    <n v="7"/>
    <m/>
    <m/>
    <m/>
    <n v="21.99"/>
  </r>
  <r>
    <x v="1199"/>
    <x v="1"/>
    <x v="2"/>
    <x v="4"/>
    <x v="10"/>
    <x v="5"/>
    <x v="1"/>
    <n v="17"/>
    <x v="2"/>
    <x v="2"/>
    <n v="5"/>
    <m/>
    <m/>
    <m/>
    <n v="21.99"/>
  </r>
  <r>
    <x v="1200"/>
    <x v="1"/>
    <x v="4"/>
    <x v="9"/>
    <x v="375"/>
    <x v="6"/>
    <x v="1"/>
    <n v="7"/>
    <x v="3"/>
    <x v="4"/>
    <n v="12.5"/>
    <m/>
    <m/>
    <m/>
    <n v="21.99"/>
  </r>
  <r>
    <x v="1201"/>
    <x v="1"/>
    <x v="2"/>
    <x v="4"/>
    <x v="191"/>
    <x v="3"/>
    <x v="1"/>
    <n v="19"/>
    <x v="0"/>
    <x v="2"/>
    <n v="5"/>
    <m/>
    <m/>
    <m/>
    <n v="21.99"/>
  </r>
  <r>
    <x v="1202"/>
    <x v="0"/>
    <x v="5"/>
    <x v="279"/>
    <x v="95"/>
    <x v="7"/>
    <x v="2"/>
    <n v="0"/>
    <x v="1"/>
    <x v="5"/>
    <n v="6"/>
    <m/>
    <m/>
    <m/>
    <n v="37.979999999999997"/>
  </r>
  <r>
    <x v="1203"/>
    <x v="2"/>
    <x v="3"/>
    <x v="280"/>
    <x v="282"/>
    <x v="8"/>
    <x v="1"/>
    <n v="7"/>
    <x v="0"/>
    <x v="3"/>
    <n v="9"/>
    <m/>
    <m/>
    <m/>
    <n v="84.73"/>
  </r>
  <r>
    <x v="1204"/>
    <x v="1"/>
    <x v="2"/>
    <x v="4"/>
    <x v="376"/>
    <x v="9"/>
    <x v="1"/>
    <n v="16"/>
    <x v="0"/>
    <x v="2"/>
    <n v="5"/>
    <m/>
    <m/>
    <m/>
    <n v="21.99"/>
  </r>
  <r>
    <x v="1205"/>
    <x v="1"/>
    <x v="5"/>
    <x v="8"/>
    <x v="180"/>
    <x v="10"/>
    <x v="1"/>
    <n v="18"/>
    <x v="0"/>
    <x v="5"/>
    <n v="6"/>
    <m/>
    <m/>
    <m/>
    <n v="21.99"/>
  </r>
  <r>
    <x v="1206"/>
    <x v="1"/>
    <x v="0"/>
    <x v="2"/>
    <x v="377"/>
    <x v="11"/>
    <x v="1"/>
    <n v="2"/>
    <x v="3"/>
    <x v="0"/>
    <n v="7"/>
    <m/>
    <m/>
    <m/>
    <n v="21.99"/>
  </r>
  <r>
    <x v="1207"/>
    <x v="2"/>
    <x v="1"/>
    <x v="281"/>
    <x v="378"/>
    <x v="1"/>
    <x v="2"/>
    <n v="0"/>
    <x v="2"/>
    <x v="1"/>
    <n v="10.5"/>
    <m/>
    <m/>
    <m/>
    <n v="84.73"/>
  </r>
  <r>
    <x v="1208"/>
    <x v="1"/>
    <x v="0"/>
    <x v="2"/>
    <x v="40"/>
    <x v="0"/>
    <x v="2"/>
    <n v="0"/>
    <x v="1"/>
    <x v="0"/>
    <n v="7"/>
    <m/>
    <m/>
    <m/>
    <n v="21.99"/>
  </r>
  <r>
    <x v="1209"/>
    <x v="0"/>
    <x v="2"/>
    <x v="244"/>
    <x v="173"/>
    <x v="2"/>
    <x v="4"/>
    <n v="0"/>
    <x v="1"/>
    <x v="2"/>
    <n v="5"/>
    <m/>
    <m/>
    <m/>
    <n v="37.979999999999997"/>
  </r>
  <r>
    <x v="1210"/>
    <x v="1"/>
    <x v="5"/>
    <x v="8"/>
    <x v="104"/>
    <x v="4"/>
    <x v="1"/>
    <n v="10"/>
    <x v="0"/>
    <x v="5"/>
    <n v="6"/>
    <m/>
    <m/>
    <m/>
    <n v="21.99"/>
  </r>
  <r>
    <x v="1211"/>
    <x v="1"/>
    <x v="3"/>
    <x v="5"/>
    <x v="77"/>
    <x v="5"/>
    <x v="1"/>
    <n v="3"/>
    <x v="0"/>
    <x v="3"/>
    <n v="9"/>
    <m/>
    <m/>
    <m/>
    <n v="21.99"/>
  </r>
  <r>
    <x v="1212"/>
    <x v="0"/>
    <x v="0"/>
    <x v="282"/>
    <x v="157"/>
    <x v="6"/>
    <x v="1"/>
    <n v="2"/>
    <x v="1"/>
    <x v="0"/>
    <n v="7"/>
    <m/>
    <m/>
    <m/>
    <n v="37.979999999999997"/>
  </r>
  <r>
    <x v="1213"/>
    <x v="2"/>
    <x v="5"/>
    <x v="283"/>
    <x v="175"/>
    <x v="3"/>
    <x v="1"/>
    <n v="10"/>
    <x v="0"/>
    <x v="5"/>
    <n v="6"/>
    <m/>
    <m/>
    <m/>
    <n v="84.73"/>
  </r>
  <r>
    <x v="1214"/>
    <x v="1"/>
    <x v="5"/>
    <x v="8"/>
    <x v="25"/>
    <x v="7"/>
    <x v="1"/>
    <n v="10"/>
    <x v="2"/>
    <x v="5"/>
    <n v="6"/>
    <m/>
    <m/>
    <m/>
    <n v="21.99"/>
  </r>
  <r>
    <x v="1215"/>
    <x v="1"/>
    <x v="1"/>
    <x v="6"/>
    <x v="173"/>
    <x v="8"/>
    <x v="1"/>
    <n v="2"/>
    <x v="0"/>
    <x v="1"/>
    <n v="10.5"/>
    <m/>
    <m/>
    <m/>
    <n v="21.99"/>
  </r>
  <r>
    <x v="1216"/>
    <x v="1"/>
    <x v="5"/>
    <x v="8"/>
    <x v="379"/>
    <x v="9"/>
    <x v="1"/>
    <n v="16"/>
    <x v="2"/>
    <x v="5"/>
    <n v="6"/>
    <m/>
    <m/>
    <m/>
    <n v="21.99"/>
  </r>
  <r>
    <x v="1217"/>
    <x v="1"/>
    <x v="1"/>
    <x v="6"/>
    <x v="281"/>
    <x v="10"/>
    <x v="1"/>
    <n v="3"/>
    <x v="3"/>
    <x v="1"/>
    <n v="10.5"/>
    <m/>
    <m/>
    <m/>
    <n v="21.99"/>
  </r>
  <r>
    <x v="1218"/>
    <x v="2"/>
    <x v="5"/>
    <x v="284"/>
    <x v="13"/>
    <x v="11"/>
    <x v="2"/>
    <n v="0"/>
    <x v="3"/>
    <x v="5"/>
    <n v="6"/>
    <m/>
    <m/>
    <m/>
    <n v="84.73"/>
  </r>
  <r>
    <x v="1219"/>
    <x v="1"/>
    <x v="5"/>
    <x v="8"/>
    <x v="127"/>
    <x v="1"/>
    <x v="2"/>
    <n v="0"/>
    <x v="3"/>
    <x v="5"/>
    <n v="6"/>
    <m/>
    <m/>
    <m/>
    <n v="21.99"/>
  </r>
  <r>
    <x v="1220"/>
    <x v="1"/>
    <x v="2"/>
    <x v="4"/>
    <x v="339"/>
    <x v="0"/>
    <x v="1"/>
    <n v="16"/>
    <x v="3"/>
    <x v="2"/>
    <n v="5"/>
    <m/>
    <m/>
    <m/>
    <n v="21.99"/>
  </r>
  <r>
    <x v="1221"/>
    <x v="1"/>
    <x v="3"/>
    <x v="5"/>
    <x v="147"/>
    <x v="2"/>
    <x v="1"/>
    <n v="2"/>
    <x v="0"/>
    <x v="3"/>
    <n v="9"/>
    <m/>
    <m/>
    <m/>
    <n v="21.99"/>
  </r>
  <r>
    <x v="1222"/>
    <x v="2"/>
    <x v="4"/>
    <x v="285"/>
    <x v="367"/>
    <x v="4"/>
    <x v="1"/>
    <n v="6"/>
    <x v="3"/>
    <x v="4"/>
    <n v="12.5"/>
    <m/>
    <m/>
    <m/>
    <n v="84.73"/>
  </r>
  <r>
    <x v="1223"/>
    <x v="1"/>
    <x v="2"/>
    <x v="4"/>
    <x v="96"/>
    <x v="5"/>
    <x v="3"/>
    <n v="0"/>
    <x v="1"/>
    <x v="2"/>
    <n v="5"/>
    <m/>
    <m/>
    <m/>
    <n v="21.99"/>
  </r>
  <r>
    <x v="1224"/>
    <x v="0"/>
    <x v="4"/>
    <x v="286"/>
    <x v="35"/>
    <x v="6"/>
    <x v="3"/>
    <n v="0"/>
    <x v="0"/>
    <x v="4"/>
    <n v="12.5"/>
    <m/>
    <m/>
    <m/>
    <n v="37.979999999999997"/>
  </r>
  <r>
    <x v="1225"/>
    <x v="1"/>
    <x v="2"/>
    <x v="4"/>
    <x v="15"/>
    <x v="3"/>
    <x v="1"/>
    <n v="17"/>
    <x v="3"/>
    <x v="2"/>
    <n v="5"/>
    <m/>
    <m/>
    <m/>
    <n v="21.99"/>
  </r>
  <r>
    <x v="1226"/>
    <x v="0"/>
    <x v="0"/>
    <x v="287"/>
    <x v="3"/>
    <x v="7"/>
    <x v="3"/>
    <n v="0"/>
    <x v="2"/>
    <x v="0"/>
    <n v="7"/>
    <m/>
    <m/>
    <m/>
    <n v="37.979999999999997"/>
  </r>
  <r>
    <x v="1227"/>
    <x v="2"/>
    <x v="4"/>
    <x v="288"/>
    <x v="380"/>
    <x v="8"/>
    <x v="1"/>
    <n v="5"/>
    <x v="0"/>
    <x v="4"/>
    <n v="12.5"/>
    <m/>
    <m/>
    <m/>
    <n v="84.73"/>
  </r>
  <r>
    <x v="1228"/>
    <x v="0"/>
    <x v="0"/>
    <x v="289"/>
    <x v="127"/>
    <x v="9"/>
    <x v="1"/>
    <n v="2"/>
    <x v="2"/>
    <x v="0"/>
    <n v="7"/>
    <m/>
    <m/>
    <m/>
    <n v="37.979999999999997"/>
  </r>
  <r>
    <x v="1229"/>
    <x v="1"/>
    <x v="5"/>
    <x v="8"/>
    <x v="271"/>
    <x v="10"/>
    <x v="3"/>
    <n v="0"/>
    <x v="2"/>
    <x v="5"/>
    <n v="6"/>
    <m/>
    <m/>
    <m/>
    <n v="21.99"/>
  </r>
  <r>
    <x v="1230"/>
    <x v="1"/>
    <x v="0"/>
    <x v="2"/>
    <x v="316"/>
    <x v="11"/>
    <x v="2"/>
    <n v="0"/>
    <x v="0"/>
    <x v="0"/>
    <n v="7"/>
    <m/>
    <m/>
    <m/>
    <n v="21.99"/>
  </r>
  <r>
    <x v="1231"/>
    <x v="1"/>
    <x v="5"/>
    <x v="8"/>
    <x v="381"/>
    <x v="1"/>
    <x v="4"/>
    <n v="0"/>
    <x v="0"/>
    <x v="5"/>
    <n v="6"/>
    <m/>
    <m/>
    <m/>
    <n v="21.99"/>
  </r>
  <r>
    <x v="1232"/>
    <x v="1"/>
    <x v="5"/>
    <x v="8"/>
    <x v="131"/>
    <x v="0"/>
    <x v="2"/>
    <n v="0"/>
    <x v="1"/>
    <x v="5"/>
    <n v="6"/>
    <m/>
    <m/>
    <m/>
    <n v="21.99"/>
  </r>
  <r>
    <x v="1233"/>
    <x v="2"/>
    <x v="1"/>
    <x v="290"/>
    <x v="382"/>
    <x v="2"/>
    <x v="1"/>
    <n v="2"/>
    <x v="0"/>
    <x v="1"/>
    <n v="10.5"/>
    <m/>
    <m/>
    <m/>
    <n v="84.73"/>
  </r>
  <r>
    <x v="1234"/>
    <x v="1"/>
    <x v="5"/>
    <x v="8"/>
    <x v="383"/>
    <x v="4"/>
    <x v="2"/>
    <n v="0"/>
    <x v="2"/>
    <x v="5"/>
    <n v="6"/>
    <m/>
    <m/>
    <m/>
    <n v="21.99"/>
  </r>
  <r>
    <x v="1235"/>
    <x v="0"/>
    <x v="5"/>
    <x v="154"/>
    <x v="218"/>
    <x v="5"/>
    <x v="3"/>
    <n v="0"/>
    <x v="2"/>
    <x v="5"/>
    <n v="6"/>
    <m/>
    <m/>
    <m/>
    <n v="37.979999999999997"/>
  </r>
  <r>
    <x v="1236"/>
    <x v="1"/>
    <x v="0"/>
    <x v="2"/>
    <x v="274"/>
    <x v="6"/>
    <x v="1"/>
    <n v="2"/>
    <x v="2"/>
    <x v="0"/>
    <n v="7"/>
    <m/>
    <m/>
    <m/>
    <n v="21.99"/>
  </r>
  <r>
    <x v="1237"/>
    <x v="1"/>
    <x v="4"/>
    <x v="9"/>
    <x v="284"/>
    <x v="3"/>
    <x v="0"/>
    <n v="8"/>
    <x v="2"/>
    <x v="4"/>
    <n v="12.5"/>
    <m/>
    <m/>
    <m/>
    <n v="21.99"/>
  </r>
  <r>
    <x v="1238"/>
    <x v="0"/>
    <x v="4"/>
    <x v="291"/>
    <x v="179"/>
    <x v="7"/>
    <x v="1"/>
    <n v="10"/>
    <x v="2"/>
    <x v="4"/>
    <n v="12.5"/>
    <m/>
    <m/>
    <m/>
    <n v="37.979999999999997"/>
  </r>
  <r>
    <x v="1239"/>
    <x v="1"/>
    <x v="0"/>
    <x v="2"/>
    <x v="347"/>
    <x v="8"/>
    <x v="0"/>
    <n v="2"/>
    <x v="2"/>
    <x v="0"/>
    <n v="7"/>
    <m/>
    <m/>
    <m/>
    <n v="21.99"/>
  </r>
  <r>
    <x v="1240"/>
    <x v="0"/>
    <x v="4"/>
    <x v="292"/>
    <x v="28"/>
    <x v="9"/>
    <x v="4"/>
    <n v="0"/>
    <x v="0"/>
    <x v="4"/>
    <n v="12.5"/>
    <m/>
    <m/>
    <m/>
    <n v="37.979999999999997"/>
  </r>
  <r>
    <x v="1241"/>
    <x v="2"/>
    <x v="5"/>
    <x v="293"/>
    <x v="384"/>
    <x v="10"/>
    <x v="4"/>
    <n v="0"/>
    <x v="0"/>
    <x v="5"/>
    <n v="6"/>
    <m/>
    <m/>
    <m/>
    <n v="84.73"/>
  </r>
  <r>
    <x v="1242"/>
    <x v="1"/>
    <x v="1"/>
    <x v="6"/>
    <x v="39"/>
    <x v="11"/>
    <x v="0"/>
    <n v="2"/>
    <x v="2"/>
    <x v="1"/>
    <n v="10.5"/>
    <m/>
    <m/>
    <m/>
    <n v="21.99"/>
  </r>
  <r>
    <x v="1243"/>
    <x v="1"/>
    <x v="2"/>
    <x v="4"/>
    <x v="60"/>
    <x v="1"/>
    <x v="1"/>
    <n v="17"/>
    <x v="3"/>
    <x v="2"/>
    <n v="5"/>
    <m/>
    <m/>
    <m/>
    <n v="21.99"/>
  </r>
  <r>
    <x v="1244"/>
    <x v="1"/>
    <x v="4"/>
    <x v="9"/>
    <x v="13"/>
    <x v="0"/>
    <x v="1"/>
    <n v="5"/>
    <x v="1"/>
    <x v="4"/>
    <n v="12.5"/>
    <m/>
    <m/>
    <m/>
    <n v="21.99"/>
  </r>
  <r>
    <x v="1245"/>
    <x v="1"/>
    <x v="2"/>
    <x v="4"/>
    <x v="258"/>
    <x v="2"/>
    <x v="1"/>
    <n v="17"/>
    <x v="3"/>
    <x v="2"/>
    <n v="5"/>
    <m/>
    <m/>
    <m/>
    <n v="21.99"/>
  </r>
  <r>
    <x v="1246"/>
    <x v="1"/>
    <x v="3"/>
    <x v="5"/>
    <x v="194"/>
    <x v="4"/>
    <x v="2"/>
    <n v="0"/>
    <x v="0"/>
    <x v="3"/>
    <n v="9"/>
    <m/>
    <m/>
    <m/>
    <n v="21.99"/>
  </r>
  <r>
    <x v="1247"/>
    <x v="1"/>
    <x v="4"/>
    <x v="9"/>
    <x v="128"/>
    <x v="5"/>
    <x v="1"/>
    <n v="12"/>
    <x v="1"/>
    <x v="4"/>
    <n v="12.5"/>
    <m/>
    <m/>
    <m/>
    <n v="21.99"/>
  </r>
  <r>
    <x v="1248"/>
    <x v="1"/>
    <x v="5"/>
    <x v="8"/>
    <x v="90"/>
    <x v="6"/>
    <x v="1"/>
    <n v="19"/>
    <x v="0"/>
    <x v="5"/>
    <n v="6"/>
    <m/>
    <m/>
    <m/>
    <n v="21.99"/>
  </r>
  <r>
    <x v="1249"/>
    <x v="1"/>
    <x v="1"/>
    <x v="6"/>
    <x v="108"/>
    <x v="3"/>
    <x v="1"/>
    <n v="3"/>
    <x v="3"/>
    <x v="1"/>
    <n v="10.5"/>
    <m/>
    <m/>
    <m/>
    <n v="21.99"/>
  </r>
  <r>
    <x v="1250"/>
    <x v="1"/>
    <x v="2"/>
    <x v="4"/>
    <x v="251"/>
    <x v="7"/>
    <x v="0"/>
    <n v="24"/>
    <x v="0"/>
    <x v="2"/>
    <n v="5"/>
    <m/>
    <m/>
    <m/>
    <n v="21.99"/>
  </r>
  <r>
    <x v="1251"/>
    <x v="1"/>
    <x v="0"/>
    <x v="2"/>
    <x v="199"/>
    <x v="8"/>
    <x v="1"/>
    <n v="2"/>
    <x v="0"/>
    <x v="0"/>
    <n v="7"/>
    <m/>
    <m/>
    <m/>
    <n v="21.99"/>
  </r>
  <r>
    <x v="1252"/>
    <x v="1"/>
    <x v="2"/>
    <x v="4"/>
    <x v="294"/>
    <x v="9"/>
    <x v="1"/>
    <n v="16"/>
    <x v="1"/>
    <x v="2"/>
    <n v="5"/>
    <m/>
    <m/>
    <m/>
    <n v="21.99"/>
  </r>
  <r>
    <x v="1253"/>
    <x v="1"/>
    <x v="0"/>
    <x v="2"/>
    <x v="139"/>
    <x v="10"/>
    <x v="3"/>
    <n v="0"/>
    <x v="2"/>
    <x v="0"/>
    <n v="7"/>
    <m/>
    <m/>
    <m/>
    <n v="21.99"/>
  </r>
  <r>
    <x v="1254"/>
    <x v="0"/>
    <x v="3"/>
    <x v="294"/>
    <x v="238"/>
    <x v="11"/>
    <x v="2"/>
    <n v="0"/>
    <x v="3"/>
    <x v="3"/>
    <n v="9"/>
    <m/>
    <m/>
    <m/>
    <n v="37.979999999999997"/>
  </r>
  <r>
    <x v="1255"/>
    <x v="1"/>
    <x v="3"/>
    <x v="5"/>
    <x v="385"/>
    <x v="1"/>
    <x v="1"/>
    <n v="2"/>
    <x v="1"/>
    <x v="3"/>
    <n v="9"/>
    <m/>
    <m/>
    <m/>
    <n v="21.99"/>
  </r>
  <r>
    <x v="1256"/>
    <x v="1"/>
    <x v="0"/>
    <x v="2"/>
    <x v="142"/>
    <x v="0"/>
    <x v="1"/>
    <n v="3"/>
    <x v="2"/>
    <x v="0"/>
    <n v="7"/>
    <m/>
    <m/>
    <m/>
    <n v="21.99"/>
  </r>
  <r>
    <x v="1257"/>
    <x v="0"/>
    <x v="1"/>
    <x v="295"/>
    <x v="65"/>
    <x v="2"/>
    <x v="4"/>
    <n v="0"/>
    <x v="0"/>
    <x v="1"/>
    <n v="10.5"/>
    <m/>
    <m/>
    <m/>
    <n v="37.979999999999997"/>
  </r>
  <r>
    <x v="1258"/>
    <x v="1"/>
    <x v="2"/>
    <x v="4"/>
    <x v="386"/>
    <x v="4"/>
    <x v="2"/>
    <n v="0"/>
    <x v="0"/>
    <x v="2"/>
    <n v="5"/>
    <m/>
    <m/>
    <m/>
    <n v="21.99"/>
  </r>
  <r>
    <x v="1259"/>
    <x v="1"/>
    <x v="3"/>
    <x v="5"/>
    <x v="11"/>
    <x v="5"/>
    <x v="1"/>
    <n v="3"/>
    <x v="0"/>
    <x v="3"/>
    <n v="9"/>
    <m/>
    <m/>
    <m/>
    <n v="21.99"/>
  </r>
  <r>
    <x v="1260"/>
    <x v="2"/>
    <x v="4"/>
    <x v="296"/>
    <x v="247"/>
    <x v="6"/>
    <x v="4"/>
    <n v="0"/>
    <x v="2"/>
    <x v="4"/>
    <n v="12.5"/>
    <m/>
    <m/>
    <m/>
    <n v="84.73"/>
  </r>
  <r>
    <x v="1261"/>
    <x v="1"/>
    <x v="3"/>
    <x v="5"/>
    <x v="120"/>
    <x v="3"/>
    <x v="1"/>
    <n v="2"/>
    <x v="1"/>
    <x v="3"/>
    <n v="9"/>
    <m/>
    <m/>
    <m/>
    <n v="21.99"/>
  </r>
  <r>
    <x v="1262"/>
    <x v="0"/>
    <x v="5"/>
    <x v="111"/>
    <x v="147"/>
    <x v="7"/>
    <x v="2"/>
    <n v="0"/>
    <x v="3"/>
    <x v="5"/>
    <n v="6"/>
    <m/>
    <m/>
    <m/>
    <n v="37.979999999999997"/>
  </r>
  <r>
    <x v="1263"/>
    <x v="2"/>
    <x v="5"/>
    <x v="297"/>
    <x v="253"/>
    <x v="8"/>
    <x v="0"/>
    <n v="20"/>
    <x v="1"/>
    <x v="5"/>
    <n v="6"/>
    <m/>
    <m/>
    <m/>
    <n v="84.73"/>
  </r>
  <r>
    <x v="1264"/>
    <x v="1"/>
    <x v="5"/>
    <x v="8"/>
    <x v="328"/>
    <x v="9"/>
    <x v="1"/>
    <n v="13"/>
    <x v="3"/>
    <x v="5"/>
    <n v="6"/>
    <m/>
    <m/>
    <m/>
    <n v="21.99"/>
  </r>
  <r>
    <x v="1265"/>
    <x v="1"/>
    <x v="1"/>
    <x v="6"/>
    <x v="387"/>
    <x v="10"/>
    <x v="1"/>
    <n v="3"/>
    <x v="3"/>
    <x v="1"/>
    <n v="10.5"/>
    <m/>
    <m/>
    <m/>
    <n v="21.99"/>
  </r>
  <r>
    <x v="1266"/>
    <x v="1"/>
    <x v="2"/>
    <x v="4"/>
    <x v="283"/>
    <x v="11"/>
    <x v="3"/>
    <n v="0"/>
    <x v="2"/>
    <x v="2"/>
    <n v="5"/>
    <m/>
    <m/>
    <m/>
    <n v="21.99"/>
  </r>
  <r>
    <x v="1267"/>
    <x v="1"/>
    <x v="0"/>
    <x v="2"/>
    <x v="388"/>
    <x v="1"/>
    <x v="1"/>
    <n v="3"/>
    <x v="2"/>
    <x v="0"/>
    <n v="7"/>
    <m/>
    <m/>
    <m/>
    <n v="21.99"/>
  </r>
  <r>
    <x v="1268"/>
    <x v="1"/>
    <x v="3"/>
    <x v="5"/>
    <x v="8"/>
    <x v="0"/>
    <x v="1"/>
    <n v="3"/>
    <x v="3"/>
    <x v="3"/>
    <n v="9"/>
    <m/>
    <m/>
    <m/>
    <n v="21.99"/>
  </r>
  <r>
    <x v="1269"/>
    <x v="1"/>
    <x v="3"/>
    <x v="5"/>
    <x v="166"/>
    <x v="2"/>
    <x v="1"/>
    <n v="2"/>
    <x v="3"/>
    <x v="3"/>
    <n v="9"/>
    <m/>
    <m/>
    <m/>
    <n v="21.99"/>
  </r>
  <r>
    <x v="1270"/>
    <x v="0"/>
    <x v="5"/>
    <x v="298"/>
    <x v="315"/>
    <x v="4"/>
    <x v="1"/>
    <n v="15"/>
    <x v="3"/>
    <x v="5"/>
    <n v="6"/>
    <m/>
    <m/>
    <m/>
    <n v="37.979999999999997"/>
  </r>
  <r>
    <x v="1271"/>
    <x v="1"/>
    <x v="1"/>
    <x v="6"/>
    <x v="5"/>
    <x v="5"/>
    <x v="1"/>
    <n v="4"/>
    <x v="0"/>
    <x v="1"/>
    <n v="10.5"/>
    <m/>
    <m/>
    <m/>
    <n v="21.99"/>
  </r>
  <r>
    <x v="1272"/>
    <x v="1"/>
    <x v="1"/>
    <x v="6"/>
    <x v="261"/>
    <x v="6"/>
    <x v="1"/>
    <n v="3"/>
    <x v="1"/>
    <x v="1"/>
    <n v="10.5"/>
    <m/>
    <m/>
    <m/>
    <n v="21.99"/>
  </r>
  <r>
    <x v="1273"/>
    <x v="2"/>
    <x v="1"/>
    <x v="113"/>
    <x v="132"/>
    <x v="3"/>
    <x v="1"/>
    <n v="3"/>
    <x v="2"/>
    <x v="1"/>
    <n v="10.5"/>
    <m/>
    <m/>
    <m/>
    <n v="84.73"/>
  </r>
  <r>
    <x v="1274"/>
    <x v="1"/>
    <x v="4"/>
    <x v="9"/>
    <x v="49"/>
    <x v="7"/>
    <x v="4"/>
    <n v="0"/>
    <x v="0"/>
    <x v="4"/>
    <n v="12.5"/>
    <m/>
    <m/>
    <m/>
    <n v="21.99"/>
  </r>
  <r>
    <x v="1275"/>
    <x v="2"/>
    <x v="5"/>
    <x v="109"/>
    <x v="219"/>
    <x v="8"/>
    <x v="2"/>
    <n v="0"/>
    <x v="2"/>
    <x v="5"/>
    <n v="6"/>
    <m/>
    <m/>
    <m/>
    <n v="84.73"/>
  </r>
  <r>
    <x v="1276"/>
    <x v="1"/>
    <x v="0"/>
    <x v="2"/>
    <x v="265"/>
    <x v="9"/>
    <x v="2"/>
    <n v="0"/>
    <x v="0"/>
    <x v="0"/>
    <n v="7"/>
    <m/>
    <m/>
    <m/>
    <n v="21.99"/>
  </r>
  <r>
    <x v="1277"/>
    <x v="0"/>
    <x v="1"/>
    <x v="299"/>
    <x v="51"/>
    <x v="10"/>
    <x v="4"/>
    <n v="0"/>
    <x v="0"/>
    <x v="1"/>
    <n v="10.5"/>
    <m/>
    <m/>
    <m/>
    <n v="37.979999999999997"/>
  </r>
  <r>
    <x v="1278"/>
    <x v="1"/>
    <x v="0"/>
    <x v="2"/>
    <x v="87"/>
    <x v="11"/>
    <x v="1"/>
    <n v="2"/>
    <x v="3"/>
    <x v="0"/>
    <n v="7"/>
    <m/>
    <m/>
    <m/>
    <n v="21.99"/>
  </r>
  <r>
    <x v="1279"/>
    <x v="1"/>
    <x v="5"/>
    <x v="8"/>
    <x v="175"/>
    <x v="1"/>
    <x v="4"/>
    <n v="0"/>
    <x v="1"/>
    <x v="5"/>
    <n v="6"/>
    <m/>
    <m/>
    <m/>
    <n v="21.99"/>
  </r>
  <r>
    <x v="1280"/>
    <x v="1"/>
    <x v="4"/>
    <x v="9"/>
    <x v="389"/>
    <x v="0"/>
    <x v="1"/>
    <n v="5"/>
    <x v="1"/>
    <x v="4"/>
    <n v="12.5"/>
    <m/>
    <m/>
    <m/>
    <n v="21.99"/>
  </r>
  <r>
    <x v="1281"/>
    <x v="1"/>
    <x v="2"/>
    <x v="4"/>
    <x v="68"/>
    <x v="2"/>
    <x v="1"/>
    <n v="20"/>
    <x v="1"/>
    <x v="2"/>
    <n v="5"/>
    <m/>
    <m/>
    <m/>
    <n v="21.99"/>
  </r>
  <r>
    <x v="1282"/>
    <x v="1"/>
    <x v="3"/>
    <x v="5"/>
    <x v="236"/>
    <x v="4"/>
    <x v="2"/>
    <n v="0"/>
    <x v="2"/>
    <x v="3"/>
    <n v="9"/>
    <m/>
    <m/>
    <m/>
    <n v="21.99"/>
  </r>
  <r>
    <x v="1283"/>
    <x v="1"/>
    <x v="1"/>
    <x v="6"/>
    <x v="54"/>
    <x v="5"/>
    <x v="1"/>
    <n v="3"/>
    <x v="2"/>
    <x v="1"/>
    <n v="10.5"/>
    <m/>
    <m/>
    <m/>
    <n v="21.99"/>
  </r>
  <r>
    <x v="1284"/>
    <x v="2"/>
    <x v="1"/>
    <x v="300"/>
    <x v="32"/>
    <x v="6"/>
    <x v="1"/>
    <n v="2"/>
    <x v="2"/>
    <x v="1"/>
    <n v="10.5"/>
    <m/>
    <m/>
    <m/>
    <n v="84.73"/>
  </r>
  <r>
    <x v="1285"/>
    <x v="1"/>
    <x v="2"/>
    <x v="4"/>
    <x v="266"/>
    <x v="3"/>
    <x v="2"/>
    <n v="0"/>
    <x v="0"/>
    <x v="2"/>
    <n v="5"/>
    <m/>
    <m/>
    <m/>
    <n v="21.99"/>
  </r>
  <r>
    <x v="1286"/>
    <x v="1"/>
    <x v="1"/>
    <x v="6"/>
    <x v="385"/>
    <x v="7"/>
    <x v="0"/>
    <n v="3"/>
    <x v="0"/>
    <x v="1"/>
    <n v="10.5"/>
    <m/>
    <m/>
    <m/>
    <n v="21.99"/>
  </r>
  <r>
    <x v="1287"/>
    <x v="1"/>
    <x v="3"/>
    <x v="5"/>
    <x v="98"/>
    <x v="8"/>
    <x v="2"/>
    <n v="0"/>
    <x v="3"/>
    <x v="3"/>
    <n v="9"/>
    <m/>
    <m/>
    <m/>
    <n v="21.99"/>
  </r>
  <r>
    <x v="1288"/>
    <x v="2"/>
    <x v="0"/>
    <x v="301"/>
    <x v="390"/>
    <x v="9"/>
    <x v="1"/>
    <n v="2"/>
    <x v="2"/>
    <x v="0"/>
    <n v="7"/>
    <m/>
    <m/>
    <m/>
    <n v="84.73"/>
  </r>
  <r>
    <x v="1289"/>
    <x v="2"/>
    <x v="0"/>
    <x v="10"/>
    <x v="234"/>
    <x v="10"/>
    <x v="2"/>
    <n v="0"/>
    <x v="3"/>
    <x v="0"/>
    <n v="7"/>
    <m/>
    <m/>
    <m/>
    <n v="84.73"/>
  </r>
  <r>
    <x v="1290"/>
    <x v="2"/>
    <x v="1"/>
    <x v="302"/>
    <x v="193"/>
    <x v="11"/>
    <x v="1"/>
    <n v="5"/>
    <x v="2"/>
    <x v="1"/>
    <n v="10.5"/>
    <m/>
    <m/>
    <m/>
    <n v="84.73"/>
  </r>
  <r>
    <x v="1291"/>
    <x v="1"/>
    <x v="3"/>
    <x v="5"/>
    <x v="391"/>
    <x v="1"/>
    <x v="2"/>
    <n v="0"/>
    <x v="2"/>
    <x v="3"/>
    <n v="9"/>
    <m/>
    <m/>
    <m/>
    <n v="21.99"/>
  </r>
  <r>
    <x v="1292"/>
    <x v="0"/>
    <x v="4"/>
    <x v="303"/>
    <x v="367"/>
    <x v="0"/>
    <x v="2"/>
    <n v="0"/>
    <x v="0"/>
    <x v="4"/>
    <n v="12.5"/>
    <m/>
    <m/>
    <m/>
    <n v="37.979999999999997"/>
  </r>
  <r>
    <x v="1293"/>
    <x v="1"/>
    <x v="1"/>
    <x v="6"/>
    <x v="101"/>
    <x v="2"/>
    <x v="1"/>
    <n v="3"/>
    <x v="2"/>
    <x v="1"/>
    <n v="10.5"/>
    <m/>
    <m/>
    <m/>
    <n v="21.99"/>
  </r>
  <r>
    <x v="1294"/>
    <x v="2"/>
    <x v="1"/>
    <x v="304"/>
    <x v="392"/>
    <x v="4"/>
    <x v="1"/>
    <n v="3"/>
    <x v="1"/>
    <x v="1"/>
    <n v="10.5"/>
    <m/>
    <m/>
    <m/>
    <n v="84.73"/>
  </r>
  <r>
    <x v="1295"/>
    <x v="1"/>
    <x v="5"/>
    <x v="8"/>
    <x v="34"/>
    <x v="5"/>
    <x v="2"/>
    <n v="0"/>
    <x v="2"/>
    <x v="5"/>
    <n v="6"/>
    <m/>
    <m/>
    <m/>
    <n v="21.99"/>
  </r>
  <r>
    <x v="1296"/>
    <x v="1"/>
    <x v="4"/>
    <x v="9"/>
    <x v="365"/>
    <x v="6"/>
    <x v="0"/>
    <n v="6"/>
    <x v="3"/>
    <x v="4"/>
    <n v="12.5"/>
    <m/>
    <m/>
    <m/>
    <n v="21.99"/>
  </r>
  <r>
    <x v="1297"/>
    <x v="1"/>
    <x v="0"/>
    <x v="2"/>
    <x v="158"/>
    <x v="3"/>
    <x v="1"/>
    <n v="2"/>
    <x v="0"/>
    <x v="0"/>
    <n v="7"/>
    <m/>
    <m/>
    <m/>
    <n v="21.99"/>
  </r>
  <r>
    <x v="1298"/>
    <x v="1"/>
    <x v="2"/>
    <x v="4"/>
    <x v="101"/>
    <x v="7"/>
    <x v="1"/>
    <n v="20"/>
    <x v="2"/>
    <x v="2"/>
    <n v="5"/>
    <m/>
    <m/>
    <m/>
    <n v="21.99"/>
  </r>
  <r>
    <x v="1299"/>
    <x v="2"/>
    <x v="2"/>
    <x v="305"/>
    <x v="53"/>
    <x v="8"/>
    <x v="1"/>
    <n v="19"/>
    <x v="1"/>
    <x v="2"/>
    <n v="5"/>
    <m/>
    <m/>
    <m/>
    <n v="84.73"/>
  </r>
  <r>
    <x v="1300"/>
    <x v="1"/>
    <x v="1"/>
    <x v="6"/>
    <x v="303"/>
    <x v="9"/>
    <x v="0"/>
    <n v="3"/>
    <x v="1"/>
    <x v="1"/>
    <n v="10.5"/>
    <m/>
    <m/>
    <m/>
    <n v="21.99"/>
  </r>
  <r>
    <x v="1301"/>
    <x v="1"/>
    <x v="1"/>
    <x v="6"/>
    <x v="393"/>
    <x v="10"/>
    <x v="3"/>
    <n v="0"/>
    <x v="0"/>
    <x v="1"/>
    <n v="10.5"/>
    <m/>
    <m/>
    <m/>
    <n v="21.99"/>
  </r>
  <r>
    <x v="1302"/>
    <x v="1"/>
    <x v="0"/>
    <x v="2"/>
    <x v="6"/>
    <x v="11"/>
    <x v="1"/>
    <n v="3"/>
    <x v="2"/>
    <x v="0"/>
    <n v="7"/>
    <m/>
    <m/>
    <m/>
    <n v="21.99"/>
  </r>
  <r>
    <x v="1303"/>
    <x v="1"/>
    <x v="2"/>
    <x v="4"/>
    <x v="179"/>
    <x v="1"/>
    <x v="1"/>
    <n v="20"/>
    <x v="1"/>
    <x v="2"/>
    <n v="5"/>
    <m/>
    <m/>
    <m/>
    <n v="21.99"/>
  </r>
  <r>
    <x v="1304"/>
    <x v="1"/>
    <x v="0"/>
    <x v="2"/>
    <x v="242"/>
    <x v="0"/>
    <x v="1"/>
    <n v="2"/>
    <x v="1"/>
    <x v="0"/>
    <n v="7"/>
    <m/>
    <m/>
    <m/>
    <n v="21.99"/>
  </r>
  <r>
    <x v="1305"/>
    <x v="1"/>
    <x v="2"/>
    <x v="4"/>
    <x v="349"/>
    <x v="2"/>
    <x v="1"/>
    <n v="16"/>
    <x v="2"/>
    <x v="2"/>
    <n v="5"/>
    <m/>
    <m/>
    <m/>
    <n v="21.99"/>
  </r>
  <r>
    <x v="1306"/>
    <x v="2"/>
    <x v="4"/>
    <x v="306"/>
    <x v="0"/>
    <x v="4"/>
    <x v="1"/>
    <n v="5"/>
    <x v="2"/>
    <x v="4"/>
    <n v="12.5"/>
    <m/>
    <m/>
    <m/>
    <n v="84.73"/>
  </r>
  <r>
    <x v="1307"/>
    <x v="1"/>
    <x v="1"/>
    <x v="6"/>
    <x v="95"/>
    <x v="5"/>
    <x v="1"/>
    <n v="2"/>
    <x v="0"/>
    <x v="1"/>
    <n v="10.5"/>
    <m/>
    <m/>
    <m/>
    <n v="21.99"/>
  </r>
  <r>
    <x v="1308"/>
    <x v="1"/>
    <x v="2"/>
    <x v="4"/>
    <x v="342"/>
    <x v="6"/>
    <x v="4"/>
    <n v="0"/>
    <x v="1"/>
    <x v="2"/>
    <n v="5"/>
    <m/>
    <m/>
    <m/>
    <n v="21.99"/>
  </r>
  <r>
    <x v="1309"/>
    <x v="1"/>
    <x v="5"/>
    <x v="8"/>
    <x v="228"/>
    <x v="3"/>
    <x v="1"/>
    <n v="11"/>
    <x v="0"/>
    <x v="5"/>
    <n v="6"/>
    <m/>
    <m/>
    <m/>
    <n v="21.99"/>
  </r>
  <r>
    <x v="1310"/>
    <x v="1"/>
    <x v="5"/>
    <x v="8"/>
    <x v="76"/>
    <x v="7"/>
    <x v="1"/>
    <n v="12"/>
    <x v="3"/>
    <x v="5"/>
    <n v="6"/>
    <m/>
    <m/>
    <m/>
    <n v="21.99"/>
  </r>
  <r>
    <x v="1311"/>
    <x v="1"/>
    <x v="4"/>
    <x v="9"/>
    <x v="305"/>
    <x v="8"/>
    <x v="2"/>
    <n v="0"/>
    <x v="0"/>
    <x v="4"/>
    <n v="12.5"/>
    <m/>
    <m/>
    <m/>
    <n v="21.99"/>
  </r>
  <r>
    <x v="1312"/>
    <x v="1"/>
    <x v="1"/>
    <x v="6"/>
    <x v="394"/>
    <x v="9"/>
    <x v="1"/>
    <n v="3"/>
    <x v="1"/>
    <x v="1"/>
    <n v="10.5"/>
    <m/>
    <m/>
    <m/>
    <n v="21.99"/>
  </r>
  <r>
    <x v="978"/>
    <x v="1"/>
    <x v="3"/>
    <x v="5"/>
    <x v="340"/>
    <x v="10"/>
    <x v="2"/>
    <n v="0"/>
    <x v="0"/>
    <x v="3"/>
    <n v="9"/>
    <m/>
    <m/>
    <m/>
    <n v="21.99"/>
  </r>
  <r>
    <x v="1244"/>
    <x v="1"/>
    <x v="4"/>
    <x v="9"/>
    <x v="13"/>
    <x v="11"/>
    <x v="1"/>
    <n v="5"/>
    <x v="1"/>
    <x v="4"/>
    <n v="12.5"/>
    <m/>
    <m/>
    <m/>
    <n v="21.99"/>
  </r>
  <r>
    <x v="1150"/>
    <x v="1"/>
    <x v="1"/>
    <x v="6"/>
    <x v="201"/>
    <x v="1"/>
    <x v="1"/>
    <n v="3"/>
    <x v="1"/>
    <x v="1"/>
    <n v="10.5"/>
    <m/>
    <m/>
    <m/>
    <n v="21.99"/>
  </r>
  <r>
    <x v="492"/>
    <x v="1"/>
    <x v="5"/>
    <x v="8"/>
    <x v="192"/>
    <x v="0"/>
    <x v="2"/>
    <n v="0"/>
    <x v="3"/>
    <x v="5"/>
    <n v="6"/>
    <m/>
    <m/>
    <m/>
    <n v="21.99"/>
  </r>
  <r>
    <x v="938"/>
    <x v="1"/>
    <x v="2"/>
    <x v="4"/>
    <x v="332"/>
    <x v="2"/>
    <x v="2"/>
    <n v="0"/>
    <x v="1"/>
    <x v="2"/>
    <n v="5"/>
    <m/>
    <m/>
    <m/>
    <n v="21.99"/>
  </r>
  <r>
    <x v="915"/>
    <x v="1"/>
    <x v="5"/>
    <x v="8"/>
    <x v="327"/>
    <x v="4"/>
    <x v="1"/>
    <n v="14"/>
    <x v="3"/>
    <x v="5"/>
    <n v="6"/>
    <m/>
    <m/>
    <m/>
    <n v="21.99"/>
  </r>
  <r>
    <x v="846"/>
    <x v="1"/>
    <x v="4"/>
    <x v="9"/>
    <x v="96"/>
    <x v="5"/>
    <x v="1"/>
    <n v="12"/>
    <x v="3"/>
    <x v="4"/>
    <n v="12.5"/>
    <m/>
    <m/>
    <m/>
    <n v="2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F19D3-4A91-4628-9348-7B4A292F4E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A7:B20" firstHeaderRow="1" firstDataRow="1" firstDataCol="1"/>
  <pivotFields count="15">
    <pivotField showAll="0">
      <items count="13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t="default"/>
      </items>
    </pivotField>
    <pivotField showAll="0">
      <items count="4">
        <item x="1"/>
        <item x="0"/>
        <item x="2"/>
        <item t="default"/>
      </items>
    </pivotField>
    <pivotField showAll="0">
      <items count="7">
        <item x="2"/>
        <item x="5"/>
        <item x="0"/>
        <item x="3"/>
        <item x="1"/>
        <item x="4"/>
        <item t="default"/>
      </items>
    </pivotField>
    <pivotField dataField="1" showAll="0">
      <items count="308">
        <item x="4"/>
        <item x="8"/>
        <item x="2"/>
        <item x="5"/>
        <item x="61"/>
        <item x="151"/>
        <item x="259"/>
        <item x="3"/>
        <item x="50"/>
        <item x="187"/>
        <item x="68"/>
        <item x="219"/>
        <item x="77"/>
        <item x="117"/>
        <item x="244"/>
        <item x="74"/>
        <item x="65"/>
        <item x="267"/>
        <item x="52"/>
        <item x="96"/>
        <item x="38"/>
        <item x="83"/>
        <item x="239"/>
        <item x="185"/>
        <item x="6"/>
        <item x="63"/>
        <item x="279"/>
        <item x="54"/>
        <item x="111"/>
        <item x="78"/>
        <item x="298"/>
        <item x="195"/>
        <item x="229"/>
        <item x="12"/>
        <item x="36"/>
        <item x="152"/>
        <item x="119"/>
        <item x="144"/>
        <item x="243"/>
        <item x="105"/>
        <item x="154"/>
        <item x="245"/>
        <item x="165"/>
        <item x="167"/>
        <item x="101"/>
        <item x="128"/>
        <item x="99"/>
        <item x="261"/>
        <item x="248"/>
        <item x="168"/>
        <item x="9"/>
        <item x="289"/>
        <item x="25"/>
        <item x="123"/>
        <item x="49"/>
        <item x="0"/>
        <item x="59"/>
        <item x="40"/>
        <item x="252"/>
        <item x="103"/>
        <item x="156"/>
        <item x="18"/>
        <item x="84"/>
        <item x="247"/>
        <item x="282"/>
        <item x="287"/>
        <item x="89"/>
        <item x="139"/>
        <item x="19"/>
        <item x="305"/>
        <item x="70"/>
        <item x="112"/>
        <item x="13"/>
        <item x="155"/>
        <item x="207"/>
        <item x="202"/>
        <item x="104"/>
        <item x="255"/>
        <item x="268"/>
        <item x="170"/>
        <item x="201"/>
        <item x="22"/>
        <item x="199"/>
        <item x="108"/>
        <item x="232"/>
        <item x="226"/>
        <item x="182"/>
        <item x="227"/>
        <item x="258"/>
        <item x="109"/>
        <item x="271"/>
        <item x="41"/>
        <item x="64"/>
        <item x="169"/>
        <item x="122"/>
        <item x="177"/>
        <item x="216"/>
        <item x="283"/>
        <item x="293"/>
        <item x="272"/>
        <item x="191"/>
        <item x="284"/>
        <item x="218"/>
        <item x="14"/>
        <item x="172"/>
        <item x="264"/>
        <item x="93"/>
        <item x="110"/>
        <item x="115"/>
        <item x="297"/>
        <item x="233"/>
        <item x="76"/>
        <item x="58"/>
        <item x="125"/>
        <item x="86"/>
        <item x="136"/>
        <item x="148"/>
        <item x="249"/>
        <item x="126"/>
        <item x="204"/>
        <item x="224"/>
        <item x="173"/>
        <item x="90"/>
        <item x="45"/>
        <item x="246"/>
        <item x="294"/>
        <item x="16"/>
        <item x="33"/>
        <item x="222"/>
        <item x="57"/>
        <item x="116"/>
        <item x="193"/>
        <item x="234"/>
        <item x="20"/>
        <item x="145"/>
        <item x="228"/>
        <item x="157"/>
        <item x="203"/>
        <item x="56"/>
        <item x="253"/>
        <item x="124"/>
        <item x="107"/>
        <item x="138"/>
        <item x="37"/>
        <item x="211"/>
        <item x="174"/>
        <item x="46"/>
        <item x="162"/>
        <item x="206"/>
        <item x="94"/>
        <item x="88"/>
        <item x="10"/>
        <item x="217"/>
        <item x="179"/>
        <item x="223"/>
        <item x="159"/>
        <item x="205"/>
        <item x="208"/>
        <item x="102"/>
        <item x="95"/>
        <item x="30"/>
        <item x="26"/>
        <item x="161"/>
        <item x="238"/>
        <item x="75"/>
        <item x="66"/>
        <item x="301"/>
        <item x="114"/>
        <item x="197"/>
        <item x="295"/>
        <item x="299"/>
        <item x="143"/>
        <item x="47"/>
        <item x="142"/>
        <item x="251"/>
        <item x="1"/>
        <item x="266"/>
        <item x="150"/>
        <item x="184"/>
        <item x="53"/>
        <item x="106"/>
        <item x="214"/>
        <item x="237"/>
        <item x="91"/>
        <item x="35"/>
        <item x="51"/>
        <item x="82"/>
        <item x="291"/>
        <item x="28"/>
        <item x="176"/>
        <item x="98"/>
        <item x="212"/>
        <item x="134"/>
        <item x="292"/>
        <item x="286"/>
        <item x="241"/>
        <item x="118"/>
        <item x="256"/>
        <item x="303"/>
        <item x="17"/>
        <item x="149"/>
        <item x="71"/>
        <item x="221"/>
        <item x="171"/>
        <item x="81"/>
        <item x="186"/>
        <item x="178"/>
        <item x="163"/>
        <item x="230"/>
        <item x="180"/>
        <item x="140"/>
        <item x="280"/>
        <item x="194"/>
        <item x="277"/>
        <item x="200"/>
        <item x="198"/>
        <item x="231"/>
        <item x="225"/>
        <item x="133"/>
        <item x="262"/>
        <item x="21"/>
        <item x="67"/>
        <item x="250"/>
        <item x="11"/>
        <item x="135"/>
        <item x="254"/>
        <item x="263"/>
        <item x="120"/>
        <item x="175"/>
        <item x="188"/>
        <item x="153"/>
        <item x="146"/>
        <item x="190"/>
        <item x="265"/>
        <item x="240"/>
        <item x="27"/>
        <item x="43"/>
        <item x="276"/>
        <item x="273"/>
        <item x="87"/>
        <item x="34"/>
        <item x="278"/>
        <item x="304"/>
        <item x="302"/>
        <item x="181"/>
        <item x="48"/>
        <item x="189"/>
        <item x="44"/>
        <item x="235"/>
        <item x="137"/>
        <item x="113"/>
        <item x="129"/>
        <item x="32"/>
        <item x="275"/>
        <item x="160"/>
        <item x="29"/>
        <item x="147"/>
        <item x="24"/>
        <item x="130"/>
        <item x="270"/>
        <item x="42"/>
        <item x="209"/>
        <item x="166"/>
        <item x="15"/>
        <item x="290"/>
        <item x="121"/>
        <item x="158"/>
        <item x="236"/>
        <item x="127"/>
        <item x="62"/>
        <item x="72"/>
        <item x="260"/>
        <item x="23"/>
        <item x="281"/>
        <item x="60"/>
        <item x="300"/>
        <item x="210"/>
        <item x="132"/>
        <item x="39"/>
        <item x="296"/>
        <item x="100"/>
        <item x="220"/>
        <item x="288"/>
        <item x="131"/>
        <item x="73"/>
        <item x="97"/>
        <item x="274"/>
        <item x="285"/>
        <item x="269"/>
        <item x="242"/>
        <item x="141"/>
        <item x="85"/>
        <item x="192"/>
        <item x="164"/>
        <item x="55"/>
        <item x="196"/>
        <item x="79"/>
        <item x="183"/>
        <item x="306"/>
        <item x="31"/>
        <item x="213"/>
        <item x="69"/>
        <item x="80"/>
        <item x="92"/>
        <item x="7"/>
        <item x="257"/>
        <item x="215"/>
        <item t="default"/>
      </items>
    </pivotField>
    <pivotField showAll="0">
      <items count="396">
        <item x="102"/>
        <item x="83"/>
        <item x="377"/>
        <item x="358"/>
        <item x="371"/>
        <item x="390"/>
        <item x="386"/>
        <item x="320"/>
        <item x="369"/>
        <item x="325"/>
        <item x="85"/>
        <item x="217"/>
        <item x="198"/>
        <item x="211"/>
        <item x="23"/>
        <item x="276"/>
        <item x="292"/>
        <item x="272"/>
        <item x="275"/>
        <item x="364"/>
        <item x="380"/>
        <item x="52"/>
        <item x="162"/>
        <item x="308"/>
        <item x="70"/>
        <item x="86"/>
        <item x="304"/>
        <item x="392"/>
        <item x="155"/>
        <item x="130"/>
        <item x="46"/>
        <item x="62"/>
        <item x="349"/>
        <item x="48"/>
        <item x="207"/>
        <item x="128"/>
        <item x="257"/>
        <item x="263"/>
        <item x="230"/>
        <item x="255"/>
        <item x="99"/>
        <item x="181"/>
        <item x="354"/>
        <item x="124"/>
        <item x="144"/>
        <item x="166"/>
        <item x="96"/>
        <item x="178"/>
        <item x="167"/>
        <item x="281"/>
        <item x="317"/>
        <item x="353"/>
        <item x="117"/>
        <item x="190"/>
        <item x="341"/>
        <item x="126"/>
        <item x="350"/>
        <item x="131"/>
        <item x="284"/>
        <item x="146"/>
        <item x="323"/>
        <item x="210"/>
        <item x="132"/>
        <item x="294"/>
        <item x="246"/>
        <item x="151"/>
        <item x="337"/>
        <item x="243"/>
        <item x="296"/>
        <item x="280"/>
        <item x="239"/>
        <item x="312"/>
        <item x="121"/>
        <item x="98"/>
        <item x="122"/>
        <item x="245"/>
        <item x="235"/>
        <item x="92"/>
        <item x="182"/>
        <item x="229"/>
        <item x="114"/>
        <item x="226"/>
        <item x="313"/>
        <item x="91"/>
        <item x="391"/>
        <item x="291"/>
        <item x="148"/>
        <item x="140"/>
        <item x="214"/>
        <item x="225"/>
        <item x="153"/>
        <item x="199"/>
        <item x="152"/>
        <item x="251"/>
        <item x="185"/>
        <item x="373"/>
        <item x="305"/>
        <item x="136"/>
        <item x="289"/>
        <item x="206"/>
        <item x="161"/>
        <item x="165"/>
        <item x="254"/>
        <item x="300"/>
        <item x="261"/>
        <item x="147"/>
        <item x="204"/>
        <item x="149"/>
        <item x="279"/>
        <item x="365"/>
        <item x="209"/>
        <item x="191"/>
        <item x="232"/>
        <item x="100"/>
        <item x="241"/>
        <item x="338"/>
        <item x="196"/>
        <item x="142"/>
        <item x="236"/>
        <item x="332"/>
        <item x="172"/>
        <item x="192"/>
        <item x="290"/>
        <item x="150"/>
        <item x="220"/>
        <item x="194"/>
        <item x="90"/>
        <item x="319"/>
        <item x="175"/>
        <item x="348"/>
        <item x="372"/>
        <item x="252"/>
        <item x="134"/>
        <item x="326"/>
        <item x="360"/>
        <item x="277"/>
        <item x="271"/>
        <item x="221"/>
        <item x="378"/>
        <item x="316"/>
        <item x="237"/>
        <item x="106"/>
        <item x="307"/>
        <item x="157"/>
        <item x="189"/>
        <item x="248"/>
        <item x="212"/>
        <item x="297"/>
        <item x="342"/>
        <item x="295"/>
        <item x="347"/>
        <item x="186"/>
        <item x="244"/>
        <item x="224"/>
        <item x="208"/>
        <item x="193"/>
        <item x="310"/>
        <item x="264"/>
        <item x="267"/>
        <item x="123"/>
        <item x="176"/>
        <item x="164"/>
        <item x="184"/>
        <item x="215"/>
        <item x="234"/>
        <item x="335"/>
        <item x="163"/>
        <item x="170"/>
        <item x="367"/>
        <item x="187"/>
        <item x="361"/>
        <item x="133"/>
        <item x="200"/>
        <item x="202"/>
        <item x="303"/>
        <item x="54"/>
        <item x="7"/>
        <item x="76"/>
        <item x="81"/>
        <item x="14"/>
        <item x="43"/>
        <item x="73"/>
        <item x="31"/>
        <item x="40"/>
        <item x="12"/>
        <item x="29"/>
        <item x="45"/>
        <item x="5"/>
        <item x="285"/>
        <item x="18"/>
        <item x="26"/>
        <item x="69"/>
        <item x="10"/>
        <item x="24"/>
        <item x="15"/>
        <item x="33"/>
        <item x="28"/>
        <item x="89"/>
        <item x="6"/>
        <item x="80"/>
        <item x="17"/>
        <item x="16"/>
        <item x="44"/>
        <item x="55"/>
        <item x="53"/>
        <item x="87"/>
        <item x="8"/>
        <item x="88"/>
        <item x="56"/>
        <item x="67"/>
        <item x="51"/>
        <item x="9"/>
        <item x="19"/>
        <item x="22"/>
        <item x="50"/>
        <item x="20"/>
        <item x="4"/>
        <item x="0"/>
        <item x="37"/>
        <item x="60"/>
        <item x="49"/>
        <item x="13"/>
        <item x="1"/>
        <item x="78"/>
        <item x="63"/>
        <item x="57"/>
        <item x="66"/>
        <item x="11"/>
        <item x="25"/>
        <item x="61"/>
        <item x="3"/>
        <item x="68"/>
        <item x="27"/>
        <item x="47"/>
        <item x="2"/>
        <item x="41"/>
        <item x="65"/>
        <item x="71"/>
        <item x="32"/>
        <item x="42"/>
        <item x="36"/>
        <item x="34"/>
        <item x="59"/>
        <item x="39"/>
        <item x="58"/>
        <item x="21"/>
        <item x="30"/>
        <item x="35"/>
        <item x="75"/>
        <item x="171"/>
        <item x="127"/>
        <item x="375"/>
        <item x="368"/>
        <item x="363"/>
        <item x="242"/>
        <item x="376"/>
        <item x="139"/>
        <item x="203"/>
        <item x="288"/>
        <item x="174"/>
        <item x="108"/>
        <item x="247"/>
        <item x="135"/>
        <item x="173"/>
        <item x="343"/>
        <item x="329"/>
        <item x="253"/>
        <item x="362"/>
        <item x="336"/>
        <item x="238"/>
        <item x="118"/>
        <item x="141"/>
        <item x="286"/>
        <item x="374"/>
        <item x="355"/>
        <item x="315"/>
        <item x="259"/>
        <item x="273"/>
        <item x="309"/>
        <item x="119"/>
        <item x="101"/>
        <item x="103"/>
        <item x="168"/>
        <item x="125"/>
        <item x="201"/>
        <item x="159"/>
        <item x="287"/>
        <item x="94"/>
        <item x="328"/>
        <item x="129"/>
        <item x="231"/>
        <item x="389"/>
        <item x="274"/>
        <item x="283"/>
        <item x="331"/>
        <item x="385"/>
        <item x="266"/>
        <item x="233"/>
        <item x="314"/>
        <item x="145"/>
        <item x="154"/>
        <item x="352"/>
        <item x="158"/>
        <item x="228"/>
        <item x="282"/>
        <item x="260"/>
        <item x="240"/>
        <item x="370"/>
        <item x="213"/>
        <item x="269"/>
        <item x="256"/>
        <item x="107"/>
        <item x="268"/>
        <item x="387"/>
        <item x="265"/>
        <item x="278"/>
        <item x="311"/>
        <item x="333"/>
        <item x="112"/>
        <item x="180"/>
        <item x="116"/>
        <item x="109"/>
        <item x="324"/>
        <item x="379"/>
        <item x="345"/>
        <item x="258"/>
        <item x="113"/>
        <item x="111"/>
        <item x="223"/>
        <item x="179"/>
        <item x="93"/>
        <item x="160"/>
        <item x="137"/>
        <item x="339"/>
        <item x="138"/>
        <item x="197"/>
        <item x="340"/>
        <item x="222"/>
        <item x="344"/>
        <item x="97"/>
        <item x="177"/>
        <item x="105"/>
        <item x="227"/>
        <item x="382"/>
        <item x="156"/>
        <item x="302"/>
        <item x="219"/>
        <item x="110"/>
        <item x="306"/>
        <item x="188"/>
        <item x="104"/>
        <item x="218"/>
        <item x="183"/>
        <item x="169"/>
        <item x="95"/>
        <item x="120"/>
        <item x="195"/>
        <item x="318"/>
        <item x="270"/>
        <item x="359"/>
        <item x="384"/>
        <item x="205"/>
        <item x="249"/>
        <item x="301"/>
        <item x="357"/>
        <item x="330"/>
        <item x="250"/>
        <item x="327"/>
        <item x="322"/>
        <item x="351"/>
        <item x="64"/>
        <item x="334"/>
        <item x="77"/>
        <item x="82"/>
        <item x="356"/>
        <item x="72"/>
        <item x="293"/>
        <item x="74"/>
        <item x="346"/>
        <item x="79"/>
        <item x="38"/>
        <item x="299"/>
        <item x="84"/>
        <item x="388"/>
        <item x="321"/>
        <item x="393"/>
        <item x="381"/>
        <item x="115"/>
        <item x="298"/>
        <item x="366"/>
        <item x="394"/>
        <item x="216"/>
        <item x="143"/>
        <item x="383"/>
        <item x="262"/>
        <item t="default"/>
      </items>
    </pivotField>
    <pivotField axis="axisRow" showAll="0">
      <items count="13">
        <item x="7"/>
        <item x="8"/>
        <item x="9"/>
        <item x="10"/>
        <item x="11"/>
        <item x="1"/>
        <item x="0"/>
        <item x="2"/>
        <item x="4"/>
        <item x="5"/>
        <item x="6"/>
        <item x="3"/>
        <item t="default"/>
      </items>
    </pivotField>
    <pivotField showAll="0">
      <items count="6">
        <item x="3"/>
        <item x="0"/>
        <item x="2"/>
        <item x="1"/>
        <item x="4"/>
        <item t="default"/>
      </items>
    </pivotField>
    <pivotField showAll="0"/>
    <pivotField showAll="0">
      <items count="5">
        <item x="0"/>
        <item x="2"/>
        <item x="1"/>
        <item x="3"/>
        <item t="default"/>
      </items>
    </pivotField>
    <pivotField showAll="0">
      <items count="7">
        <item x="1"/>
        <item x="0"/>
        <item x="2"/>
        <item x="4"/>
        <item x="5"/>
        <item x="3"/>
        <item t="default"/>
      </items>
    </pivotField>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total_price" fld="3"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4075F-EEBA-4840-B28B-C5033098F3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dataField="1" showAll="0"/>
    <pivotField dataField="1" showAll="0"/>
    <pivotField showAll="0"/>
    <pivotField dataField="1" showAll="0"/>
    <pivotField showAll="0"/>
    <pivotField showAll="0"/>
    <pivotField showAll="0"/>
    <pivotField showAll="0"/>
    <pivotField showAll="0"/>
    <pivotField showAll="0">
      <items count="7">
        <item x="1"/>
        <item x="0"/>
        <item x="2"/>
        <item x="4"/>
        <item x="5"/>
        <item x="3"/>
        <item t="default"/>
      </items>
    </pivotField>
    <pivotField showAll="0"/>
    <pivotField showAll="0"/>
    <pivotField showAll="0"/>
    <pivotField showAll="0"/>
    <pivotField showAll="0"/>
  </pivotFields>
  <rowItems count="1">
    <i/>
  </rowItems>
  <colFields count="1">
    <field x="-2"/>
  </colFields>
  <colItems count="3">
    <i>
      <x/>
    </i>
    <i i="1">
      <x v="1"/>
    </i>
    <i i="2">
      <x v="2"/>
    </i>
  </colItems>
  <dataFields count="3">
    <dataField name="Total Customer " fld="0" subtotal="count" baseField="0" baseItem="0"/>
    <dataField name="Total Price" fld="3" baseField="0" baseItem="0"/>
    <dataField name="Total  Quantity" fld="1" baseField="0" baseItem="0"/>
  </dataFields>
  <formats count="19">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2"/>
          </reference>
        </references>
      </pivotArea>
    </format>
    <format dxfId="23">
      <pivotArea dataOnly="0" labelOnly="1" outline="0" fieldPosition="0">
        <references count="1">
          <reference field="4294967294" count="1">
            <x v="2"/>
          </reference>
        </references>
      </pivotArea>
    </format>
    <format dxfId="22">
      <pivotArea dataOnly="0" labelOnly="1" outline="0" fieldPosition="0">
        <references count="1">
          <reference field="4294967294" count="1">
            <x v="0"/>
          </reference>
        </references>
      </pivotArea>
    </format>
    <format dxfId="21">
      <pivotArea dataOnly="0" labelOnly="1" outline="0" fieldPosition="0">
        <references count="1">
          <reference field="4294967294" count="1">
            <x v="1"/>
          </reference>
        </references>
      </pivotArea>
    </format>
    <format dxfId="20">
      <pivotArea dataOnly="0" labelOnly="1" outline="0" fieldPosition="0">
        <references count="1">
          <reference field="4294967294" count="1">
            <x v="2"/>
          </reference>
        </references>
      </pivotArea>
    </format>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 dxfId="16">
      <pivotArea dataOnly="0" labelOnly="1" outline="0" fieldPosition="0">
        <references count="1">
          <reference field="4294967294" count="1">
            <x v="1"/>
          </reference>
        </references>
      </pivotArea>
    </format>
    <format dxfId="15">
      <pivotArea dataOnly="0" labelOnly="1" outline="0" fieldPosition="0">
        <references count="1">
          <reference field="4294967294" count="1">
            <x v="1"/>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2"/>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5014F-CD80-43A6-83B7-13CD99A25CB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18" firstHeaderRow="0" firstDataRow="1" firstDataCol="0"/>
  <pivotFields count="15">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2">
    <i>
      <x/>
    </i>
    <i i="1">
      <x v="1"/>
    </i>
  </colItems>
  <dataFields count="2">
    <dataField name="Total Cost Price" fld="10" baseField="0" baseItem="0"/>
    <dataField name="Total Unit Price" fld="2" baseField="0" baseItem="0"/>
  </dataFields>
  <formats count="12">
    <format dxfId="40">
      <pivotArea dataOnly="0" labelOnly="1" outline="0" fieldPosition="0">
        <references count="1">
          <reference field="4294967294" count="1">
            <x v="0"/>
          </reference>
        </references>
      </pivotArea>
    </format>
    <format dxfId="39">
      <pivotArea dataOnly="0" labelOnly="1" outline="0" fieldPosition="0">
        <references count="1">
          <reference field="4294967294" count="1">
            <x v="0"/>
          </reference>
        </references>
      </pivotArea>
    </format>
    <format dxfId="38">
      <pivotArea dataOnly="0" labelOnly="1" outline="0" fieldPosition="0">
        <references count="1">
          <reference field="4294967294" count="1">
            <x v="0"/>
          </reference>
        </references>
      </pivotArea>
    </format>
    <format dxfId="37">
      <pivotArea dataOnly="0" labelOnly="1" outline="0" fieldPosition="0">
        <references count="1">
          <reference field="4294967294" count="1">
            <x v="0"/>
          </reference>
        </references>
      </pivotArea>
    </format>
    <format dxfId="36">
      <pivotArea dataOnly="0" labelOnly="1" outline="0" fieldPosition="0">
        <references count="1">
          <reference field="4294967294" count="1">
            <x v="1"/>
          </reference>
        </references>
      </pivotArea>
    </format>
    <format dxfId="35">
      <pivotArea dataOnly="0" labelOnly="1" outline="0" fieldPosition="0">
        <references count="1">
          <reference field="4294967294" count="1">
            <x v="1"/>
          </reference>
        </references>
      </pivotArea>
    </format>
    <format dxfId="34">
      <pivotArea dataOnly="0" labelOnly="1" outline="0" fieldPosition="0">
        <references count="1">
          <reference field="4294967294" count="1">
            <x v="1"/>
          </reference>
        </references>
      </pivotArea>
    </format>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FBC8ED-CD66-4B94-9365-2EFB8C29B79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Status">
  <location ref="A25:C31" firstHeaderRow="0" firstDataRow="1" firstDataCol="1"/>
  <pivotFields count="15">
    <pivotField dataField="1" showAll="0">
      <items count="13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t="default"/>
      </items>
    </pivotField>
    <pivotField dataField="1" showAll="0"/>
    <pivotField showAll="0"/>
    <pivotField showAll="0"/>
    <pivotField showAll="0"/>
    <pivotField showAll="0"/>
    <pivotField axis="axisRow" showAll="0">
      <items count="6">
        <item x="3"/>
        <item x="0"/>
        <item x="2"/>
        <item x="1"/>
        <item x="4"/>
        <item t="default"/>
      </items>
    </pivotField>
    <pivotField showAll="0"/>
    <pivotField showAll="0"/>
    <pivotField showAll="0">
      <items count="7">
        <item x="1"/>
        <item x="0"/>
        <item x="2"/>
        <item x="4"/>
        <item x="5"/>
        <item x="3"/>
        <item t="default"/>
      </items>
    </pivotField>
    <pivotField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Count of order_id" fld="0" subtotal="count" baseField="0" baseItem="0"/>
    <dataField name="Sum of quantity" fld="1"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9402A-CDE2-4A43-B3DF-E7951CFCBF1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_name">
  <location ref="D17:E24" firstHeaderRow="1" firstDataRow="1" firstDataCol="1"/>
  <pivotFields count="15">
    <pivotField showAll="0"/>
    <pivotField showAll="0"/>
    <pivotField showAll="0"/>
    <pivotField dataField="1" showAll="0"/>
    <pivotField showAll="0"/>
    <pivotField showAll="0"/>
    <pivotField showAll="0"/>
    <pivotField showAll="0"/>
    <pivotField showAll="0"/>
    <pivotField axis="axisRow" showAll="0">
      <items count="7">
        <item x="1"/>
        <item x="0"/>
        <item x="2"/>
        <item x="4"/>
        <item x="5"/>
        <item x="3"/>
        <item t="default"/>
      </items>
    </pivotField>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total_price" fld="3" baseField="0" baseItem="0"/>
  </dataFields>
  <chartFormats count="7">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9" count="1" selected="0">
            <x v="0"/>
          </reference>
        </references>
      </pivotArea>
    </chartFormat>
    <chartFormat chart="9" format="11">
      <pivotArea type="data" outline="0" fieldPosition="0">
        <references count="2">
          <reference field="4294967294" count="1" selected="0">
            <x v="0"/>
          </reference>
          <reference field="9" count="1" selected="0">
            <x v="1"/>
          </reference>
        </references>
      </pivotArea>
    </chartFormat>
    <chartFormat chart="9" format="12">
      <pivotArea type="data" outline="0" fieldPosition="0">
        <references count="2">
          <reference field="4294967294" count="1" selected="0">
            <x v="0"/>
          </reference>
          <reference field="9" count="1" selected="0">
            <x v="2"/>
          </reference>
        </references>
      </pivotArea>
    </chartFormat>
    <chartFormat chart="9" format="13">
      <pivotArea type="data" outline="0" fieldPosition="0">
        <references count="2">
          <reference field="4294967294" count="1" selected="0">
            <x v="0"/>
          </reference>
          <reference field="9" count="1" selected="0">
            <x v="3"/>
          </reference>
        </references>
      </pivotArea>
    </chartFormat>
    <chartFormat chart="9" format="14">
      <pivotArea type="data" outline="0" fieldPosition="0">
        <references count="2">
          <reference field="4294967294" count="1" selected="0">
            <x v="0"/>
          </reference>
          <reference field="9" count="1" selected="0">
            <x v="4"/>
          </reference>
        </references>
      </pivotArea>
    </chartFormat>
    <chartFormat chart="9" format="15">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2866AA-AAB6-4EDE-8819-C58260D7B2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ayment_method">
  <location ref="G3:H8" firstHeaderRow="1" firstDataRow="1" firstDataCol="1"/>
  <pivotFields count="15">
    <pivotField showAll="0"/>
    <pivotField showAll="0"/>
    <pivotField showAll="0"/>
    <pivotField dataField="1" showAll="0"/>
    <pivotField showAll="0"/>
    <pivotField showAll="0"/>
    <pivotField showAll="0"/>
    <pivotField showAll="0"/>
    <pivotField axis="axisRow" showAll="0">
      <items count="5">
        <item x="0"/>
        <item x="2"/>
        <item x="1"/>
        <item x="3"/>
        <item t="default"/>
      </items>
    </pivotField>
    <pivotField showAll="0">
      <items count="7">
        <item x="1"/>
        <item x="0"/>
        <item x="2"/>
        <item x="4"/>
        <item x="5"/>
        <item x="3"/>
        <item t="default"/>
      </items>
    </pivotField>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total_price" fld="3"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FC1FC0-BD2B-4C98-A108-87B3664C809C}" autoFormatId="16" applyNumberFormats="0" applyBorderFormats="0" applyFontFormats="0" applyPatternFormats="0" applyAlignmentFormats="0" applyWidthHeightFormats="0">
  <queryTableRefresh nextId="17" unboundColumnsRight="4">
    <queryTableFields count="15">
      <queryTableField id="1" name="order_id" tableColumnId="1"/>
      <queryTableField id="2" name="quantity" tableColumnId="2"/>
      <queryTableField id="3" name="unit_price" tableColumnId="3"/>
      <queryTableField id="4" name="total_price" tableColumnId="4"/>
      <queryTableField id="5" name="order_date" tableColumnId="5"/>
      <queryTableField id="16" dataBound="0" tableColumnId="16"/>
      <queryTableField id="6" name="status" tableColumnId="6"/>
      <queryTableField id="7" name="delivery_days" tableColumnId="7"/>
      <queryTableField id="8" name="payment_method" tableColumnId="8"/>
      <queryTableField id="9" name="product_name" tableColumnId="9"/>
      <queryTableField id="10" name="cost_price" tableColumnId="10"/>
      <queryTableField id="11" dataBound="0"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A6AC9A2-574C-4674-B89F-321B5E68F3E1}" sourceName="product_name">
  <pivotTables>
    <pivotTable tabId="6" name="PivotTable6"/>
    <pivotTable tabId="6" name="PivotTable5"/>
    <pivotTable tabId="6" name="PivotTable7"/>
    <pivotTable tabId="6" name="PivotTable8"/>
    <pivotTable tabId="6" name="PivotTable9"/>
  </pivotTables>
  <data>
    <tabular pivotCacheId="95651056">
      <items count="6">
        <i x="1" s="1"/>
        <i x="0" s="1"/>
        <i x="2"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4FBAB63-19AB-4774-97A7-71A4F5519EA3}" cache="Slicer_product_name" caption="product_nam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838A81EF-68F7-4947-8B7F-DE6AD9631E92}" cache="Slicer_product_name" caption="product_name"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7E938-916E-4CDD-92B3-4F89B7301B40}" name="Table2" displayName="Table2" ref="A3:O1329" totalsRowShown="0">
  <autoFilter ref="A3:O1329" xr:uid="{9C47E938-916E-4CDD-92B3-4F89B7301B40}"/>
  <tableColumns count="15">
    <tableColumn id="1" xr3:uid="{5FF80C6F-C807-46B7-8184-35DDA713B1D9}" name="order_id"/>
    <tableColumn id="2" xr3:uid="{E8264B48-119B-4AEA-95E5-6BF38B5F9AFE}" name="quantity"/>
    <tableColumn id="3" xr3:uid="{BEB35284-E66D-4BD4-8D05-9F7DBD83738F}" name="unit_price"/>
    <tableColumn id="4" xr3:uid="{60D83D16-7A8B-4912-91EC-1CD3D9188747}" name="total_price"/>
    <tableColumn id="5" xr3:uid="{0D277EF8-6C06-4EFC-8F17-FE78D23B08C5}" name="order_date"/>
    <tableColumn id="6" xr3:uid="{B18367B9-8C4F-4866-A68B-4F93FFC75431}" name="Months"/>
    <tableColumn id="7" xr3:uid="{19C971F4-AE50-4881-9199-3A4135D16F69}" name="status"/>
    <tableColumn id="8" xr3:uid="{A19E0404-AFD2-487B-B40B-1902F3060357}" name="delivery_days"/>
    <tableColumn id="9" xr3:uid="{0CD2665A-598F-45A6-A865-FCFC5F960674}" name="Payment_method"/>
    <tableColumn id="10" xr3:uid="{CA7DA481-2104-4656-98BF-D6B20495F99A}" name="product_name"/>
    <tableColumn id="11" xr3:uid="{708D2A12-23B7-41FF-9FB7-FC6431C2016E}" name="cost_price"/>
    <tableColumn id="12" xr3:uid="{7243FBB0-B0B5-4F4F-833F-35CB74416D22}" name="Aggregate Function"/>
    <tableColumn id="13" xr3:uid="{DA05DEE0-C3C3-4183-B58A-6E548FBEF9FF}" name="Column1"/>
    <tableColumn id="14" xr3:uid="{16D9EF15-03E1-4E74-9A90-501B0B6C2C2A}" name="Index Match"/>
    <tableColumn id="15" xr3:uid="{E9AE4D34-CF78-46FB-8D3F-5DDC312AF2D7}" name="Vlook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E311A-EB24-4014-B701-1CE482A3F888}" name="orders_desnormalizado_prueba_selected_columns" displayName="orders_desnormalizado_prueba_selected_columns" ref="A1:O1327" tableType="queryTable" totalsRowShown="0">
  <autoFilter ref="A1:O1327" xr:uid="{26AE311A-EB24-4014-B701-1CE482A3F888}"/>
  <tableColumns count="15">
    <tableColumn id="1" xr3:uid="{E9F67F3E-4E69-4881-B3F7-5A86093E1225}" uniqueName="1" name="order_id" queryTableFieldId="1" dataDxfId="9"/>
    <tableColumn id="2" xr3:uid="{2DF0C34D-F0D2-4330-8314-0B7A52CBB186}" uniqueName="2" name="quantity" queryTableFieldId="2"/>
    <tableColumn id="3" xr3:uid="{F99117B6-F12E-4B12-9D17-0F5FFDF74F93}" uniqueName="3" name="unit_price" queryTableFieldId="3"/>
    <tableColumn id="4" xr3:uid="{064CF892-D981-4699-97C8-C71E140CEDE4}" uniqueName="4" name="total_price" queryTableFieldId="4"/>
    <tableColumn id="5" xr3:uid="{2DD454AA-EF9E-463D-8958-4992891A7D84}" uniqueName="5" name="order_date" queryTableFieldId="5" dataDxfId="8"/>
    <tableColumn id="16" xr3:uid="{B875290D-8E0B-4A4A-937E-A89393FF0AC8}" uniqueName="16" name="Months" queryTableFieldId="16" dataDxfId="7">
      <calculatedColumnFormula>TEXT(E2,"YYYY")</calculatedColumnFormula>
    </tableColumn>
    <tableColumn id="6" xr3:uid="{61B7E68C-0CF0-4FEB-9DB5-2E56AF0460C7}" uniqueName="6" name="status" queryTableFieldId="6" dataDxfId="6"/>
    <tableColumn id="7" xr3:uid="{2F1C16DD-7385-421A-A204-553111B94CF2}" uniqueName="7" name="delivery_days" queryTableFieldId="7"/>
    <tableColumn id="8" xr3:uid="{B4B4DAF3-EF2B-4BF2-908D-6EDEE8F8EC88}" uniqueName="8" name="Payment_method" queryTableFieldId="8" dataDxfId="5"/>
    <tableColumn id="9" xr3:uid="{20591F35-6559-4CF9-A327-4420005CF2EC}" uniqueName="9" name="product_name" queryTableFieldId="9" dataDxfId="4"/>
    <tableColumn id="10" xr3:uid="{DB5F345E-30D5-4A5B-A7B9-FF5A62B33BA9}" uniqueName="10" name="cost_price" queryTableFieldId="10"/>
    <tableColumn id="11" xr3:uid="{D72F487B-E073-4D6C-AE2E-7B959E8C967B}" uniqueName="11" name="Aggregate Function" queryTableFieldId="11" dataDxfId="3"/>
    <tableColumn id="12" xr3:uid="{1AE3290C-94A6-4641-98A5-4FC27C38A52C}" uniqueName="12" name="Column1" queryTableFieldId="12" dataDxfId="2"/>
    <tableColumn id="13" xr3:uid="{E875D441-5896-42EA-9E2C-0833005FE01F}" uniqueName="13" name="Index Match" queryTableFieldId="13" dataDxfId="1"/>
    <tableColumn id="14" xr3:uid="{B9D616B3-BE2A-4659-AE95-BE84B6E15EE5}" uniqueName="14" name="Vlookup" queryTableFieldId="14" dataDxfId="0">
      <calculatedColumnFormula>VLOOKUP(B:B,B:H,3,FALSE)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23FE-6473-4E0E-8A1F-989CC1949B9A}">
  <dimension ref="A1:O1329"/>
  <sheetViews>
    <sheetView workbookViewId="0">
      <selection activeCell="A3" sqref="A3:O1329"/>
    </sheetView>
  </sheetViews>
  <sheetFormatPr defaultRowHeight="14.5" x14ac:dyDescent="0.35"/>
  <cols>
    <col min="1" max="1" width="9.90625" bestFit="1" customWidth="1"/>
    <col min="2" max="2" width="10.08984375" bestFit="1" customWidth="1"/>
    <col min="3" max="3" width="11.54296875" bestFit="1" customWidth="1"/>
    <col min="4" max="5" width="12" bestFit="1" customWidth="1"/>
    <col min="6" max="6" width="9.26953125" bestFit="1" customWidth="1"/>
    <col min="7" max="7" width="10.453125" bestFit="1" customWidth="1"/>
    <col min="8" max="8" width="14.453125" bestFit="1" customWidth="1"/>
    <col min="9" max="9" width="17.81640625" bestFit="1" customWidth="1"/>
    <col min="10" max="10" width="29.08984375" bestFit="1" customWidth="1"/>
    <col min="11" max="11" width="11.7265625" bestFit="1" customWidth="1"/>
    <col min="12" max="12" width="19.08984375" bestFit="1" customWidth="1"/>
    <col min="13" max="13" width="10.7265625" bestFit="1" customWidth="1"/>
    <col min="14" max="14" width="13.26953125" bestFit="1" customWidth="1"/>
    <col min="15" max="15" width="9.90625" bestFit="1" customWidth="1"/>
  </cols>
  <sheetData>
    <row r="1" spans="1:15" x14ac:dyDescent="0.35">
      <c r="A1" s="7" t="s">
        <v>1732</v>
      </c>
    </row>
    <row r="3" spans="1:15" x14ac:dyDescent="0.35">
      <c r="A3" t="s">
        <v>0</v>
      </c>
      <c r="B3" t="s">
        <v>1</v>
      </c>
      <c r="C3" t="s">
        <v>2</v>
      </c>
      <c r="D3" t="s">
        <v>3</v>
      </c>
      <c r="E3" t="s">
        <v>4</v>
      </c>
      <c r="F3" t="s">
        <v>1710</v>
      </c>
      <c r="G3" t="s">
        <v>5</v>
      </c>
      <c r="H3" t="s">
        <v>6</v>
      </c>
      <c r="I3" t="s">
        <v>1711</v>
      </c>
      <c r="J3" t="s">
        <v>7</v>
      </c>
      <c r="K3" t="s">
        <v>8</v>
      </c>
      <c r="L3" t="s">
        <v>1696</v>
      </c>
      <c r="M3" t="s">
        <v>1698</v>
      </c>
      <c r="N3" t="s">
        <v>1706</v>
      </c>
      <c r="O3" t="s">
        <v>1707</v>
      </c>
    </row>
    <row r="4" spans="1:15" x14ac:dyDescent="0.35">
      <c r="A4" t="s">
        <v>9</v>
      </c>
      <c r="B4">
        <v>2</v>
      </c>
      <c r="C4">
        <v>21.99</v>
      </c>
      <c r="D4">
        <v>37.979999999999997</v>
      </c>
      <c r="E4" t="s">
        <v>10</v>
      </c>
      <c r="F4" t="s">
        <v>1723</v>
      </c>
      <c r="G4" t="s">
        <v>11</v>
      </c>
      <c r="H4">
        <v>2</v>
      </c>
      <c r="I4" t="s">
        <v>12</v>
      </c>
      <c r="J4" t="s">
        <v>13</v>
      </c>
      <c r="K4">
        <v>7</v>
      </c>
      <c r="L4">
        <v>46009.679999999855</v>
      </c>
      <c r="M4" t="s">
        <v>1697</v>
      </c>
      <c r="N4" t="e">
        <v>#N/A</v>
      </c>
      <c r="O4">
        <v>37.979999999999997</v>
      </c>
    </row>
    <row r="5" spans="1:15" x14ac:dyDescent="0.35">
      <c r="A5" t="s">
        <v>14</v>
      </c>
      <c r="B5">
        <v>2</v>
      </c>
      <c r="C5">
        <v>30.99</v>
      </c>
      <c r="D5">
        <v>53.78</v>
      </c>
      <c r="E5" t="s">
        <v>15</v>
      </c>
      <c r="F5" t="s">
        <v>1723</v>
      </c>
      <c r="G5" t="s">
        <v>16</v>
      </c>
      <c r="H5">
        <v>3</v>
      </c>
      <c r="I5" t="s">
        <v>17</v>
      </c>
      <c r="J5" t="s">
        <v>18</v>
      </c>
      <c r="K5">
        <v>10.5</v>
      </c>
      <c r="L5">
        <v>16.989999999999998</v>
      </c>
      <c r="M5" t="s">
        <v>1699</v>
      </c>
      <c r="O5">
        <v>37.979999999999997</v>
      </c>
    </row>
    <row r="6" spans="1:15" x14ac:dyDescent="0.35">
      <c r="A6" t="s">
        <v>19</v>
      </c>
      <c r="B6">
        <v>1</v>
      </c>
      <c r="C6">
        <v>21.99</v>
      </c>
      <c r="D6">
        <v>21.99</v>
      </c>
      <c r="E6" t="s">
        <v>20</v>
      </c>
      <c r="F6" t="s">
        <v>1723</v>
      </c>
      <c r="G6" t="s">
        <v>21</v>
      </c>
      <c r="H6">
        <v>0</v>
      </c>
      <c r="I6" t="s">
        <v>17</v>
      </c>
      <c r="J6" t="s">
        <v>13</v>
      </c>
      <c r="K6">
        <v>7</v>
      </c>
      <c r="L6">
        <v>84.97</v>
      </c>
      <c r="M6" t="s">
        <v>1700</v>
      </c>
      <c r="O6">
        <v>21.99</v>
      </c>
    </row>
    <row r="7" spans="1:15" x14ac:dyDescent="0.35">
      <c r="A7" t="s">
        <v>22</v>
      </c>
      <c r="B7">
        <v>2</v>
      </c>
      <c r="C7">
        <v>16.989999999999998</v>
      </c>
      <c r="D7">
        <v>29.18</v>
      </c>
      <c r="E7" t="s">
        <v>23</v>
      </c>
      <c r="F7" t="s">
        <v>1723</v>
      </c>
      <c r="G7" t="s">
        <v>16</v>
      </c>
      <c r="H7">
        <v>19</v>
      </c>
      <c r="I7" t="s">
        <v>24</v>
      </c>
      <c r="J7" t="s">
        <v>25</v>
      </c>
      <c r="K7">
        <v>5</v>
      </c>
      <c r="L7">
        <v>34.698099547511205</v>
      </c>
      <c r="M7" t="s">
        <v>1701</v>
      </c>
      <c r="O7">
        <v>37.979999999999997</v>
      </c>
    </row>
    <row r="8" spans="1:15" x14ac:dyDescent="0.35">
      <c r="A8" t="s">
        <v>26</v>
      </c>
      <c r="B8">
        <v>1</v>
      </c>
      <c r="C8">
        <v>16.989999999999998</v>
      </c>
      <c r="D8">
        <v>16.989999999999998</v>
      </c>
      <c r="E8" t="s">
        <v>27</v>
      </c>
      <c r="F8" t="s">
        <v>1723</v>
      </c>
      <c r="G8" t="s">
        <v>28</v>
      </c>
      <c r="H8">
        <v>0</v>
      </c>
      <c r="I8" t="s">
        <v>24</v>
      </c>
      <c r="J8" t="s">
        <v>25</v>
      </c>
      <c r="K8">
        <v>5</v>
      </c>
      <c r="L8">
        <v>1326</v>
      </c>
      <c r="M8" t="s">
        <v>1702</v>
      </c>
      <c r="O8">
        <v>21.99</v>
      </c>
    </row>
    <row r="9" spans="1:15" x14ac:dyDescent="0.35">
      <c r="A9" t="s">
        <v>29</v>
      </c>
      <c r="B9">
        <v>1</v>
      </c>
      <c r="C9">
        <v>27.99</v>
      </c>
      <c r="D9">
        <v>27.99</v>
      </c>
      <c r="E9" t="s">
        <v>30</v>
      </c>
      <c r="F9" t="s">
        <v>1722</v>
      </c>
      <c r="G9" t="s">
        <v>16</v>
      </c>
      <c r="H9">
        <v>3</v>
      </c>
      <c r="I9" t="s">
        <v>12</v>
      </c>
      <c r="J9" t="s">
        <v>31</v>
      </c>
      <c r="K9">
        <v>9</v>
      </c>
      <c r="L9">
        <v>699</v>
      </c>
      <c r="M9" t="s">
        <v>1703</v>
      </c>
      <c r="O9">
        <v>21.99</v>
      </c>
    </row>
    <row r="10" spans="1:15" x14ac:dyDescent="0.35">
      <c r="A10" t="s">
        <v>32</v>
      </c>
      <c r="B10">
        <v>1</v>
      </c>
      <c r="C10">
        <v>30.99</v>
      </c>
      <c r="D10">
        <v>30.99</v>
      </c>
      <c r="E10" t="s">
        <v>33</v>
      </c>
      <c r="F10" t="s">
        <v>1722</v>
      </c>
      <c r="G10" t="s">
        <v>16</v>
      </c>
      <c r="H10">
        <v>2</v>
      </c>
      <c r="I10" t="s">
        <v>17</v>
      </c>
      <c r="J10" t="s">
        <v>18</v>
      </c>
      <c r="K10">
        <v>10.5</v>
      </c>
      <c r="L10">
        <v>0</v>
      </c>
      <c r="M10" t="s">
        <v>1705</v>
      </c>
      <c r="O10">
        <v>21.99</v>
      </c>
    </row>
    <row r="11" spans="1:15" x14ac:dyDescent="0.35">
      <c r="A11" t="s">
        <v>34</v>
      </c>
      <c r="B11">
        <v>3</v>
      </c>
      <c r="C11">
        <v>34.99</v>
      </c>
      <c r="D11">
        <v>84.73</v>
      </c>
      <c r="E11" t="s">
        <v>35</v>
      </c>
      <c r="F11" t="s">
        <v>1722</v>
      </c>
      <c r="G11" t="s">
        <v>28</v>
      </c>
      <c r="H11">
        <v>0</v>
      </c>
      <c r="I11" t="s">
        <v>12</v>
      </c>
      <c r="J11" t="s">
        <v>36</v>
      </c>
      <c r="K11">
        <v>12.5</v>
      </c>
      <c r="L11">
        <v>0</v>
      </c>
      <c r="M11" t="s">
        <v>1704</v>
      </c>
      <c r="O11">
        <v>84.73</v>
      </c>
    </row>
    <row r="12" spans="1:15" x14ac:dyDescent="0.35">
      <c r="A12" t="s">
        <v>37</v>
      </c>
      <c r="B12">
        <v>1</v>
      </c>
      <c r="C12">
        <v>21.99</v>
      </c>
      <c r="D12">
        <v>21.99</v>
      </c>
      <c r="E12" t="s">
        <v>38</v>
      </c>
      <c r="F12" t="s">
        <v>1723</v>
      </c>
      <c r="G12" t="s">
        <v>16</v>
      </c>
      <c r="H12">
        <v>3</v>
      </c>
      <c r="I12" t="s">
        <v>24</v>
      </c>
      <c r="J12" t="s">
        <v>13</v>
      </c>
      <c r="K12">
        <v>7</v>
      </c>
      <c r="O12">
        <v>21.99</v>
      </c>
    </row>
    <row r="13" spans="1:15" x14ac:dyDescent="0.35">
      <c r="A13" t="s">
        <v>39</v>
      </c>
      <c r="B13">
        <v>1</v>
      </c>
      <c r="C13">
        <v>18.989999999999998</v>
      </c>
      <c r="D13">
        <v>18.989999999999998</v>
      </c>
      <c r="E13" t="s">
        <v>40</v>
      </c>
      <c r="F13" t="s">
        <v>1723</v>
      </c>
      <c r="G13" t="s">
        <v>16</v>
      </c>
      <c r="H13">
        <v>15</v>
      </c>
      <c r="I13" t="s">
        <v>41</v>
      </c>
      <c r="J13" t="s">
        <v>42</v>
      </c>
      <c r="K13">
        <v>6</v>
      </c>
      <c r="O13">
        <v>21.99</v>
      </c>
    </row>
    <row r="14" spans="1:15" x14ac:dyDescent="0.35">
      <c r="A14" t="s">
        <v>43</v>
      </c>
      <c r="B14">
        <v>1</v>
      </c>
      <c r="C14">
        <v>34.99</v>
      </c>
      <c r="D14">
        <v>34.99</v>
      </c>
      <c r="E14" t="s">
        <v>44</v>
      </c>
      <c r="F14" t="s">
        <v>1722</v>
      </c>
      <c r="G14" t="s">
        <v>21</v>
      </c>
      <c r="H14">
        <v>0</v>
      </c>
      <c r="I14" t="s">
        <v>24</v>
      </c>
      <c r="J14" t="s">
        <v>36</v>
      </c>
      <c r="K14">
        <v>12.5</v>
      </c>
      <c r="O14">
        <v>21.99</v>
      </c>
    </row>
    <row r="15" spans="1:15" x14ac:dyDescent="0.35">
      <c r="A15" t="s">
        <v>45</v>
      </c>
      <c r="B15">
        <v>3</v>
      </c>
      <c r="C15">
        <v>21.99</v>
      </c>
      <c r="D15">
        <v>52.48</v>
      </c>
      <c r="E15" t="s">
        <v>46</v>
      </c>
      <c r="F15" t="s">
        <v>1723</v>
      </c>
      <c r="G15" t="s">
        <v>16</v>
      </c>
      <c r="H15">
        <v>3</v>
      </c>
      <c r="I15" t="s">
        <v>12</v>
      </c>
      <c r="J15" t="s">
        <v>13</v>
      </c>
      <c r="K15">
        <v>7</v>
      </c>
      <c r="O15">
        <v>84.73</v>
      </c>
    </row>
    <row r="16" spans="1:15" x14ac:dyDescent="0.35">
      <c r="A16" t="s">
        <v>47</v>
      </c>
      <c r="B16">
        <v>3</v>
      </c>
      <c r="C16">
        <v>21.99</v>
      </c>
      <c r="D16">
        <v>52.48</v>
      </c>
      <c r="E16" t="s">
        <v>48</v>
      </c>
      <c r="F16" t="s">
        <v>1722</v>
      </c>
      <c r="G16" t="s">
        <v>16</v>
      </c>
      <c r="H16">
        <v>3</v>
      </c>
      <c r="I16" t="s">
        <v>24</v>
      </c>
      <c r="J16" t="s">
        <v>13</v>
      </c>
      <c r="K16">
        <v>7</v>
      </c>
      <c r="O16">
        <v>84.73</v>
      </c>
    </row>
    <row r="17" spans="1:15" x14ac:dyDescent="0.35">
      <c r="A17" t="s">
        <v>49</v>
      </c>
      <c r="B17">
        <v>3</v>
      </c>
      <c r="C17">
        <v>21.99</v>
      </c>
      <c r="D17">
        <v>52.48</v>
      </c>
      <c r="E17" t="s">
        <v>50</v>
      </c>
      <c r="F17" t="s">
        <v>1723</v>
      </c>
      <c r="G17" t="s">
        <v>16</v>
      </c>
      <c r="H17">
        <v>2</v>
      </c>
      <c r="I17" t="s">
        <v>12</v>
      </c>
      <c r="J17" t="s">
        <v>13</v>
      </c>
      <c r="K17">
        <v>7</v>
      </c>
      <c r="O17">
        <v>84.73</v>
      </c>
    </row>
    <row r="18" spans="1:15" x14ac:dyDescent="0.35">
      <c r="A18" t="s">
        <v>51</v>
      </c>
      <c r="B18">
        <v>3</v>
      </c>
      <c r="C18">
        <v>27.99</v>
      </c>
      <c r="D18">
        <v>66.88</v>
      </c>
      <c r="E18" t="s">
        <v>52</v>
      </c>
      <c r="F18" t="s">
        <v>1722</v>
      </c>
      <c r="G18" t="s">
        <v>16</v>
      </c>
      <c r="H18">
        <v>3</v>
      </c>
      <c r="I18" t="s">
        <v>17</v>
      </c>
      <c r="J18" t="s">
        <v>31</v>
      </c>
      <c r="K18">
        <v>9</v>
      </c>
      <c r="O18">
        <v>84.73</v>
      </c>
    </row>
    <row r="19" spans="1:15" x14ac:dyDescent="0.35">
      <c r="A19" t="s">
        <v>53</v>
      </c>
      <c r="B19">
        <v>2</v>
      </c>
      <c r="C19">
        <v>30.99</v>
      </c>
      <c r="D19">
        <v>53.78</v>
      </c>
      <c r="E19" t="s">
        <v>54</v>
      </c>
      <c r="F19" t="s">
        <v>1722</v>
      </c>
      <c r="G19" t="s">
        <v>28</v>
      </c>
      <c r="H19">
        <v>0</v>
      </c>
      <c r="I19" t="s">
        <v>24</v>
      </c>
      <c r="J19" t="s">
        <v>18</v>
      </c>
      <c r="K19">
        <v>10.5</v>
      </c>
      <c r="O19">
        <v>37.979999999999997</v>
      </c>
    </row>
    <row r="20" spans="1:15" x14ac:dyDescent="0.35">
      <c r="A20" t="s">
        <v>55</v>
      </c>
      <c r="B20">
        <v>1</v>
      </c>
      <c r="C20">
        <v>16.989999999999998</v>
      </c>
      <c r="D20">
        <v>16.989999999999998</v>
      </c>
      <c r="E20" t="s">
        <v>50</v>
      </c>
      <c r="F20" t="s">
        <v>1723</v>
      </c>
      <c r="G20" t="s">
        <v>16</v>
      </c>
      <c r="H20">
        <v>20</v>
      </c>
      <c r="I20" t="s">
        <v>12</v>
      </c>
      <c r="J20" t="s">
        <v>25</v>
      </c>
      <c r="K20">
        <v>5</v>
      </c>
      <c r="O20">
        <v>21.99</v>
      </c>
    </row>
    <row r="21" spans="1:15" x14ac:dyDescent="0.35">
      <c r="A21" t="s">
        <v>56</v>
      </c>
      <c r="B21">
        <v>1</v>
      </c>
      <c r="C21">
        <v>18.989999999999998</v>
      </c>
      <c r="D21">
        <v>18.989999999999998</v>
      </c>
      <c r="E21" t="s">
        <v>57</v>
      </c>
      <c r="F21" t="s">
        <v>1722</v>
      </c>
      <c r="G21" t="s">
        <v>21</v>
      </c>
      <c r="H21">
        <v>0</v>
      </c>
      <c r="I21" t="s">
        <v>12</v>
      </c>
      <c r="J21" t="s">
        <v>42</v>
      </c>
      <c r="K21">
        <v>6</v>
      </c>
      <c r="O21">
        <v>21.99</v>
      </c>
    </row>
    <row r="22" spans="1:15" x14ac:dyDescent="0.35">
      <c r="A22" t="s">
        <v>58</v>
      </c>
      <c r="B22">
        <v>2</v>
      </c>
      <c r="C22">
        <v>18.989999999999998</v>
      </c>
      <c r="D22">
        <v>32.78</v>
      </c>
      <c r="E22" t="s">
        <v>59</v>
      </c>
      <c r="F22" t="s">
        <v>1722</v>
      </c>
      <c r="G22" t="s">
        <v>21</v>
      </c>
      <c r="H22">
        <v>0</v>
      </c>
      <c r="I22" t="s">
        <v>41</v>
      </c>
      <c r="J22" t="s">
        <v>42</v>
      </c>
      <c r="K22">
        <v>6</v>
      </c>
      <c r="O22">
        <v>37.979999999999997</v>
      </c>
    </row>
    <row r="23" spans="1:15" x14ac:dyDescent="0.35">
      <c r="A23" t="s">
        <v>60</v>
      </c>
      <c r="B23">
        <v>1</v>
      </c>
      <c r="C23">
        <v>27.99</v>
      </c>
      <c r="D23">
        <v>27.99</v>
      </c>
      <c r="E23" t="s">
        <v>61</v>
      </c>
      <c r="F23" t="s">
        <v>1722</v>
      </c>
      <c r="G23" t="s">
        <v>21</v>
      </c>
      <c r="H23">
        <v>0</v>
      </c>
      <c r="I23" t="s">
        <v>17</v>
      </c>
      <c r="J23" t="s">
        <v>31</v>
      </c>
      <c r="K23">
        <v>9</v>
      </c>
      <c r="O23">
        <v>21.99</v>
      </c>
    </row>
    <row r="24" spans="1:15" x14ac:dyDescent="0.35">
      <c r="A24" t="s">
        <v>62</v>
      </c>
      <c r="B24">
        <v>1</v>
      </c>
      <c r="C24">
        <v>18.989999999999998</v>
      </c>
      <c r="D24">
        <v>18.989999999999998</v>
      </c>
      <c r="E24" t="s">
        <v>46</v>
      </c>
      <c r="F24" t="s">
        <v>1723</v>
      </c>
      <c r="G24" t="s">
        <v>16</v>
      </c>
      <c r="H24">
        <v>12</v>
      </c>
      <c r="I24" t="s">
        <v>41</v>
      </c>
      <c r="J24" t="s">
        <v>42</v>
      </c>
      <c r="K24">
        <v>6</v>
      </c>
      <c r="O24">
        <v>21.99</v>
      </c>
    </row>
    <row r="25" spans="1:15" x14ac:dyDescent="0.35">
      <c r="A25" t="s">
        <v>63</v>
      </c>
      <c r="B25">
        <v>1</v>
      </c>
      <c r="C25">
        <v>30.99</v>
      </c>
      <c r="D25">
        <v>30.99</v>
      </c>
      <c r="E25" t="s">
        <v>64</v>
      </c>
      <c r="F25" t="s">
        <v>1723</v>
      </c>
      <c r="G25" t="s">
        <v>16</v>
      </c>
      <c r="H25">
        <v>2</v>
      </c>
      <c r="I25" t="s">
        <v>24</v>
      </c>
      <c r="J25" t="s">
        <v>18</v>
      </c>
      <c r="K25">
        <v>10.5</v>
      </c>
      <c r="O25">
        <v>21.99</v>
      </c>
    </row>
    <row r="26" spans="1:15" x14ac:dyDescent="0.35">
      <c r="A26" t="s">
        <v>65</v>
      </c>
      <c r="B26">
        <v>3</v>
      </c>
      <c r="C26">
        <v>16.989999999999998</v>
      </c>
      <c r="D26">
        <v>40.18</v>
      </c>
      <c r="E26" t="s">
        <v>66</v>
      </c>
      <c r="F26" t="s">
        <v>1723</v>
      </c>
      <c r="G26" t="s">
        <v>21</v>
      </c>
      <c r="H26">
        <v>0</v>
      </c>
      <c r="I26" t="s">
        <v>12</v>
      </c>
      <c r="J26" t="s">
        <v>25</v>
      </c>
      <c r="K26">
        <v>5</v>
      </c>
      <c r="O26">
        <v>84.73</v>
      </c>
    </row>
    <row r="27" spans="1:15" x14ac:dyDescent="0.35">
      <c r="A27" t="s">
        <v>67</v>
      </c>
      <c r="B27">
        <v>1</v>
      </c>
      <c r="C27">
        <v>27.99</v>
      </c>
      <c r="D27">
        <v>27.99</v>
      </c>
      <c r="E27" t="s">
        <v>61</v>
      </c>
      <c r="F27" t="s">
        <v>1722</v>
      </c>
      <c r="G27" t="s">
        <v>28</v>
      </c>
      <c r="H27">
        <v>0</v>
      </c>
      <c r="I27" t="s">
        <v>17</v>
      </c>
      <c r="J27" t="s">
        <v>31</v>
      </c>
      <c r="K27">
        <v>9</v>
      </c>
      <c r="O27">
        <v>21.99</v>
      </c>
    </row>
    <row r="28" spans="1:15" x14ac:dyDescent="0.35">
      <c r="A28" t="s">
        <v>68</v>
      </c>
      <c r="B28">
        <v>3</v>
      </c>
      <c r="C28">
        <v>21.99</v>
      </c>
      <c r="D28">
        <v>52.48</v>
      </c>
      <c r="E28" t="s">
        <v>30</v>
      </c>
      <c r="F28" t="s">
        <v>1722</v>
      </c>
      <c r="G28" t="s">
        <v>16</v>
      </c>
      <c r="H28">
        <v>3</v>
      </c>
      <c r="I28" t="s">
        <v>17</v>
      </c>
      <c r="J28" t="s">
        <v>13</v>
      </c>
      <c r="K28">
        <v>7</v>
      </c>
      <c r="O28">
        <v>84.73</v>
      </c>
    </row>
    <row r="29" spans="1:15" x14ac:dyDescent="0.35">
      <c r="A29" t="s">
        <v>69</v>
      </c>
      <c r="B29">
        <v>1</v>
      </c>
      <c r="C29">
        <v>16.989999999999998</v>
      </c>
      <c r="D29">
        <v>16.989999999999998</v>
      </c>
      <c r="E29" t="s">
        <v>70</v>
      </c>
      <c r="F29" t="s">
        <v>1724</v>
      </c>
      <c r="G29" t="s">
        <v>16</v>
      </c>
      <c r="H29">
        <v>20</v>
      </c>
      <c r="I29" t="s">
        <v>41</v>
      </c>
      <c r="J29" t="s">
        <v>25</v>
      </c>
      <c r="K29">
        <v>5</v>
      </c>
      <c r="O29">
        <v>21.99</v>
      </c>
    </row>
    <row r="30" spans="1:15" x14ac:dyDescent="0.35">
      <c r="A30" t="s">
        <v>71</v>
      </c>
      <c r="B30">
        <v>1</v>
      </c>
      <c r="C30">
        <v>18.989999999999998</v>
      </c>
      <c r="D30">
        <v>18.989999999999998</v>
      </c>
      <c r="E30" t="s">
        <v>72</v>
      </c>
      <c r="F30" t="s">
        <v>1723</v>
      </c>
      <c r="G30" t="s">
        <v>16</v>
      </c>
      <c r="H30">
        <v>12</v>
      </c>
      <c r="I30" t="s">
        <v>24</v>
      </c>
      <c r="J30" t="s">
        <v>42</v>
      </c>
      <c r="K30">
        <v>6</v>
      </c>
      <c r="O30">
        <v>21.99</v>
      </c>
    </row>
    <row r="31" spans="1:15" x14ac:dyDescent="0.35">
      <c r="A31" t="s">
        <v>73</v>
      </c>
      <c r="B31">
        <v>3</v>
      </c>
      <c r="C31">
        <v>16.989999999999998</v>
      </c>
      <c r="D31">
        <v>40.18</v>
      </c>
      <c r="E31" t="s">
        <v>74</v>
      </c>
      <c r="F31" t="s">
        <v>1722</v>
      </c>
      <c r="G31" t="s">
        <v>21</v>
      </c>
      <c r="H31">
        <v>0</v>
      </c>
      <c r="I31" t="s">
        <v>41</v>
      </c>
      <c r="J31" t="s">
        <v>25</v>
      </c>
      <c r="K31">
        <v>5</v>
      </c>
      <c r="O31">
        <v>84.73</v>
      </c>
    </row>
    <row r="32" spans="1:15" x14ac:dyDescent="0.35">
      <c r="A32" t="s">
        <v>75</v>
      </c>
      <c r="B32">
        <v>1</v>
      </c>
      <c r="C32">
        <v>27.99</v>
      </c>
      <c r="D32">
        <v>27.99</v>
      </c>
      <c r="E32" t="s">
        <v>76</v>
      </c>
      <c r="F32" t="s">
        <v>1722</v>
      </c>
      <c r="G32" t="s">
        <v>21</v>
      </c>
      <c r="H32">
        <v>0</v>
      </c>
      <c r="I32" t="s">
        <v>41</v>
      </c>
      <c r="J32" t="s">
        <v>31</v>
      </c>
      <c r="K32">
        <v>9</v>
      </c>
      <c r="O32">
        <v>21.99</v>
      </c>
    </row>
    <row r="33" spans="1:15" x14ac:dyDescent="0.35">
      <c r="A33" t="s">
        <v>77</v>
      </c>
      <c r="B33">
        <v>1</v>
      </c>
      <c r="C33">
        <v>16.989999999999998</v>
      </c>
      <c r="D33">
        <v>16.989999999999998</v>
      </c>
      <c r="E33" t="s">
        <v>50</v>
      </c>
      <c r="F33" t="s">
        <v>1723</v>
      </c>
      <c r="G33" t="s">
        <v>16</v>
      </c>
      <c r="H33">
        <v>19</v>
      </c>
      <c r="I33" t="s">
        <v>41</v>
      </c>
      <c r="J33" t="s">
        <v>25</v>
      </c>
      <c r="K33">
        <v>5</v>
      </c>
      <c r="O33">
        <v>21.99</v>
      </c>
    </row>
    <row r="34" spans="1:15" x14ac:dyDescent="0.35">
      <c r="A34" t="s">
        <v>78</v>
      </c>
      <c r="B34">
        <v>1</v>
      </c>
      <c r="C34">
        <v>30.99</v>
      </c>
      <c r="D34">
        <v>30.99</v>
      </c>
      <c r="E34" t="s">
        <v>79</v>
      </c>
      <c r="F34" t="s">
        <v>1723</v>
      </c>
      <c r="G34" t="s">
        <v>16</v>
      </c>
      <c r="H34">
        <v>7</v>
      </c>
      <c r="I34" t="s">
        <v>41</v>
      </c>
      <c r="J34" t="s">
        <v>18</v>
      </c>
      <c r="K34">
        <v>10.5</v>
      </c>
      <c r="O34">
        <v>21.99</v>
      </c>
    </row>
    <row r="35" spans="1:15" x14ac:dyDescent="0.35">
      <c r="A35" t="s">
        <v>80</v>
      </c>
      <c r="B35">
        <v>3</v>
      </c>
      <c r="C35">
        <v>18.989999999999998</v>
      </c>
      <c r="D35">
        <v>45.28</v>
      </c>
      <c r="E35" t="s">
        <v>72</v>
      </c>
      <c r="F35" t="s">
        <v>1723</v>
      </c>
      <c r="G35" t="s">
        <v>16</v>
      </c>
      <c r="H35">
        <v>11</v>
      </c>
      <c r="I35" t="s">
        <v>41</v>
      </c>
      <c r="J35" t="s">
        <v>42</v>
      </c>
      <c r="K35">
        <v>6</v>
      </c>
      <c r="O35">
        <v>84.73</v>
      </c>
    </row>
    <row r="36" spans="1:15" x14ac:dyDescent="0.35">
      <c r="A36" t="s">
        <v>81</v>
      </c>
      <c r="B36">
        <v>1</v>
      </c>
      <c r="C36">
        <v>34.99</v>
      </c>
      <c r="D36">
        <v>34.99</v>
      </c>
      <c r="E36" t="s">
        <v>82</v>
      </c>
      <c r="F36" t="s">
        <v>1722</v>
      </c>
      <c r="G36" t="s">
        <v>16</v>
      </c>
      <c r="H36">
        <v>8</v>
      </c>
      <c r="I36" t="s">
        <v>17</v>
      </c>
      <c r="J36" t="s">
        <v>36</v>
      </c>
      <c r="K36">
        <v>12.5</v>
      </c>
      <c r="O36">
        <v>21.99</v>
      </c>
    </row>
    <row r="37" spans="1:15" x14ac:dyDescent="0.35">
      <c r="A37" t="s">
        <v>83</v>
      </c>
      <c r="B37">
        <v>1</v>
      </c>
      <c r="C37">
        <v>16.989999999999998</v>
      </c>
      <c r="D37">
        <v>16.989999999999998</v>
      </c>
      <c r="E37" t="s">
        <v>84</v>
      </c>
      <c r="F37" t="s">
        <v>1723</v>
      </c>
      <c r="G37" t="s">
        <v>28</v>
      </c>
      <c r="H37">
        <v>0</v>
      </c>
      <c r="I37" t="s">
        <v>24</v>
      </c>
      <c r="J37" t="s">
        <v>25</v>
      </c>
      <c r="K37">
        <v>5</v>
      </c>
      <c r="O37">
        <v>21.99</v>
      </c>
    </row>
    <row r="38" spans="1:15" x14ac:dyDescent="0.35">
      <c r="A38" t="s">
        <v>85</v>
      </c>
      <c r="B38">
        <v>3</v>
      </c>
      <c r="C38">
        <v>34.99</v>
      </c>
      <c r="D38">
        <v>84.73</v>
      </c>
      <c r="E38" t="s">
        <v>86</v>
      </c>
      <c r="F38" t="s">
        <v>1722</v>
      </c>
      <c r="G38" t="s">
        <v>87</v>
      </c>
      <c r="H38">
        <v>0</v>
      </c>
      <c r="I38" t="s">
        <v>12</v>
      </c>
      <c r="J38" t="s">
        <v>36</v>
      </c>
      <c r="K38">
        <v>12.5</v>
      </c>
      <c r="O38">
        <v>84.73</v>
      </c>
    </row>
    <row r="39" spans="1:15" x14ac:dyDescent="0.35">
      <c r="A39" t="s">
        <v>88</v>
      </c>
      <c r="B39">
        <v>3</v>
      </c>
      <c r="C39">
        <v>30.99</v>
      </c>
      <c r="D39">
        <v>74.53</v>
      </c>
      <c r="E39" t="s">
        <v>89</v>
      </c>
      <c r="F39" t="s">
        <v>1722</v>
      </c>
      <c r="G39" t="s">
        <v>16</v>
      </c>
      <c r="H39">
        <v>3</v>
      </c>
      <c r="I39" t="s">
        <v>12</v>
      </c>
      <c r="J39" t="s">
        <v>18</v>
      </c>
      <c r="K39">
        <v>10.5</v>
      </c>
      <c r="O39">
        <v>84.73</v>
      </c>
    </row>
    <row r="40" spans="1:15" x14ac:dyDescent="0.35">
      <c r="A40" t="s">
        <v>90</v>
      </c>
      <c r="B40">
        <v>1</v>
      </c>
      <c r="C40">
        <v>30.99</v>
      </c>
      <c r="D40">
        <v>30.99</v>
      </c>
      <c r="E40" t="s">
        <v>76</v>
      </c>
      <c r="F40" t="s">
        <v>1722</v>
      </c>
      <c r="G40" t="s">
        <v>16</v>
      </c>
      <c r="H40">
        <v>3</v>
      </c>
      <c r="I40" t="s">
        <v>17</v>
      </c>
      <c r="J40" t="s">
        <v>18</v>
      </c>
      <c r="K40">
        <v>10.5</v>
      </c>
      <c r="O40">
        <v>21.99</v>
      </c>
    </row>
    <row r="41" spans="1:15" x14ac:dyDescent="0.35">
      <c r="A41" t="s">
        <v>91</v>
      </c>
      <c r="B41">
        <v>1</v>
      </c>
      <c r="C41">
        <v>21.99</v>
      </c>
      <c r="D41">
        <v>21.99</v>
      </c>
      <c r="E41" t="s">
        <v>92</v>
      </c>
      <c r="F41" t="s">
        <v>1724</v>
      </c>
      <c r="G41" t="s">
        <v>21</v>
      </c>
      <c r="H41">
        <v>0</v>
      </c>
      <c r="I41" t="s">
        <v>12</v>
      </c>
      <c r="J41" t="s">
        <v>13</v>
      </c>
      <c r="K41">
        <v>7</v>
      </c>
      <c r="O41">
        <v>21.99</v>
      </c>
    </row>
    <row r="42" spans="1:15" x14ac:dyDescent="0.35">
      <c r="A42" t="s">
        <v>93</v>
      </c>
      <c r="B42">
        <v>1</v>
      </c>
      <c r="C42">
        <v>30.99</v>
      </c>
      <c r="D42">
        <v>30.99</v>
      </c>
      <c r="E42" t="s">
        <v>94</v>
      </c>
      <c r="F42" t="s">
        <v>1722</v>
      </c>
      <c r="G42" t="s">
        <v>16</v>
      </c>
      <c r="H42">
        <v>3</v>
      </c>
      <c r="I42" t="s">
        <v>41</v>
      </c>
      <c r="J42" t="s">
        <v>18</v>
      </c>
      <c r="K42">
        <v>10.5</v>
      </c>
      <c r="O42">
        <v>21.99</v>
      </c>
    </row>
    <row r="43" spans="1:15" x14ac:dyDescent="0.35">
      <c r="A43" t="s">
        <v>95</v>
      </c>
      <c r="B43">
        <v>1</v>
      </c>
      <c r="C43">
        <v>18.989999999999998</v>
      </c>
      <c r="D43">
        <v>18.989999999999998</v>
      </c>
      <c r="E43" t="s">
        <v>96</v>
      </c>
      <c r="F43" t="s">
        <v>1724</v>
      </c>
      <c r="G43" t="s">
        <v>16</v>
      </c>
      <c r="H43">
        <v>14</v>
      </c>
      <c r="I43" t="s">
        <v>41</v>
      </c>
      <c r="J43" t="s">
        <v>42</v>
      </c>
      <c r="K43">
        <v>6</v>
      </c>
      <c r="O43">
        <v>21.99</v>
      </c>
    </row>
    <row r="44" spans="1:15" x14ac:dyDescent="0.35">
      <c r="A44" t="s">
        <v>97</v>
      </c>
      <c r="B44">
        <v>1</v>
      </c>
      <c r="C44">
        <v>27.99</v>
      </c>
      <c r="D44">
        <v>27.99</v>
      </c>
      <c r="E44" t="s">
        <v>94</v>
      </c>
      <c r="F44" t="s">
        <v>1722</v>
      </c>
      <c r="G44" t="s">
        <v>16</v>
      </c>
      <c r="H44">
        <v>3</v>
      </c>
      <c r="I44" t="s">
        <v>17</v>
      </c>
      <c r="J44" t="s">
        <v>31</v>
      </c>
      <c r="K44">
        <v>9</v>
      </c>
      <c r="O44">
        <v>21.99</v>
      </c>
    </row>
    <row r="45" spans="1:15" x14ac:dyDescent="0.35">
      <c r="A45" t="s">
        <v>98</v>
      </c>
      <c r="B45">
        <v>1</v>
      </c>
      <c r="C45">
        <v>18.989999999999998</v>
      </c>
      <c r="D45">
        <v>18.989999999999998</v>
      </c>
      <c r="E45" t="s">
        <v>99</v>
      </c>
      <c r="F45" t="s">
        <v>1722</v>
      </c>
      <c r="G45" t="s">
        <v>16</v>
      </c>
      <c r="H45">
        <v>18</v>
      </c>
      <c r="I45" t="s">
        <v>41</v>
      </c>
      <c r="J45" t="s">
        <v>42</v>
      </c>
      <c r="K45">
        <v>6</v>
      </c>
      <c r="O45">
        <v>21.99</v>
      </c>
    </row>
    <row r="46" spans="1:15" x14ac:dyDescent="0.35">
      <c r="A46" t="s">
        <v>100</v>
      </c>
      <c r="B46">
        <v>1</v>
      </c>
      <c r="C46">
        <v>18.989999999999998</v>
      </c>
      <c r="D46">
        <v>18.989999999999998</v>
      </c>
      <c r="E46" t="s">
        <v>54</v>
      </c>
      <c r="F46" t="s">
        <v>1722</v>
      </c>
      <c r="G46" t="s">
        <v>16</v>
      </c>
      <c r="H46">
        <v>11</v>
      </c>
      <c r="I46" t="s">
        <v>12</v>
      </c>
      <c r="J46" t="s">
        <v>42</v>
      </c>
      <c r="K46">
        <v>6</v>
      </c>
      <c r="O46">
        <v>21.99</v>
      </c>
    </row>
    <row r="47" spans="1:15" x14ac:dyDescent="0.35">
      <c r="A47" t="s">
        <v>101</v>
      </c>
      <c r="B47">
        <v>1</v>
      </c>
      <c r="C47">
        <v>18.989999999999998</v>
      </c>
      <c r="D47">
        <v>18.989999999999998</v>
      </c>
      <c r="E47" t="s">
        <v>102</v>
      </c>
      <c r="F47" t="s">
        <v>1724</v>
      </c>
      <c r="G47" t="s">
        <v>16</v>
      </c>
      <c r="H47">
        <v>20</v>
      </c>
      <c r="I47" t="s">
        <v>12</v>
      </c>
      <c r="J47" t="s">
        <v>42</v>
      </c>
      <c r="K47">
        <v>6</v>
      </c>
      <c r="O47">
        <v>21.99</v>
      </c>
    </row>
    <row r="48" spans="1:15" x14ac:dyDescent="0.35">
      <c r="A48" t="s">
        <v>103</v>
      </c>
      <c r="B48">
        <v>1</v>
      </c>
      <c r="C48">
        <v>16.989999999999998</v>
      </c>
      <c r="D48">
        <v>16.989999999999998</v>
      </c>
      <c r="E48" t="s">
        <v>44</v>
      </c>
      <c r="F48" t="s">
        <v>1722</v>
      </c>
      <c r="G48" t="s">
        <v>16</v>
      </c>
      <c r="H48">
        <v>16</v>
      </c>
      <c r="I48" t="s">
        <v>41</v>
      </c>
      <c r="J48" t="s">
        <v>25</v>
      </c>
      <c r="K48">
        <v>5</v>
      </c>
      <c r="O48">
        <v>21.99</v>
      </c>
    </row>
    <row r="49" spans="1:15" x14ac:dyDescent="0.35">
      <c r="A49" t="s">
        <v>104</v>
      </c>
      <c r="B49">
        <v>1</v>
      </c>
      <c r="C49">
        <v>18.989999999999998</v>
      </c>
      <c r="D49">
        <v>18.989999999999998</v>
      </c>
      <c r="E49" t="s">
        <v>23</v>
      </c>
      <c r="F49" t="s">
        <v>1723</v>
      </c>
      <c r="G49" t="s">
        <v>16</v>
      </c>
      <c r="H49">
        <v>14</v>
      </c>
      <c r="I49" t="s">
        <v>24</v>
      </c>
      <c r="J49" t="s">
        <v>42</v>
      </c>
      <c r="K49">
        <v>6</v>
      </c>
      <c r="O49">
        <v>21.99</v>
      </c>
    </row>
    <row r="50" spans="1:15" x14ac:dyDescent="0.35">
      <c r="A50" t="s">
        <v>105</v>
      </c>
      <c r="B50">
        <v>1</v>
      </c>
      <c r="C50">
        <v>21.99</v>
      </c>
      <c r="D50">
        <v>21.99</v>
      </c>
      <c r="E50" t="s">
        <v>106</v>
      </c>
      <c r="F50" t="s">
        <v>1724</v>
      </c>
      <c r="G50" t="s">
        <v>11</v>
      </c>
      <c r="H50">
        <v>2</v>
      </c>
      <c r="I50" t="s">
        <v>24</v>
      </c>
      <c r="J50" t="s">
        <v>13</v>
      </c>
      <c r="K50">
        <v>7</v>
      </c>
      <c r="O50">
        <v>21.99</v>
      </c>
    </row>
    <row r="51" spans="1:15" x14ac:dyDescent="0.35">
      <c r="A51" t="s">
        <v>107</v>
      </c>
      <c r="B51">
        <v>2</v>
      </c>
      <c r="C51">
        <v>30.99</v>
      </c>
      <c r="D51">
        <v>53.78</v>
      </c>
      <c r="E51" t="s">
        <v>108</v>
      </c>
      <c r="F51" t="s">
        <v>1724</v>
      </c>
      <c r="G51" t="s">
        <v>28</v>
      </c>
      <c r="H51">
        <v>0</v>
      </c>
      <c r="I51" t="s">
        <v>17</v>
      </c>
      <c r="J51" t="s">
        <v>18</v>
      </c>
      <c r="K51">
        <v>10.5</v>
      </c>
      <c r="O51">
        <v>37.979999999999997</v>
      </c>
    </row>
    <row r="52" spans="1:15" x14ac:dyDescent="0.35">
      <c r="A52" t="s">
        <v>109</v>
      </c>
      <c r="B52">
        <v>2</v>
      </c>
      <c r="C52">
        <v>21.99</v>
      </c>
      <c r="D52">
        <v>37.979999999999997</v>
      </c>
      <c r="E52" t="s">
        <v>110</v>
      </c>
      <c r="F52" t="s">
        <v>1723</v>
      </c>
      <c r="G52" t="s">
        <v>11</v>
      </c>
      <c r="H52">
        <v>3</v>
      </c>
      <c r="I52" t="s">
        <v>12</v>
      </c>
      <c r="J52" t="s">
        <v>13</v>
      </c>
      <c r="K52">
        <v>7</v>
      </c>
      <c r="O52">
        <v>37.979999999999997</v>
      </c>
    </row>
    <row r="53" spans="1:15" x14ac:dyDescent="0.35">
      <c r="A53" t="s">
        <v>111</v>
      </c>
      <c r="B53">
        <v>2</v>
      </c>
      <c r="C53">
        <v>16.989999999999998</v>
      </c>
      <c r="D53">
        <v>29.18</v>
      </c>
      <c r="E53" t="s">
        <v>27</v>
      </c>
      <c r="F53" t="s">
        <v>1723</v>
      </c>
      <c r="G53" t="s">
        <v>87</v>
      </c>
      <c r="H53">
        <v>0</v>
      </c>
      <c r="I53" t="s">
        <v>24</v>
      </c>
      <c r="J53" t="s">
        <v>25</v>
      </c>
      <c r="K53">
        <v>5</v>
      </c>
      <c r="O53">
        <v>37.979999999999997</v>
      </c>
    </row>
    <row r="54" spans="1:15" x14ac:dyDescent="0.35">
      <c r="A54" t="s">
        <v>112</v>
      </c>
      <c r="B54">
        <v>1</v>
      </c>
      <c r="C54">
        <v>34.99</v>
      </c>
      <c r="D54">
        <v>34.99</v>
      </c>
      <c r="E54" t="s">
        <v>57</v>
      </c>
      <c r="F54" t="s">
        <v>1722</v>
      </c>
      <c r="G54" t="s">
        <v>87</v>
      </c>
      <c r="H54">
        <v>0</v>
      </c>
      <c r="I54" t="s">
        <v>24</v>
      </c>
      <c r="J54" t="s">
        <v>36</v>
      </c>
      <c r="K54">
        <v>12.5</v>
      </c>
      <c r="O54">
        <v>21.99</v>
      </c>
    </row>
    <row r="55" spans="1:15" x14ac:dyDescent="0.35">
      <c r="A55" t="s">
        <v>113</v>
      </c>
      <c r="B55">
        <v>1</v>
      </c>
      <c r="C55">
        <v>16.989999999999998</v>
      </c>
      <c r="D55">
        <v>16.989999999999998</v>
      </c>
      <c r="E55" s="6">
        <v>46227</v>
      </c>
      <c r="F55" t="s">
        <v>1723</v>
      </c>
      <c r="G55" t="s">
        <v>21</v>
      </c>
      <c r="H55">
        <v>0</v>
      </c>
      <c r="I55" t="s">
        <v>24</v>
      </c>
      <c r="J55" t="s">
        <v>25</v>
      </c>
      <c r="K55">
        <v>5</v>
      </c>
      <c r="O55">
        <v>21.99</v>
      </c>
    </row>
    <row r="56" spans="1:15" x14ac:dyDescent="0.35">
      <c r="A56" t="s">
        <v>114</v>
      </c>
      <c r="B56">
        <v>3</v>
      </c>
      <c r="C56">
        <v>18.989999999999998</v>
      </c>
      <c r="D56">
        <v>45.28</v>
      </c>
      <c r="E56" t="s">
        <v>76</v>
      </c>
      <c r="F56" t="s">
        <v>1722</v>
      </c>
      <c r="G56" t="s">
        <v>16</v>
      </c>
      <c r="H56">
        <v>10</v>
      </c>
      <c r="I56" t="s">
        <v>24</v>
      </c>
      <c r="J56" t="s">
        <v>42</v>
      </c>
      <c r="K56">
        <v>6</v>
      </c>
      <c r="O56">
        <v>84.73</v>
      </c>
    </row>
    <row r="57" spans="1:15" x14ac:dyDescent="0.35">
      <c r="A57" t="s">
        <v>115</v>
      </c>
      <c r="B57">
        <v>1</v>
      </c>
      <c r="C57">
        <v>18.989999999999998</v>
      </c>
      <c r="D57">
        <v>18.989999999999998</v>
      </c>
      <c r="E57" t="s">
        <v>116</v>
      </c>
      <c r="F57" t="s">
        <v>1724</v>
      </c>
      <c r="G57" t="s">
        <v>16</v>
      </c>
      <c r="H57">
        <v>14</v>
      </c>
      <c r="I57" t="s">
        <v>24</v>
      </c>
      <c r="J57" t="s">
        <v>42</v>
      </c>
      <c r="K57">
        <v>6</v>
      </c>
      <c r="O57">
        <v>21.99</v>
      </c>
    </row>
    <row r="58" spans="1:15" x14ac:dyDescent="0.35">
      <c r="A58" t="s">
        <v>117</v>
      </c>
      <c r="B58">
        <v>1</v>
      </c>
      <c r="C58">
        <v>21.99</v>
      </c>
      <c r="D58">
        <v>21.99</v>
      </c>
      <c r="E58" t="s">
        <v>118</v>
      </c>
      <c r="F58" t="s">
        <v>1722</v>
      </c>
      <c r="G58" t="s">
        <v>16</v>
      </c>
      <c r="H58">
        <v>2</v>
      </c>
      <c r="I58" t="s">
        <v>12</v>
      </c>
      <c r="J58" t="s">
        <v>13</v>
      </c>
      <c r="K58">
        <v>7</v>
      </c>
      <c r="O58">
        <v>21.99</v>
      </c>
    </row>
    <row r="59" spans="1:15" x14ac:dyDescent="0.35">
      <c r="A59" t="s">
        <v>119</v>
      </c>
      <c r="B59">
        <v>1</v>
      </c>
      <c r="C59">
        <v>34.99</v>
      </c>
      <c r="D59">
        <v>34.99</v>
      </c>
      <c r="E59" t="s">
        <v>120</v>
      </c>
      <c r="F59" t="s">
        <v>1724</v>
      </c>
      <c r="G59" t="s">
        <v>21</v>
      </c>
      <c r="H59">
        <v>0</v>
      </c>
      <c r="I59" t="s">
        <v>41</v>
      </c>
      <c r="J59" t="s">
        <v>36</v>
      </c>
      <c r="K59">
        <v>12.5</v>
      </c>
      <c r="O59">
        <v>21.99</v>
      </c>
    </row>
    <row r="60" spans="1:15" x14ac:dyDescent="0.35">
      <c r="A60" t="s">
        <v>121</v>
      </c>
      <c r="B60">
        <v>1</v>
      </c>
      <c r="C60">
        <v>34.99</v>
      </c>
      <c r="D60">
        <v>34.99</v>
      </c>
      <c r="E60" t="s">
        <v>122</v>
      </c>
      <c r="F60" t="s">
        <v>1724</v>
      </c>
      <c r="G60" t="s">
        <v>16</v>
      </c>
      <c r="H60">
        <v>5</v>
      </c>
      <c r="I60" t="s">
        <v>17</v>
      </c>
      <c r="J60" t="s">
        <v>36</v>
      </c>
      <c r="K60">
        <v>12.5</v>
      </c>
      <c r="O60">
        <v>21.99</v>
      </c>
    </row>
    <row r="61" spans="1:15" x14ac:dyDescent="0.35">
      <c r="A61" t="s">
        <v>123</v>
      </c>
      <c r="B61">
        <v>2</v>
      </c>
      <c r="C61">
        <v>27.99</v>
      </c>
      <c r="D61">
        <v>48.38</v>
      </c>
      <c r="E61" t="s">
        <v>50</v>
      </c>
      <c r="F61" t="s">
        <v>1723</v>
      </c>
      <c r="G61" t="s">
        <v>16</v>
      </c>
      <c r="H61">
        <v>3</v>
      </c>
      <c r="I61" t="s">
        <v>12</v>
      </c>
      <c r="J61" t="s">
        <v>31</v>
      </c>
      <c r="K61">
        <v>9</v>
      </c>
      <c r="O61">
        <v>37.979999999999997</v>
      </c>
    </row>
    <row r="62" spans="1:15" x14ac:dyDescent="0.35">
      <c r="A62" t="s">
        <v>124</v>
      </c>
      <c r="B62">
        <v>1</v>
      </c>
      <c r="C62">
        <v>30.99</v>
      </c>
      <c r="D62">
        <v>30.99</v>
      </c>
      <c r="E62" t="s">
        <v>33</v>
      </c>
      <c r="F62" t="s">
        <v>1722</v>
      </c>
      <c r="G62" t="s">
        <v>16</v>
      </c>
      <c r="H62">
        <v>2</v>
      </c>
      <c r="I62" t="s">
        <v>12</v>
      </c>
      <c r="J62" t="s">
        <v>18</v>
      </c>
      <c r="K62">
        <v>10.5</v>
      </c>
      <c r="O62">
        <v>21.99</v>
      </c>
    </row>
    <row r="63" spans="1:15" x14ac:dyDescent="0.35">
      <c r="A63" t="s">
        <v>125</v>
      </c>
      <c r="B63">
        <v>2</v>
      </c>
      <c r="C63">
        <v>34.99</v>
      </c>
      <c r="D63">
        <v>60.98</v>
      </c>
      <c r="E63" t="s">
        <v>126</v>
      </c>
      <c r="F63" t="s">
        <v>1722</v>
      </c>
      <c r="G63" t="s">
        <v>21</v>
      </c>
      <c r="H63">
        <v>0</v>
      </c>
      <c r="I63" t="s">
        <v>12</v>
      </c>
      <c r="J63" t="s">
        <v>36</v>
      </c>
      <c r="K63">
        <v>12.5</v>
      </c>
      <c r="O63">
        <v>37.979999999999997</v>
      </c>
    </row>
    <row r="64" spans="1:15" x14ac:dyDescent="0.35">
      <c r="A64" t="s">
        <v>127</v>
      </c>
      <c r="B64">
        <v>1</v>
      </c>
      <c r="C64">
        <v>27.99</v>
      </c>
      <c r="D64">
        <v>27.99</v>
      </c>
      <c r="E64" t="s">
        <v>23</v>
      </c>
      <c r="F64" t="s">
        <v>1723</v>
      </c>
      <c r="G64" t="s">
        <v>16</v>
      </c>
      <c r="H64">
        <v>2</v>
      </c>
      <c r="I64" t="s">
        <v>12</v>
      </c>
      <c r="J64" t="s">
        <v>31</v>
      </c>
      <c r="K64">
        <v>9</v>
      </c>
      <c r="O64">
        <v>21.99</v>
      </c>
    </row>
    <row r="65" spans="1:15" x14ac:dyDescent="0.35">
      <c r="A65" t="s">
        <v>128</v>
      </c>
      <c r="B65">
        <v>1</v>
      </c>
      <c r="C65">
        <v>34.99</v>
      </c>
      <c r="D65">
        <v>34.99</v>
      </c>
      <c r="E65" t="s">
        <v>23</v>
      </c>
      <c r="F65" t="s">
        <v>1723</v>
      </c>
      <c r="G65" t="s">
        <v>87</v>
      </c>
      <c r="H65">
        <v>0</v>
      </c>
      <c r="I65" t="s">
        <v>12</v>
      </c>
      <c r="J65" t="s">
        <v>36</v>
      </c>
      <c r="K65">
        <v>12.5</v>
      </c>
      <c r="O65">
        <v>21.99</v>
      </c>
    </row>
    <row r="66" spans="1:15" x14ac:dyDescent="0.35">
      <c r="A66" t="s">
        <v>129</v>
      </c>
      <c r="B66">
        <v>1</v>
      </c>
      <c r="C66">
        <v>30.99</v>
      </c>
      <c r="D66">
        <v>30.99</v>
      </c>
      <c r="E66" t="s">
        <v>33</v>
      </c>
      <c r="F66" t="s">
        <v>1722</v>
      </c>
      <c r="G66" t="s">
        <v>16</v>
      </c>
      <c r="H66">
        <v>4</v>
      </c>
      <c r="I66" t="s">
        <v>12</v>
      </c>
      <c r="J66" t="s">
        <v>18</v>
      </c>
      <c r="K66">
        <v>10.5</v>
      </c>
      <c r="O66">
        <v>21.99</v>
      </c>
    </row>
    <row r="67" spans="1:15" x14ac:dyDescent="0.35">
      <c r="A67" t="s">
        <v>130</v>
      </c>
      <c r="B67">
        <v>1</v>
      </c>
      <c r="C67">
        <v>27.99</v>
      </c>
      <c r="D67">
        <v>27.99</v>
      </c>
      <c r="E67" t="s">
        <v>44</v>
      </c>
      <c r="F67" t="s">
        <v>1722</v>
      </c>
      <c r="G67" t="s">
        <v>28</v>
      </c>
      <c r="H67">
        <v>0</v>
      </c>
      <c r="I67" t="s">
        <v>24</v>
      </c>
      <c r="J67" t="s">
        <v>31</v>
      </c>
      <c r="K67">
        <v>9</v>
      </c>
      <c r="O67">
        <v>21.99</v>
      </c>
    </row>
    <row r="68" spans="1:15" x14ac:dyDescent="0.35">
      <c r="A68" t="s">
        <v>131</v>
      </c>
      <c r="B68">
        <v>1</v>
      </c>
      <c r="C68">
        <v>18.989999999999998</v>
      </c>
      <c r="D68">
        <v>18.989999999999998</v>
      </c>
      <c r="E68" t="s">
        <v>132</v>
      </c>
      <c r="F68" t="s">
        <v>1722</v>
      </c>
      <c r="G68" t="s">
        <v>16</v>
      </c>
      <c r="H68">
        <v>14</v>
      </c>
      <c r="I68" t="s">
        <v>24</v>
      </c>
      <c r="J68" t="s">
        <v>42</v>
      </c>
      <c r="K68">
        <v>6</v>
      </c>
      <c r="O68">
        <v>21.99</v>
      </c>
    </row>
    <row r="69" spans="1:15" x14ac:dyDescent="0.35">
      <c r="A69" t="s">
        <v>133</v>
      </c>
      <c r="B69">
        <v>1</v>
      </c>
      <c r="C69">
        <v>18.989999999999998</v>
      </c>
      <c r="D69">
        <v>18.989999999999998</v>
      </c>
      <c r="E69" t="s">
        <v>134</v>
      </c>
      <c r="F69" t="s">
        <v>1722</v>
      </c>
      <c r="G69" t="s">
        <v>16</v>
      </c>
      <c r="H69">
        <v>11</v>
      </c>
      <c r="I69" t="s">
        <v>24</v>
      </c>
      <c r="J69" t="s">
        <v>42</v>
      </c>
      <c r="K69">
        <v>6</v>
      </c>
      <c r="O69">
        <v>21.99</v>
      </c>
    </row>
    <row r="70" spans="1:15" x14ac:dyDescent="0.35">
      <c r="A70" t="s">
        <v>135</v>
      </c>
      <c r="B70">
        <v>2</v>
      </c>
      <c r="C70">
        <v>21.99</v>
      </c>
      <c r="D70">
        <v>37.979999999999997</v>
      </c>
      <c r="E70" t="s">
        <v>48</v>
      </c>
      <c r="F70" t="s">
        <v>1722</v>
      </c>
      <c r="G70" t="s">
        <v>16</v>
      </c>
      <c r="H70">
        <v>3</v>
      </c>
      <c r="I70" t="s">
        <v>17</v>
      </c>
      <c r="J70" t="s">
        <v>13</v>
      </c>
      <c r="K70">
        <v>7</v>
      </c>
      <c r="O70">
        <v>37.979999999999997</v>
      </c>
    </row>
    <row r="71" spans="1:15" x14ac:dyDescent="0.35">
      <c r="A71" t="s">
        <v>136</v>
      </c>
      <c r="B71">
        <v>1</v>
      </c>
      <c r="C71">
        <v>21.99</v>
      </c>
      <c r="D71">
        <v>21.99</v>
      </c>
      <c r="E71" t="s">
        <v>86</v>
      </c>
      <c r="F71" t="s">
        <v>1722</v>
      </c>
      <c r="G71" t="s">
        <v>16</v>
      </c>
      <c r="H71">
        <v>2</v>
      </c>
      <c r="I71" t="s">
        <v>12</v>
      </c>
      <c r="J71" t="s">
        <v>13</v>
      </c>
      <c r="K71">
        <v>7</v>
      </c>
      <c r="O71">
        <v>21.99</v>
      </c>
    </row>
    <row r="72" spans="1:15" x14ac:dyDescent="0.35">
      <c r="A72" t="s">
        <v>137</v>
      </c>
      <c r="B72">
        <v>3</v>
      </c>
      <c r="C72">
        <v>30.99</v>
      </c>
      <c r="D72">
        <v>74.53</v>
      </c>
      <c r="E72" t="s">
        <v>138</v>
      </c>
      <c r="F72" t="s">
        <v>1728</v>
      </c>
      <c r="G72" t="s">
        <v>16</v>
      </c>
      <c r="H72">
        <v>2</v>
      </c>
      <c r="I72" t="s">
        <v>17</v>
      </c>
      <c r="J72" t="s">
        <v>18</v>
      </c>
      <c r="K72">
        <v>10.5</v>
      </c>
      <c r="O72">
        <v>84.73</v>
      </c>
    </row>
    <row r="73" spans="1:15" x14ac:dyDescent="0.35">
      <c r="A73" t="s">
        <v>139</v>
      </c>
      <c r="B73">
        <v>3</v>
      </c>
      <c r="C73">
        <v>27.99</v>
      </c>
      <c r="D73">
        <v>66.88</v>
      </c>
      <c r="E73" t="s">
        <v>89</v>
      </c>
      <c r="F73" t="s">
        <v>1722</v>
      </c>
      <c r="G73" t="s">
        <v>16</v>
      </c>
      <c r="H73">
        <v>2</v>
      </c>
      <c r="I73" t="s">
        <v>17</v>
      </c>
      <c r="J73" t="s">
        <v>31</v>
      </c>
      <c r="K73">
        <v>9</v>
      </c>
      <c r="O73">
        <v>84.73</v>
      </c>
    </row>
    <row r="74" spans="1:15" x14ac:dyDescent="0.35">
      <c r="A74" t="s">
        <v>140</v>
      </c>
      <c r="B74">
        <v>1</v>
      </c>
      <c r="C74">
        <v>18.989999999999998</v>
      </c>
      <c r="D74">
        <v>18.989999999999998</v>
      </c>
      <c r="E74" t="s">
        <v>64</v>
      </c>
      <c r="F74" t="s">
        <v>1723</v>
      </c>
      <c r="G74" t="s">
        <v>16</v>
      </c>
      <c r="H74">
        <v>13</v>
      </c>
      <c r="I74" t="s">
        <v>41</v>
      </c>
      <c r="J74" t="s">
        <v>42</v>
      </c>
      <c r="K74">
        <v>6</v>
      </c>
      <c r="O74">
        <v>21.99</v>
      </c>
    </row>
    <row r="75" spans="1:15" x14ac:dyDescent="0.35">
      <c r="A75" t="s">
        <v>141</v>
      </c>
      <c r="B75">
        <v>2</v>
      </c>
      <c r="C75">
        <v>30.99</v>
      </c>
      <c r="D75">
        <v>53.78</v>
      </c>
      <c r="E75" t="s">
        <v>76</v>
      </c>
      <c r="F75" t="s">
        <v>1722</v>
      </c>
      <c r="G75" t="s">
        <v>16</v>
      </c>
      <c r="H75">
        <v>3</v>
      </c>
      <c r="I75" t="s">
        <v>24</v>
      </c>
      <c r="J75" t="s">
        <v>18</v>
      </c>
      <c r="K75">
        <v>10.5</v>
      </c>
      <c r="O75">
        <v>37.979999999999997</v>
      </c>
    </row>
    <row r="76" spans="1:15" x14ac:dyDescent="0.35">
      <c r="A76" t="s">
        <v>142</v>
      </c>
      <c r="B76">
        <v>1</v>
      </c>
      <c r="C76">
        <v>16.989999999999998</v>
      </c>
      <c r="D76">
        <v>16.989999999999998</v>
      </c>
      <c r="E76" t="s">
        <v>143</v>
      </c>
      <c r="F76" t="s">
        <v>1723</v>
      </c>
      <c r="G76" t="s">
        <v>16</v>
      </c>
      <c r="H76">
        <v>20</v>
      </c>
      <c r="I76" t="s">
        <v>41</v>
      </c>
      <c r="J76" t="s">
        <v>25</v>
      </c>
      <c r="K76">
        <v>5</v>
      </c>
      <c r="O76">
        <v>21.99</v>
      </c>
    </row>
    <row r="77" spans="1:15" x14ac:dyDescent="0.35">
      <c r="A77" t="s">
        <v>144</v>
      </c>
      <c r="B77">
        <v>1</v>
      </c>
      <c r="C77">
        <v>16.989999999999998</v>
      </c>
      <c r="D77">
        <v>16.989999999999998</v>
      </c>
      <c r="E77" t="s">
        <v>66</v>
      </c>
      <c r="F77" t="s">
        <v>1723</v>
      </c>
      <c r="G77" t="s">
        <v>11</v>
      </c>
      <c r="H77">
        <v>18</v>
      </c>
      <c r="I77" t="s">
        <v>24</v>
      </c>
      <c r="J77" t="s">
        <v>25</v>
      </c>
      <c r="K77">
        <v>5</v>
      </c>
      <c r="O77">
        <v>21.99</v>
      </c>
    </row>
    <row r="78" spans="1:15" x14ac:dyDescent="0.35">
      <c r="A78" t="s">
        <v>145</v>
      </c>
      <c r="B78">
        <v>2</v>
      </c>
      <c r="C78">
        <v>18.989999999999998</v>
      </c>
      <c r="D78">
        <v>32.78</v>
      </c>
      <c r="E78" t="s">
        <v>146</v>
      </c>
      <c r="F78" t="s">
        <v>1723</v>
      </c>
      <c r="G78" t="s">
        <v>16</v>
      </c>
      <c r="H78">
        <v>12</v>
      </c>
      <c r="I78" t="s">
        <v>24</v>
      </c>
      <c r="J78" t="s">
        <v>42</v>
      </c>
      <c r="K78">
        <v>6</v>
      </c>
      <c r="O78">
        <v>37.979999999999997</v>
      </c>
    </row>
    <row r="79" spans="1:15" x14ac:dyDescent="0.35">
      <c r="A79" t="s">
        <v>147</v>
      </c>
      <c r="B79">
        <v>3</v>
      </c>
      <c r="C79">
        <v>34.99</v>
      </c>
      <c r="D79">
        <v>84.73</v>
      </c>
      <c r="E79" t="s">
        <v>148</v>
      </c>
      <c r="F79" t="s">
        <v>1724</v>
      </c>
      <c r="G79" t="s">
        <v>87</v>
      </c>
      <c r="H79">
        <v>0</v>
      </c>
      <c r="I79" t="s">
        <v>41</v>
      </c>
      <c r="J79" t="s">
        <v>36</v>
      </c>
      <c r="K79">
        <v>12.5</v>
      </c>
      <c r="O79">
        <v>84.73</v>
      </c>
    </row>
    <row r="80" spans="1:15" x14ac:dyDescent="0.35">
      <c r="A80" t="s">
        <v>149</v>
      </c>
      <c r="B80">
        <v>1</v>
      </c>
      <c r="C80">
        <v>21.99</v>
      </c>
      <c r="D80">
        <v>21.99</v>
      </c>
      <c r="E80" t="s">
        <v>96</v>
      </c>
      <c r="F80" t="s">
        <v>1725</v>
      </c>
      <c r="G80" t="s">
        <v>16</v>
      </c>
      <c r="H80">
        <v>2</v>
      </c>
      <c r="I80" t="s">
        <v>41</v>
      </c>
      <c r="J80" t="s">
        <v>13</v>
      </c>
      <c r="K80">
        <v>7</v>
      </c>
      <c r="O80">
        <v>21.99</v>
      </c>
    </row>
    <row r="81" spans="1:15" x14ac:dyDescent="0.35">
      <c r="A81" t="s">
        <v>150</v>
      </c>
      <c r="B81">
        <v>1</v>
      </c>
      <c r="C81">
        <v>21.99</v>
      </c>
      <c r="D81">
        <v>21.99</v>
      </c>
      <c r="E81" t="s">
        <v>76</v>
      </c>
      <c r="F81" t="s">
        <v>1726</v>
      </c>
      <c r="G81" t="s">
        <v>16</v>
      </c>
      <c r="H81">
        <v>2</v>
      </c>
      <c r="I81" t="s">
        <v>41</v>
      </c>
      <c r="J81" t="s">
        <v>13</v>
      </c>
      <c r="K81">
        <v>7</v>
      </c>
      <c r="O81">
        <v>21.99</v>
      </c>
    </row>
    <row r="82" spans="1:15" x14ac:dyDescent="0.35">
      <c r="A82" t="s">
        <v>151</v>
      </c>
      <c r="B82">
        <v>1</v>
      </c>
      <c r="C82">
        <v>27.99</v>
      </c>
      <c r="D82">
        <v>27.99</v>
      </c>
      <c r="E82" t="s">
        <v>122</v>
      </c>
      <c r="F82" t="s">
        <v>1727</v>
      </c>
      <c r="G82" t="s">
        <v>16</v>
      </c>
      <c r="H82">
        <v>2</v>
      </c>
      <c r="I82" t="s">
        <v>12</v>
      </c>
      <c r="J82" t="s">
        <v>31</v>
      </c>
      <c r="K82">
        <v>9</v>
      </c>
      <c r="O82">
        <v>21.99</v>
      </c>
    </row>
    <row r="83" spans="1:15" x14ac:dyDescent="0.35">
      <c r="A83" t="s">
        <v>152</v>
      </c>
      <c r="B83">
        <v>2</v>
      </c>
      <c r="C83">
        <v>16.989999999999998</v>
      </c>
      <c r="D83">
        <v>29.18</v>
      </c>
      <c r="E83" t="s">
        <v>50</v>
      </c>
      <c r="F83" t="s">
        <v>1728</v>
      </c>
      <c r="G83" t="s">
        <v>16</v>
      </c>
      <c r="H83">
        <v>20</v>
      </c>
      <c r="I83" t="s">
        <v>12</v>
      </c>
      <c r="J83" t="s">
        <v>25</v>
      </c>
      <c r="K83">
        <v>5</v>
      </c>
      <c r="O83">
        <v>37.979999999999997</v>
      </c>
    </row>
    <row r="84" spans="1:15" x14ac:dyDescent="0.35">
      <c r="A84" t="s">
        <v>153</v>
      </c>
      <c r="B84">
        <v>1</v>
      </c>
      <c r="C84">
        <v>21.99</v>
      </c>
      <c r="D84">
        <v>21.99</v>
      </c>
      <c r="E84" t="s">
        <v>86</v>
      </c>
      <c r="F84" t="s">
        <v>1717</v>
      </c>
      <c r="G84" t="s">
        <v>16</v>
      </c>
      <c r="H84">
        <v>2</v>
      </c>
      <c r="I84" t="s">
        <v>17</v>
      </c>
      <c r="J84" t="s">
        <v>13</v>
      </c>
      <c r="K84">
        <v>7</v>
      </c>
      <c r="O84">
        <v>21.99</v>
      </c>
    </row>
    <row r="85" spans="1:15" x14ac:dyDescent="0.35">
      <c r="A85" t="s">
        <v>154</v>
      </c>
      <c r="B85">
        <v>1</v>
      </c>
      <c r="C85">
        <v>34.99</v>
      </c>
      <c r="D85">
        <v>34.99</v>
      </c>
      <c r="E85" t="s">
        <v>54</v>
      </c>
      <c r="F85" t="s">
        <v>1718</v>
      </c>
      <c r="G85" t="s">
        <v>16</v>
      </c>
      <c r="H85">
        <v>10</v>
      </c>
      <c r="I85" t="s">
        <v>24</v>
      </c>
      <c r="J85" t="s">
        <v>36</v>
      </c>
      <c r="K85">
        <v>12.5</v>
      </c>
      <c r="O85">
        <v>21.99</v>
      </c>
    </row>
    <row r="86" spans="1:15" x14ac:dyDescent="0.35">
      <c r="A86" t="s">
        <v>155</v>
      </c>
      <c r="B86">
        <v>1</v>
      </c>
      <c r="C86">
        <v>21.99</v>
      </c>
      <c r="D86">
        <v>21.99</v>
      </c>
      <c r="E86" t="s">
        <v>156</v>
      </c>
      <c r="F86" t="s">
        <v>1719</v>
      </c>
      <c r="G86" t="s">
        <v>11</v>
      </c>
      <c r="H86">
        <v>3</v>
      </c>
      <c r="I86" t="s">
        <v>12</v>
      </c>
      <c r="J86" t="s">
        <v>13</v>
      </c>
      <c r="K86">
        <v>7</v>
      </c>
      <c r="O86">
        <v>21.99</v>
      </c>
    </row>
    <row r="87" spans="1:15" x14ac:dyDescent="0.35">
      <c r="A87" t="s">
        <v>157</v>
      </c>
      <c r="B87">
        <v>1</v>
      </c>
      <c r="C87">
        <v>34.99</v>
      </c>
      <c r="D87">
        <v>34.99</v>
      </c>
      <c r="E87" t="s">
        <v>158</v>
      </c>
      <c r="F87" t="s">
        <v>1720</v>
      </c>
      <c r="G87" t="s">
        <v>21</v>
      </c>
      <c r="H87">
        <v>0</v>
      </c>
      <c r="I87" t="s">
        <v>12</v>
      </c>
      <c r="J87" t="s">
        <v>36</v>
      </c>
      <c r="K87">
        <v>12.5</v>
      </c>
      <c r="O87">
        <v>21.99</v>
      </c>
    </row>
    <row r="88" spans="1:15" x14ac:dyDescent="0.35">
      <c r="A88" t="s">
        <v>159</v>
      </c>
      <c r="B88">
        <v>1</v>
      </c>
      <c r="C88">
        <v>27.99</v>
      </c>
      <c r="D88">
        <v>27.99</v>
      </c>
      <c r="E88" t="s">
        <v>160</v>
      </c>
      <c r="F88" t="s">
        <v>1721</v>
      </c>
      <c r="G88" t="s">
        <v>16</v>
      </c>
      <c r="H88">
        <v>2</v>
      </c>
      <c r="I88" t="s">
        <v>12</v>
      </c>
      <c r="J88" t="s">
        <v>31</v>
      </c>
      <c r="K88">
        <v>9</v>
      </c>
      <c r="O88">
        <v>21.99</v>
      </c>
    </row>
    <row r="89" spans="1:15" x14ac:dyDescent="0.35">
      <c r="A89" t="s">
        <v>161</v>
      </c>
      <c r="B89">
        <v>3</v>
      </c>
      <c r="C89">
        <v>16.989999999999998</v>
      </c>
      <c r="D89">
        <v>40.18</v>
      </c>
      <c r="E89" t="s">
        <v>162</v>
      </c>
      <c r="F89" t="s">
        <v>1722</v>
      </c>
      <c r="G89" t="s">
        <v>16</v>
      </c>
      <c r="H89">
        <v>20</v>
      </c>
      <c r="I89" t="s">
        <v>41</v>
      </c>
      <c r="J89" t="s">
        <v>25</v>
      </c>
      <c r="K89">
        <v>5</v>
      </c>
      <c r="O89">
        <v>84.73</v>
      </c>
    </row>
    <row r="90" spans="1:15" x14ac:dyDescent="0.35">
      <c r="A90" t="s">
        <v>163</v>
      </c>
      <c r="B90">
        <v>1</v>
      </c>
      <c r="C90">
        <v>16.989999999999998</v>
      </c>
      <c r="D90">
        <v>16.989999999999998</v>
      </c>
      <c r="E90" t="s">
        <v>164</v>
      </c>
      <c r="F90" t="s">
        <v>1723</v>
      </c>
      <c r="G90" t="s">
        <v>11</v>
      </c>
      <c r="H90">
        <v>19</v>
      </c>
      <c r="I90" t="s">
        <v>24</v>
      </c>
      <c r="J90" t="s">
        <v>25</v>
      </c>
      <c r="K90">
        <v>5</v>
      </c>
      <c r="O90">
        <v>21.99</v>
      </c>
    </row>
    <row r="91" spans="1:15" x14ac:dyDescent="0.35">
      <c r="A91" t="s">
        <v>165</v>
      </c>
      <c r="B91">
        <v>1</v>
      </c>
      <c r="C91">
        <v>18.989999999999998</v>
      </c>
      <c r="D91">
        <v>18.989999999999998</v>
      </c>
      <c r="E91" t="s">
        <v>166</v>
      </c>
      <c r="F91" t="s">
        <v>1724</v>
      </c>
      <c r="G91" t="s">
        <v>16</v>
      </c>
      <c r="H91">
        <v>10</v>
      </c>
      <c r="I91" t="s">
        <v>24</v>
      </c>
      <c r="J91" t="s">
        <v>42</v>
      </c>
      <c r="K91">
        <v>6</v>
      </c>
      <c r="O91">
        <v>21.99</v>
      </c>
    </row>
    <row r="92" spans="1:15" x14ac:dyDescent="0.35">
      <c r="A92" t="s">
        <v>167</v>
      </c>
      <c r="B92">
        <v>1</v>
      </c>
      <c r="C92">
        <v>16.989999999999998</v>
      </c>
      <c r="D92">
        <v>16.989999999999998</v>
      </c>
      <c r="E92" t="s">
        <v>35</v>
      </c>
      <c r="F92" t="s">
        <v>1725</v>
      </c>
      <c r="G92" t="s">
        <v>16</v>
      </c>
      <c r="H92">
        <v>15</v>
      </c>
      <c r="I92" t="s">
        <v>12</v>
      </c>
      <c r="J92" t="s">
        <v>25</v>
      </c>
      <c r="K92">
        <v>5</v>
      </c>
      <c r="O92">
        <v>21.99</v>
      </c>
    </row>
    <row r="93" spans="1:15" x14ac:dyDescent="0.35">
      <c r="A93" t="s">
        <v>168</v>
      </c>
      <c r="B93">
        <v>3</v>
      </c>
      <c r="C93">
        <v>34.99</v>
      </c>
      <c r="D93">
        <v>84.73</v>
      </c>
      <c r="E93" t="s">
        <v>169</v>
      </c>
      <c r="F93" t="s">
        <v>1726</v>
      </c>
      <c r="G93" t="s">
        <v>16</v>
      </c>
      <c r="H93">
        <v>5</v>
      </c>
      <c r="I93" t="s">
        <v>24</v>
      </c>
      <c r="J93" t="s">
        <v>36</v>
      </c>
      <c r="K93">
        <v>12.5</v>
      </c>
      <c r="O93">
        <v>84.73</v>
      </c>
    </row>
    <row r="94" spans="1:15" x14ac:dyDescent="0.35">
      <c r="A94" t="s">
        <v>170</v>
      </c>
      <c r="B94">
        <v>2</v>
      </c>
      <c r="C94">
        <v>30.99</v>
      </c>
      <c r="D94">
        <v>53.78</v>
      </c>
      <c r="E94" t="s">
        <v>171</v>
      </c>
      <c r="F94" t="s">
        <v>1727</v>
      </c>
      <c r="G94" t="s">
        <v>87</v>
      </c>
      <c r="H94">
        <v>0</v>
      </c>
      <c r="I94" t="s">
        <v>24</v>
      </c>
      <c r="J94" t="s">
        <v>18</v>
      </c>
      <c r="K94">
        <v>10.5</v>
      </c>
      <c r="O94">
        <v>37.979999999999997</v>
      </c>
    </row>
    <row r="95" spans="1:15" x14ac:dyDescent="0.35">
      <c r="A95" t="s">
        <v>172</v>
      </c>
      <c r="B95">
        <v>1</v>
      </c>
      <c r="C95">
        <v>34.99</v>
      </c>
      <c r="D95">
        <v>34.99</v>
      </c>
      <c r="E95" t="s">
        <v>169</v>
      </c>
      <c r="F95" t="s">
        <v>1728</v>
      </c>
      <c r="G95" t="s">
        <v>11</v>
      </c>
      <c r="H95">
        <v>6</v>
      </c>
      <c r="I95" t="s">
        <v>41</v>
      </c>
      <c r="J95" t="s">
        <v>36</v>
      </c>
      <c r="K95">
        <v>12.5</v>
      </c>
      <c r="O95">
        <v>21.99</v>
      </c>
    </row>
    <row r="96" spans="1:15" x14ac:dyDescent="0.35">
      <c r="A96" t="s">
        <v>173</v>
      </c>
      <c r="B96">
        <v>1</v>
      </c>
      <c r="C96">
        <v>16.989999999999998</v>
      </c>
      <c r="D96">
        <v>16.989999999999998</v>
      </c>
      <c r="E96" t="s">
        <v>143</v>
      </c>
      <c r="F96" t="s">
        <v>1717</v>
      </c>
      <c r="G96" t="s">
        <v>16</v>
      </c>
      <c r="H96">
        <v>19</v>
      </c>
      <c r="I96" t="s">
        <v>12</v>
      </c>
      <c r="J96" t="s">
        <v>25</v>
      </c>
      <c r="K96">
        <v>5</v>
      </c>
      <c r="O96">
        <v>21.99</v>
      </c>
    </row>
    <row r="97" spans="1:15" x14ac:dyDescent="0.35">
      <c r="A97" t="s">
        <v>174</v>
      </c>
      <c r="B97">
        <v>1</v>
      </c>
      <c r="C97">
        <v>21.99</v>
      </c>
      <c r="D97">
        <v>21.99</v>
      </c>
      <c r="E97" t="s">
        <v>50</v>
      </c>
      <c r="F97" t="s">
        <v>1718</v>
      </c>
      <c r="G97" t="s">
        <v>16</v>
      </c>
      <c r="H97">
        <v>2</v>
      </c>
      <c r="I97" t="s">
        <v>17</v>
      </c>
      <c r="J97" t="s">
        <v>13</v>
      </c>
      <c r="K97">
        <v>7</v>
      </c>
      <c r="O97">
        <v>21.99</v>
      </c>
    </row>
    <row r="98" spans="1:15" x14ac:dyDescent="0.35">
      <c r="A98" t="s">
        <v>175</v>
      </c>
      <c r="B98">
        <v>1</v>
      </c>
      <c r="C98">
        <v>16.989999999999998</v>
      </c>
      <c r="D98">
        <v>16.989999999999998</v>
      </c>
      <c r="E98" t="s">
        <v>176</v>
      </c>
      <c r="F98" t="s">
        <v>1719</v>
      </c>
      <c r="G98" t="s">
        <v>28</v>
      </c>
      <c r="H98">
        <v>0</v>
      </c>
      <c r="I98" t="s">
        <v>17</v>
      </c>
      <c r="J98" t="s">
        <v>25</v>
      </c>
      <c r="K98">
        <v>5</v>
      </c>
      <c r="O98">
        <v>21.99</v>
      </c>
    </row>
    <row r="99" spans="1:15" x14ac:dyDescent="0.35">
      <c r="A99" t="s">
        <v>177</v>
      </c>
      <c r="B99">
        <v>3</v>
      </c>
      <c r="C99">
        <v>21.99</v>
      </c>
      <c r="D99">
        <v>52.48</v>
      </c>
      <c r="E99" t="s">
        <v>134</v>
      </c>
      <c r="F99" t="s">
        <v>1720</v>
      </c>
      <c r="G99" t="s">
        <v>28</v>
      </c>
      <c r="H99">
        <v>0</v>
      </c>
      <c r="I99" t="s">
        <v>41</v>
      </c>
      <c r="J99" t="s">
        <v>13</v>
      </c>
      <c r="K99">
        <v>7</v>
      </c>
      <c r="O99">
        <v>84.73</v>
      </c>
    </row>
    <row r="100" spans="1:15" x14ac:dyDescent="0.35">
      <c r="A100" t="s">
        <v>178</v>
      </c>
      <c r="B100">
        <v>1</v>
      </c>
      <c r="C100">
        <v>34.99</v>
      </c>
      <c r="D100">
        <v>34.99</v>
      </c>
      <c r="E100" t="s">
        <v>72</v>
      </c>
      <c r="F100" t="s">
        <v>1721</v>
      </c>
      <c r="G100" t="s">
        <v>21</v>
      </c>
      <c r="H100">
        <v>0</v>
      </c>
      <c r="I100" t="s">
        <v>17</v>
      </c>
      <c r="J100" t="s">
        <v>36</v>
      </c>
      <c r="K100">
        <v>12.5</v>
      </c>
      <c r="O100">
        <v>21.99</v>
      </c>
    </row>
    <row r="101" spans="1:15" x14ac:dyDescent="0.35">
      <c r="A101" t="s">
        <v>179</v>
      </c>
      <c r="B101">
        <v>1</v>
      </c>
      <c r="C101">
        <v>16.989999999999998</v>
      </c>
      <c r="D101">
        <v>16.989999999999998</v>
      </c>
      <c r="E101" t="s">
        <v>118</v>
      </c>
      <c r="F101" t="s">
        <v>1722</v>
      </c>
      <c r="G101" t="s">
        <v>11</v>
      </c>
      <c r="H101">
        <v>16</v>
      </c>
      <c r="I101" t="s">
        <v>17</v>
      </c>
      <c r="J101" t="s">
        <v>25</v>
      </c>
      <c r="K101">
        <v>5</v>
      </c>
      <c r="O101">
        <v>21.99</v>
      </c>
    </row>
    <row r="102" spans="1:15" x14ac:dyDescent="0.35">
      <c r="A102" t="s">
        <v>180</v>
      </c>
      <c r="B102">
        <v>3</v>
      </c>
      <c r="C102">
        <v>27.99</v>
      </c>
      <c r="D102">
        <v>66.88</v>
      </c>
      <c r="E102" t="s">
        <v>116</v>
      </c>
      <c r="F102" t="s">
        <v>1723</v>
      </c>
      <c r="G102" t="s">
        <v>16</v>
      </c>
      <c r="H102">
        <v>2</v>
      </c>
      <c r="I102" t="s">
        <v>24</v>
      </c>
      <c r="J102" t="s">
        <v>31</v>
      </c>
      <c r="K102">
        <v>9</v>
      </c>
      <c r="O102">
        <v>84.73</v>
      </c>
    </row>
    <row r="103" spans="1:15" x14ac:dyDescent="0.35">
      <c r="A103" t="s">
        <v>181</v>
      </c>
      <c r="B103">
        <v>1</v>
      </c>
      <c r="C103">
        <v>21.99</v>
      </c>
      <c r="D103">
        <v>21.99</v>
      </c>
      <c r="E103" t="s">
        <v>116</v>
      </c>
      <c r="F103" t="s">
        <v>1724</v>
      </c>
      <c r="G103" t="s">
        <v>16</v>
      </c>
      <c r="H103">
        <v>2</v>
      </c>
      <c r="I103" t="s">
        <v>24</v>
      </c>
      <c r="J103" t="s">
        <v>13</v>
      </c>
      <c r="K103">
        <v>7</v>
      </c>
      <c r="O103">
        <v>21.99</v>
      </c>
    </row>
    <row r="104" spans="1:15" x14ac:dyDescent="0.35">
      <c r="A104" t="s">
        <v>182</v>
      </c>
      <c r="B104">
        <v>1</v>
      </c>
      <c r="C104">
        <v>30.99</v>
      </c>
      <c r="D104">
        <v>30.99</v>
      </c>
      <c r="E104" t="s">
        <v>46</v>
      </c>
      <c r="F104" t="s">
        <v>1725</v>
      </c>
      <c r="G104" t="s">
        <v>21</v>
      </c>
      <c r="H104">
        <v>0</v>
      </c>
      <c r="I104" t="s">
        <v>41</v>
      </c>
      <c r="J104" t="s">
        <v>18</v>
      </c>
      <c r="K104">
        <v>10.5</v>
      </c>
      <c r="O104">
        <v>21.99</v>
      </c>
    </row>
    <row r="105" spans="1:15" x14ac:dyDescent="0.35">
      <c r="A105" t="s">
        <v>183</v>
      </c>
      <c r="B105">
        <v>1</v>
      </c>
      <c r="C105">
        <v>18.989999999999998</v>
      </c>
      <c r="D105">
        <v>18.989999999999998</v>
      </c>
      <c r="E105" t="s">
        <v>126</v>
      </c>
      <c r="F105" t="s">
        <v>1726</v>
      </c>
      <c r="G105" t="s">
        <v>16</v>
      </c>
      <c r="H105">
        <v>11</v>
      </c>
      <c r="I105" t="s">
        <v>17</v>
      </c>
      <c r="J105" t="s">
        <v>42</v>
      </c>
      <c r="K105">
        <v>6</v>
      </c>
      <c r="O105">
        <v>21.99</v>
      </c>
    </row>
    <row r="106" spans="1:15" x14ac:dyDescent="0.35">
      <c r="A106" t="s">
        <v>184</v>
      </c>
      <c r="B106">
        <v>1</v>
      </c>
      <c r="C106">
        <v>30.99</v>
      </c>
      <c r="D106">
        <v>30.99</v>
      </c>
      <c r="E106" t="s">
        <v>66</v>
      </c>
      <c r="F106" t="s">
        <v>1727</v>
      </c>
      <c r="G106" t="s">
        <v>16</v>
      </c>
      <c r="H106">
        <v>3</v>
      </c>
      <c r="I106" t="s">
        <v>17</v>
      </c>
      <c r="J106" t="s">
        <v>18</v>
      </c>
      <c r="K106">
        <v>10.5</v>
      </c>
      <c r="O106">
        <v>21.99</v>
      </c>
    </row>
    <row r="107" spans="1:15" x14ac:dyDescent="0.35">
      <c r="A107" t="s">
        <v>185</v>
      </c>
      <c r="B107">
        <v>1</v>
      </c>
      <c r="C107">
        <v>30.99</v>
      </c>
      <c r="D107">
        <v>30.99</v>
      </c>
      <c r="E107" t="s">
        <v>79</v>
      </c>
      <c r="F107" t="s">
        <v>1728</v>
      </c>
      <c r="G107" t="s">
        <v>21</v>
      </c>
      <c r="H107">
        <v>0</v>
      </c>
      <c r="I107" t="s">
        <v>24</v>
      </c>
      <c r="J107" t="s">
        <v>18</v>
      </c>
      <c r="K107">
        <v>10.5</v>
      </c>
      <c r="O107">
        <v>21.99</v>
      </c>
    </row>
    <row r="108" spans="1:15" x14ac:dyDescent="0.35">
      <c r="A108" t="s">
        <v>186</v>
      </c>
      <c r="B108">
        <v>1</v>
      </c>
      <c r="C108">
        <v>34.99</v>
      </c>
      <c r="D108">
        <v>34.99</v>
      </c>
      <c r="E108" t="s">
        <v>162</v>
      </c>
      <c r="F108" t="s">
        <v>1717</v>
      </c>
      <c r="G108" t="s">
        <v>87</v>
      </c>
      <c r="H108">
        <v>0</v>
      </c>
      <c r="I108" t="s">
        <v>17</v>
      </c>
      <c r="J108" t="s">
        <v>36</v>
      </c>
      <c r="K108">
        <v>12.5</v>
      </c>
      <c r="O108">
        <v>21.99</v>
      </c>
    </row>
    <row r="109" spans="1:15" x14ac:dyDescent="0.35">
      <c r="A109" t="s">
        <v>187</v>
      </c>
      <c r="B109">
        <v>1</v>
      </c>
      <c r="C109">
        <v>27.99</v>
      </c>
      <c r="D109">
        <v>27.99</v>
      </c>
      <c r="E109" t="s">
        <v>38</v>
      </c>
      <c r="F109" t="s">
        <v>1718</v>
      </c>
      <c r="G109" t="s">
        <v>16</v>
      </c>
      <c r="H109">
        <v>3</v>
      </c>
      <c r="I109" t="s">
        <v>12</v>
      </c>
      <c r="J109" t="s">
        <v>31</v>
      </c>
      <c r="K109">
        <v>9</v>
      </c>
      <c r="O109">
        <v>21.99</v>
      </c>
    </row>
    <row r="110" spans="1:15" x14ac:dyDescent="0.35">
      <c r="A110" t="s">
        <v>187</v>
      </c>
      <c r="B110">
        <v>1</v>
      </c>
      <c r="C110">
        <v>27.99</v>
      </c>
      <c r="D110">
        <v>27.99</v>
      </c>
      <c r="E110" t="s">
        <v>38</v>
      </c>
      <c r="F110" t="s">
        <v>1719</v>
      </c>
      <c r="G110" t="s">
        <v>16</v>
      </c>
      <c r="H110">
        <v>3</v>
      </c>
      <c r="I110" t="s">
        <v>12</v>
      </c>
      <c r="J110" t="s">
        <v>31</v>
      </c>
      <c r="K110">
        <v>9</v>
      </c>
      <c r="O110">
        <v>21.99</v>
      </c>
    </row>
    <row r="111" spans="1:15" x14ac:dyDescent="0.35">
      <c r="A111" t="s">
        <v>188</v>
      </c>
      <c r="B111">
        <v>1</v>
      </c>
      <c r="C111">
        <v>18.989999999999998</v>
      </c>
      <c r="D111">
        <v>18.989999999999998</v>
      </c>
      <c r="E111" t="s">
        <v>126</v>
      </c>
      <c r="F111" t="s">
        <v>1720</v>
      </c>
      <c r="G111" t="s">
        <v>28</v>
      </c>
      <c r="H111">
        <v>0</v>
      </c>
      <c r="I111" t="s">
        <v>17</v>
      </c>
      <c r="J111" t="s">
        <v>42</v>
      </c>
      <c r="K111">
        <v>6</v>
      </c>
      <c r="O111">
        <v>21.99</v>
      </c>
    </row>
    <row r="112" spans="1:15" x14ac:dyDescent="0.35">
      <c r="A112" t="s">
        <v>189</v>
      </c>
      <c r="B112">
        <v>1</v>
      </c>
      <c r="C112">
        <v>27.99</v>
      </c>
      <c r="D112">
        <v>27.99</v>
      </c>
      <c r="E112" t="s">
        <v>82</v>
      </c>
      <c r="F112" t="s">
        <v>1721</v>
      </c>
      <c r="G112" t="s">
        <v>87</v>
      </c>
      <c r="H112">
        <v>0</v>
      </c>
      <c r="I112" t="s">
        <v>17</v>
      </c>
      <c r="J112" t="s">
        <v>31</v>
      </c>
      <c r="K112">
        <v>9</v>
      </c>
      <c r="O112">
        <v>21.99</v>
      </c>
    </row>
    <row r="113" spans="1:15" x14ac:dyDescent="0.35">
      <c r="A113" t="s">
        <v>190</v>
      </c>
      <c r="B113">
        <v>1</v>
      </c>
      <c r="C113">
        <v>34.99</v>
      </c>
      <c r="D113">
        <v>34.99</v>
      </c>
      <c r="E113" t="s">
        <v>191</v>
      </c>
      <c r="F113" t="s">
        <v>1722</v>
      </c>
      <c r="G113" t="s">
        <v>21</v>
      </c>
      <c r="H113">
        <v>0</v>
      </c>
      <c r="I113" t="s">
        <v>24</v>
      </c>
      <c r="J113" t="s">
        <v>36</v>
      </c>
      <c r="K113">
        <v>12.5</v>
      </c>
      <c r="O113">
        <v>21.99</v>
      </c>
    </row>
    <row r="114" spans="1:15" x14ac:dyDescent="0.35">
      <c r="A114" t="s">
        <v>192</v>
      </c>
      <c r="B114">
        <v>1</v>
      </c>
      <c r="C114">
        <v>21.99</v>
      </c>
      <c r="D114">
        <v>21.99</v>
      </c>
      <c r="E114" t="s">
        <v>156</v>
      </c>
      <c r="F114" t="s">
        <v>1723</v>
      </c>
      <c r="G114" t="s">
        <v>16</v>
      </c>
      <c r="H114">
        <v>2</v>
      </c>
      <c r="I114" t="s">
        <v>17</v>
      </c>
      <c r="J114" t="s">
        <v>13</v>
      </c>
      <c r="K114">
        <v>7</v>
      </c>
      <c r="O114">
        <v>21.99</v>
      </c>
    </row>
    <row r="115" spans="1:15" x14ac:dyDescent="0.35">
      <c r="A115" t="s">
        <v>193</v>
      </c>
      <c r="B115">
        <v>1</v>
      </c>
      <c r="C115">
        <v>16.989999999999998</v>
      </c>
      <c r="D115">
        <v>16.989999999999998</v>
      </c>
      <c r="E115" t="s">
        <v>15</v>
      </c>
      <c r="F115" t="s">
        <v>1724</v>
      </c>
      <c r="G115" t="s">
        <v>21</v>
      </c>
      <c r="H115">
        <v>0</v>
      </c>
      <c r="I115" t="s">
        <v>12</v>
      </c>
      <c r="J115" t="s">
        <v>25</v>
      </c>
      <c r="K115">
        <v>5</v>
      </c>
      <c r="O115">
        <v>21.99</v>
      </c>
    </row>
    <row r="116" spans="1:15" x14ac:dyDescent="0.35">
      <c r="A116" t="s">
        <v>194</v>
      </c>
      <c r="B116">
        <v>1</v>
      </c>
      <c r="C116">
        <v>27.99</v>
      </c>
      <c r="D116">
        <v>27.99</v>
      </c>
      <c r="E116" t="s">
        <v>195</v>
      </c>
      <c r="F116" t="s">
        <v>1725</v>
      </c>
      <c r="G116" t="s">
        <v>16</v>
      </c>
      <c r="H116">
        <v>3</v>
      </c>
      <c r="I116" t="s">
        <v>41</v>
      </c>
      <c r="J116" t="s">
        <v>31</v>
      </c>
      <c r="K116">
        <v>9</v>
      </c>
      <c r="O116">
        <v>21.99</v>
      </c>
    </row>
    <row r="117" spans="1:15" x14ac:dyDescent="0.35">
      <c r="A117" t="s">
        <v>196</v>
      </c>
      <c r="B117">
        <v>2</v>
      </c>
      <c r="C117">
        <v>21.99</v>
      </c>
      <c r="D117">
        <v>37.979999999999997</v>
      </c>
      <c r="E117" t="s">
        <v>44</v>
      </c>
      <c r="F117" t="s">
        <v>1726</v>
      </c>
      <c r="G117" t="s">
        <v>87</v>
      </c>
      <c r="H117">
        <v>0</v>
      </c>
      <c r="I117" t="s">
        <v>17</v>
      </c>
      <c r="J117" t="s">
        <v>13</v>
      </c>
      <c r="K117">
        <v>7</v>
      </c>
      <c r="O117">
        <v>37.979999999999997</v>
      </c>
    </row>
    <row r="118" spans="1:15" x14ac:dyDescent="0.35">
      <c r="A118" t="s">
        <v>197</v>
      </c>
      <c r="B118">
        <v>3</v>
      </c>
      <c r="C118">
        <v>30.99</v>
      </c>
      <c r="D118">
        <v>74.53</v>
      </c>
      <c r="E118" t="s">
        <v>120</v>
      </c>
      <c r="F118" t="s">
        <v>1727</v>
      </c>
      <c r="G118" t="s">
        <v>21</v>
      </c>
      <c r="H118">
        <v>0</v>
      </c>
      <c r="I118" t="s">
        <v>24</v>
      </c>
      <c r="J118" t="s">
        <v>18</v>
      </c>
      <c r="K118">
        <v>10.5</v>
      </c>
      <c r="O118">
        <v>84.73</v>
      </c>
    </row>
    <row r="119" spans="1:15" x14ac:dyDescent="0.35">
      <c r="A119" t="s">
        <v>198</v>
      </c>
      <c r="B119">
        <v>1</v>
      </c>
      <c r="C119">
        <v>18.989999999999998</v>
      </c>
      <c r="D119">
        <v>18.989999999999998</v>
      </c>
      <c r="E119" t="s">
        <v>199</v>
      </c>
      <c r="F119" t="s">
        <v>1728</v>
      </c>
      <c r="G119" t="s">
        <v>87</v>
      </c>
      <c r="H119">
        <v>0</v>
      </c>
      <c r="I119" t="s">
        <v>41</v>
      </c>
      <c r="J119" t="s">
        <v>42</v>
      </c>
      <c r="K119">
        <v>6</v>
      </c>
      <c r="O119">
        <v>21.99</v>
      </c>
    </row>
    <row r="120" spans="1:15" x14ac:dyDescent="0.35">
      <c r="A120" t="s">
        <v>200</v>
      </c>
      <c r="B120">
        <v>1</v>
      </c>
      <c r="C120">
        <v>21.99</v>
      </c>
      <c r="D120">
        <v>21.99</v>
      </c>
      <c r="E120" t="s">
        <v>169</v>
      </c>
      <c r="F120" t="s">
        <v>1717</v>
      </c>
      <c r="G120" t="s">
        <v>87</v>
      </c>
      <c r="H120">
        <v>0</v>
      </c>
      <c r="I120" t="s">
        <v>24</v>
      </c>
      <c r="J120" t="s">
        <v>13</v>
      </c>
      <c r="K120">
        <v>7</v>
      </c>
      <c r="O120">
        <v>21.99</v>
      </c>
    </row>
    <row r="121" spans="1:15" x14ac:dyDescent="0.35">
      <c r="A121" t="s">
        <v>201</v>
      </c>
      <c r="B121">
        <v>1</v>
      </c>
      <c r="C121">
        <v>30.99</v>
      </c>
      <c r="D121">
        <v>30.99</v>
      </c>
      <c r="E121" t="s">
        <v>52</v>
      </c>
      <c r="F121" t="s">
        <v>1718</v>
      </c>
      <c r="G121" t="s">
        <v>16</v>
      </c>
      <c r="H121">
        <v>3</v>
      </c>
      <c r="I121" t="s">
        <v>41</v>
      </c>
      <c r="J121" t="s">
        <v>18</v>
      </c>
      <c r="K121">
        <v>10.5</v>
      </c>
      <c r="O121">
        <v>21.99</v>
      </c>
    </row>
    <row r="122" spans="1:15" x14ac:dyDescent="0.35">
      <c r="A122" t="s">
        <v>202</v>
      </c>
      <c r="B122">
        <v>1</v>
      </c>
      <c r="C122">
        <v>16.989999999999998</v>
      </c>
      <c r="D122">
        <v>16.989999999999998</v>
      </c>
      <c r="E122" t="s">
        <v>102</v>
      </c>
      <c r="F122" t="s">
        <v>1719</v>
      </c>
      <c r="G122" t="s">
        <v>28</v>
      </c>
      <c r="H122">
        <v>0</v>
      </c>
      <c r="I122" t="s">
        <v>24</v>
      </c>
      <c r="J122" t="s">
        <v>25</v>
      </c>
      <c r="K122">
        <v>5</v>
      </c>
      <c r="O122">
        <v>21.99</v>
      </c>
    </row>
    <row r="123" spans="1:15" x14ac:dyDescent="0.35">
      <c r="A123" t="s">
        <v>203</v>
      </c>
      <c r="B123">
        <v>1</v>
      </c>
      <c r="C123">
        <v>30.99</v>
      </c>
      <c r="D123">
        <v>30.99</v>
      </c>
      <c r="E123" t="s">
        <v>52</v>
      </c>
      <c r="F123" t="s">
        <v>1720</v>
      </c>
      <c r="G123" t="s">
        <v>16</v>
      </c>
      <c r="H123">
        <v>3</v>
      </c>
      <c r="I123" t="s">
        <v>17</v>
      </c>
      <c r="J123" t="s">
        <v>18</v>
      </c>
      <c r="K123">
        <v>10.5</v>
      </c>
      <c r="O123">
        <v>21.99</v>
      </c>
    </row>
    <row r="124" spans="1:15" x14ac:dyDescent="0.35">
      <c r="A124" t="s">
        <v>204</v>
      </c>
      <c r="B124">
        <v>1</v>
      </c>
      <c r="C124">
        <v>30.99</v>
      </c>
      <c r="D124">
        <v>30.99</v>
      </c>
      <c r="E124" t="s">
        <v>27</v>
      </c>
      <c r="F124" t="s">
        <v>1721</v>
      </c>
      <c r="G124" t="s">
        <v>16</v>
      </c>
      <c r="H124">
        <v>2</v>
      </c>
      <c r="I124" t="s">
        <v>41</v>
      </c>
      <c r="J124" t="s">
        <v>18</v>
      </c>
      <c r="K124">
        <v>10.5</v>
      </c>
      <c r="O124">
        <v>21.99</v>
      </c>
    </row>
    <row r="125" spans="1:15" x14ac:dyDescent="0.35">
      <c r="A125" t="s">
        <v>205</v>
      </c>
      <c r="B125">
        <v>1</v>
      </c>
      <c r="C125">
        <v>27.99</v>
      </c>
      <c r="D125">
        <v>27.99</v>
      </c>
      <c r="E125" t="s">
        <v>10</v>
      </c>
      <c r="F125" t="s">
        <v>1722</v>
      </c>
      <c r="G125" t="s">
        <v>21</v>
      </c>
      <c r="H125">
        <v>0</v>
      </c>
      <c r="I125" t="s">
        <v>12</v>
      </c>
      <c r="J125" t="s">
        <v>31</v>
      </c>
      <c r="K125">
        <v>9</v>
      </c>
      <c r="O125">
        <v>21.99</v>
      </c>
    </row>
    <row r="126" spans="1:15" x14ac:dyDescent="0.35">
      <c r="A126" t="s">
        <v>206</v>
      </c>
      <c r="B126">
        <v>1</v>
      </c>
      <c r="C126">
        <v>16.989999999999998</v>
      </c>
      <c r="D126">
        <v>16.989999999999998</v>
      </c>
      <c r="E126" t="s">
        <v>195</v>
      </c>
      <c r="F126" t="s">
        <v>1723</v>
      </c>
      <c r="G126" t="s">
        <v>21</v>
      </c>
      <c r="H126">
        <v>0</v>
      </c>
      <c r="I126" t="s">
        <v>24</v>
      </c>
      <c r="J126" t="s">
        <v>25</v>
      </c>
      <c r="K126">
        <v>5</v>
      </c>
      <c r="O126">
        <v>21.99</v>
      </c>
    </row>
    <row r="127" spans="1:15" x14ac:dyDescent="0.35">
      <c r="A127" t="s">
        <v>207</v>
      </c>
      <c r="B127">
        <v>1</v>
      </c>
      <c r="C127">
        <v>21.99</v>
      </c>
      <c r="D127">
        <v>21.99</v>
      </c>
      <c r="E127" t="s">
        <v>54</v>
      </c>
      <c r="F127" t="s">
        <v>1724</v>
      </c>
      <c r="G127" t="s">
        <v>16</v>
      </c>
      <c r="H127">
        <v>7</v>
      </c>
      <c r="I127" t="s">
        <v>12</v>
      </c>
      <c r="J127" t="s">
        <v>13</v>
      </c>
      <c r="K127">
        <v>7</v>
      </c>
      <c r="O127">
        <v>21.99</v>
      </c>
    </row>
    <row r="128" spans="1:15" x14ac:dyDescent="0.35">
      <c r="A128" t="s">
        <v>208</v>
      </c>
      <c r="B128">
        <v>1</v>
      </c>
      <c r="C128">
        <v>34.99</v>
      </c>
      <c r="D128">
        <v>34.99</v>
      </c>
      <c r="E128" t="s">
        <v>169</v>
      </c>
      <c r="F128" t="s">
        <v>1725</v>
      </c>
      <c r="G128" t="s">
        <v>16</v>
      </c>
      <c r="H128">
        <v>5</v>
      </c>
      <c r="I128" t="s">
        <v>24</v>
      </c>
      <c r="J128" t="s">
        <v>36</v>
      </c>
      <c r="K128">
        <v>12.5</v>
      </c>
      <c r="O128">
        <v>21.99</v>
      </c>
    </row>
    <row r="129" spans="1:15" x14ac:dyDescent="0.35">
      <c r="A129" t="s">
        <v>209</v>
      </c>
      <c r="B129">
        <v>3</v>
      </c>
      <c r="C129">
        <v>30.99</v>
      </c>
      <c r="D129">
        <v>74.53</v>
      </c>
      <c r="E129" t="s">
        <v>210</v>
      </c>
      <c r="F129" t="s">
        <v>1726</v>
      </c>
      <c r="G129" t="s">
        <v>28</v>
      </c>
      <c r="H129">
        <v>0</v>
      </c>
      <c r="I129" t="s">
        <v>24</v>
      </c>
      <c r="J129" t="s">
        <v>18</v>
      </c>
      <c r="K129">
        <v>10.5</v>
      </c>
      <c r="O129">
        <v>84.73</v>
      </c>
    </row>
    <row r="130" spans="1:15" x14ac:dyDescent="0.35">
      <c r="A130" t="s">
        <v>211</v>
      </c>
      <c r="B130">
        <v>1</v>
      </c>
      <c r="C130">
        <v>18.989999999999998</v>
      </c>
      <c r="D130">
        <v>18.989999999999998</v>
      </c>
      <c r="E130" t="s">
        <v>108</v>
      </c>
      <c r="F130" t="s">
        <v>1727</v>
      </c>
      <c r="G130" t="s">
        <v>16</v>
      </c>
      <c r="H130">
        <v>16</v>
      </c>
      <c r="I130" t="s">
        <v>12</v>
      </c>
      <c r="J130" t="s">
        <v>42</v>
      </c>
      <c r="K130">
        <v>6</v>
      </c>
      <c r="O130">
        <v>21.99</v>
      </c>
    </row>
    <row r="131" spans="1:15" x14ac:dyDescent="0.35">
      <c r="A131" t="s">
        <v>212</v>
      </c>
      <c r="B131">
        <v>2</v>
      </c>
      <c r="C131">
        <v>34.99</v>
      </c>
      <c r="D131">
        <v>60.98</v>
      </c>
      <c r="E131" t="s">
        <v>64</v>
      </c>
      <c r="F131" t="s">
        <v>1728</v>
      </c>
      <c r="G131" t="s">
        <v>16</v>
      </c>
      <c r="H131">
        <v>7</v>
      </c>
      <c r="I131" t="s">
        <v>24</v>
      </c>
      <c r="J131" t="s">
        <v>36</v>
      </c>
      <c r="K131">
        <v>12.5</v>
      </c>
      <c r="O131">
        <v>37.979999999999997</v>
      </c>
    </row>
    <row r="132" spans="1:15" x14ac:dyDescent="0.35">
      <c r="A132" t="s">
        <v>213</v>
      </c>
      <c r="B132">
        <v>1</v>
      </c>
      <c r="C132">
        <v>27.99</v>
      </c>
      <c r="D132">
        <v>27.99</v>
      </c>
      <c r="E132" t="s">
        <v>214</v>
      </c>
      <c r="F132" t="s">
        <v>1717</v>
      </c>
      <c r="G132" t="s">
        <v>16</v>
      </c>
      <c r="H132">
        <v>8</v>
      </c>
      <c r="I132" t="s">
        <v>24</v>
      </c>
      <c r="J132" t="s">
        <v>31</v>
      </c>
      <c r="K132">
        <v>9</v>
      </c>
      <c r="O132">
        <v>21.99</v>
      </c>
    </row>
    <row r="133" spans="1:15" x14ac:dyDescent="0.35">
      <c r="A133" t="s">
        <v>215</v>
      </c>
      <c r="B133">
        <v>2</v>
      </c>
      <c r="C133">
        <v>16.989999999999998</v>
      </c>
      <c r="D133">
        <v>29.18</v>
      </c>
      <c r="E133" t="s">
        <v>120</v>
      </c>
      <c r="F133" t="s">
        <v>1718</v>
      </c>
      <c r="G133" t="s">
        <v>16</v>
      </c>
      <c r="H133">
        <v>24</v>
      </c>
      <c r="I133" t="s">
        <v>24</v>
      </c>
      <c r="J133" t="s">
        <v>25</v>
      </c>
      <c r="K133">
        <v>5</v>
      </c>
      <c r="O133">
        <v>37.979999999999997</v>
      </c>
    </row>
    <row r="134" spans="1:15" x14ac:dyDescent="0.35">
      <c r="A134" t="s">
        <v>216</v>
      </c>
      <c r="B134">
        <v>2</v>
      </c>
      <c r="C134">
        <v>18.989999999999998</v>
      </c>
      <c r="D134">
        <v>32.78</v>
      </c>
      <c r="E134" t="s">
        <v>176</v>
      </c>
      <c r="F134" t="s">
        <v>1719</v>
      </c>
      <c r="G134" t="s">
        <v>16</v>
      </c>
      <c r="H134">
        <v>13</v>
      </c>
      <c r="I134" t="s">
        <v>24</v>
      </c>
      <c r="J134" t="s">
        <v>42</v>
      </c>
      <c r="K134">
        <v>6</v>
      </c>
      <c r="O134">
        <v>37.979999999999997</v>
      </c>
    </row>
    <row r="135" spans="1:15" x14ac:dyDescent="0.35">
      <c r="A135" t="s">
        <v>217</v>
      </c>
      <c r="B135">
        <v>3</v>
      </c>
      <c r="C135">
        <v>34.99</v>
      </c>
      <c r="D135">
        <v>84.73</v>
      </c>
      <c r="E135" t="s">
        <v>162</v>
      </c>
      <c r="F135" t="s">
        <v>1720</v>
      </c>
      <c r="G135" t="s">
        <v>16</v>
      </c>
      <c r="H135">
        <v>6</v>
      </c>
      <c r="I135" t="s">
        <v>41</v>
      </c>
      <c r="J135" t="s">
        <v>36</v>
      </c>
      <c r="K135">
        <v>12.5</v>
      </c>
      <c r="O135">
        <v>84.73</v>
      </c>
    </row>
    <row r="136" spans="1:15" x14ac:dyDescent="0.35">
      <c r="A136" t="s">
        <v>218</v>
      </c>
      <c r="B136">
        <v>2</v>
      </c>
      <c r="C136">
        <v>18.989999999999998</v>
      </c>
      <c r="D136">
        <v>32.78</v>
      </c>
      <c r="E136" t="s">
        <v>46</v>
      </c>
      <c r="F136" t="s">
        <v>1721</v>
      </c>
      <c r="G136" t="s">
        <v>16</v>
      </c>
      <c r="H136">
        <v>13</v>
      </c>
      <c r="I136" t="s">
        <v>41</v>
      </c>
      <c r="J136" t="s">
        <v>42</v>
      </c>
      <c r="K136">
        <v>6</v>
      </c>
      <c r="O136">
        <v>37.979999999999997</v>
      </c>
    </row>
    <row r="137" spans="1:15" x14ac:dyDescent="0.35">
      <c r="A137" t="s">
        <v>219</v>
      </c>
      <c r="B137">
        <v>2</v>
      </c>
      <c r="C137">
        <v>30.99</v>
      </c>
      <c r="D137">
        <v>53.78</v>
      </c>
      <c r="E137" t="s">
        <v>126</v>
      </c>
      <c r="F137" t="s">
        <v>1722</v>
      </c>
      <c r="G137" t="s">
        <v>21</v>
      </c>
      <c r="H137">
        <v>0</v>
      </c>
      <c r="I137" t="s">
        <v>12</v>
      </c>
      <c r="J137" t="s">
        <v>18</v>
      </c>
      <c r="K137">
        <v>10.5</v>
      </c>
      <c r="O137">
        <v>37.979999999999997</v>
      </c>
    </row>
    <row r="138" spans="1:15" x14ac:dyDescent="0.35">
      <c r="A138" t="s">
        <v>220</v>
      </c>
      <c r="B138">
        <v>1</v>
      </c>
      <c r="C138">
        <v>21.99</v>
      </c>
      <c r="D138">
        <v>21.99</v>
      </c>
      <c r="E138" t="s">
        <v>50</v>
      </c>
      <c r="F138" t="s">
        <v>1723</v>
      </c>
      <c r="G138" t="s">
        <v>16</v>
      </c>
      <c r="H138">
        <v>3</v>
      </c>
      <c r="I138" t="s">
        <v>12</v>
      </c>
      <c r="J138" t="s">
        <v>13</v>
      </c>
      <c r="K138">
        <v>7</v>
      </c>
      <c r="O138">
        <v>21.99</v>
      </c>
    </row>
    <row r="139" spans="1:15" x14ac:dyDescent="0.35">
      <c r="A139" t="s">
        <v>221</v>
      </c>
      <c r="B139">
        <v>2</v>
      </c>
      <c r="C139">
        <v>27.99</v>
      </c>
      <c r="D139">
        <v>48.38</v>
      </c>
      <c r="E139" t="s">
        <v>108</v>
      </c>
      <c r="F139" t="s">
        <v>1724</v>
      </c>
      <c r="G139" t="s">
        <v>16</v>
      </c>
      <c r="H139">
        <v>3</v>
      </c>
      <c r="I139" t="s">
        <v>24</v>
      </c>
      <c r="J139" t="s">
        <v>31</v>
      </c>
      <c r="K139">
        <v>9</v>
      </c>
      <c r="O139">
        <v>37.979999999999997</v>
      </c>
    </row>
    <row r="140" spans="1:15" x14ac:dyDescent="0.35">
      <c r="A140" t="s">
        <v>222</v>
      </c>
      <c r="B140">
        <v>1</v>
      </c>
      <c r="C140">
        <v>34.99</v>
      </c>
      <c r="D140">
        <v>34.99</v>
      </c>
      <c r="E140" s="6">
        <v>46187</v>
      </c>
      <c r="F140" t="s">
        <v>1725</v>
      </c>
      <c r="G140" t="s">
        <v>21</v>
      </c>
      <c r="H140">
        <v>0</v>
      </c>
      <c r="I140" t="s">
        <v>17</v>
      </c>
      <c r="J140" t="s">
        <v>36</v>
      </c>
      <c r="K140">
        <v>12.5</v>
      </c>
      <c r="O140">
        <v>21.99</v>
      </c>
    </row>
    <row r="141" spans="1:15" x14ac:dyDescent="0.35">
      <c r="A141" t="s">
        <v>223</v>
      </c>
      <c r="B141">
        <v>1</v>
      </c>
      <c r="C141">
        <v>16.989999999999998</v>
      </c>
      <c r="D141">
        <v>16.989999999999998</v>
      </c>
      <c r="E141" t="s">
        <v>171</v>
      </c>
      <c r="F141" t="s">
        <v>1726</v>
      </c>
      <c r="G141" t="s">
        <v>21</v>
      </c>
      <c r="H141">
        <v>0</v>
      </c>
      <c r="I141" t="s">
        <v>24</v>
      </c>
      <c r="J141" t="s">
        <v>25</v>
      </c>
      <c r="K141">
        <v>5</v>
      </c>
      <c r="O141">
        <v>21.99</v>
      </c>
    </row>
    <row r="142" spans="1:15" x14ac:dyDescent="0.35">
      <c r="A142" t="s">
        <v>224</v>
      </c>
      <c r="B142">
        <v>1</v>
      </c>
      <c r="C142">
        <v>27.99</v>
      </c>
      <c r="D142">
        <v>27.99</v>
      </c>
      <c r="E142" t="s">
        <v>57</v>
      </c>
      <c r="F142" t="s">
        <v>1727</v>
      </c>
      <c r="G142" t="s">
        <v>16</v>
      </c>
      <c r="H142">
        <v>3</v>
      </c>
      <c r="I142" t="s">
        <v>17</v>
      </c>
      <c r="J142" t="s">
        <v>31</v>
      </c>
      <c r="K142">
        <v>9</v>
      </c>
      <c r="O142">
        <v>21.99</v>
      </c>
    </row>
    <row r="143" spans="1:15" x14ac:dyDescent="0.35">
      <c r="A143" t="s">
        <v>225</v>
      </c>
      <c r="B143">
        <v>3</v>
      </c>
      <c r="C143">
        <v>21.99</v>
      </c>
      <c r="D143">
        <v>52.48</v>
      </c>
      <c r="E143" t="s">
        <v>102</v>
      </c>
      <c r="F143" t="s">
        <v>1728</v>
      </c>
      <c r="G143" t="s">
        <v>11</v>
      </c>
      <c r="H143">
        <v>2</v>
      </c>
      <c r="I143" t="s">
        <v>24</v>
      </c>
      <c r="J143" t="s">
        <v>13</v>
      </c>
      <c r="K143">
        <v>7</v>
      </c>
      <c r="O143">
        <v>84.73</v>
      </c>
    </row>
    <row r="144" spans="1:15" x14ac:dyDescent="0.35">
      <c r="A144" t="s">
        <v>226</v>
      </c>
      <c r="B144">
        <v>1</v>
      </c>
      <c r="C144">
        <v>27.99</v>
      </c>
      <c r="D144">
        <v>27.99</v>
      </c>
      <c r="E144" t="s">
        <v>64</v>
      </c>
      <c r="F144" t="s">
        <v>1717</v>
      </c>
      <c r="G144" t="s">
        <v>28</v>
      </c>
      <c r="H144">
        <v>0</v>
      </c>
      <c r="I144" t="s">
        <v>17</v>
      </c>
      <c r="J144" t="s">
        <v>31</v>
      </c>
      <c r="K144">
        <v>9</v>
      </c>
      <c r="O144">
        <v>21.99</v>
      </c>
    </row>
    <row r="145" spans="1:15" x14ac:dyDescent="0.35">
      <c r="A145" t="s">
        <v>227</v>
      </c>
      <c r="B145">
        <v>1</v>
      </c>
      <c r="C145">
        <v>30.99</v>
      </c>
      <c r="D145">
        <v>30.99</v>
      </c>
      <c r="E145" t="s">
        <v>76</v>
      </c>
      <c r="F145" t="s">
        <v>1718</v>
      </c>
      <c r="G145" t="s">
        <v>16</v>
      </c>
      <c r="H145">
        <v>3</v>
      </c>
      <c r="I145" t="s">
        <v>24</v>
      </c>
      <c r="J145" t="s">
        <v>18</v>
      </c>
      <c r="K145">
        <v>10.5</v>
      </c>
      <c r="O145">
        <v>21.99</v>
      </c>
    </row>
    <row r="146" spans="1:15" x14ac:dyDescent="0.35">
      <c r="A146" t="s">
        <v>228</v>
      </c>
      <c r="B146">
        <v>1</v>
      </c>
      <c r="C146">
        <v>27.99</v>
      </c>
      <c r="D146">
        <v>27.99</v>
      </c>
      <c r="E146" t="s">
        <v>229</v>
      </c>
      <c r="F146" t="s">
        <v>1719</v>
      </c>
      <c r="G146" t="s">
        <v>16</v>
      </c>
      <c r="H146">
        <v>3</v>
      </c>
      <c r="I146" t="s">
        <v>41</v>
      </c>
      <c r="J146" t="s">
        <v>31</v>
      </c>
      <c r="K146">
        <v>9</v>
      </c>
      <c r="O146">
        <v>21.99</v>
      </c>
    </row>
    <row r="147" spans="1:15" x14ac:dyDescent="0.35">
      <c r="A147" t="s">
        <v>230</v>
      </c>
      <c r="B147">
        <v>1</v>
      </c>
      <c r="C147">
        <v>34.99</v>
      </c>
      <c r="D147">
        <v>34.99</v>
      </c>
      <c r="E147" t="s">
        <v>231</v>
      </c>
      <c r="F147" t="s">
        <v>1720</v>
      </c>
      <c r="G147" t="s">
        <v>21</v>
      </c>
      <c r="H147">
        <v>0</v>
      </c>
      <c r="I147" t="s">
        <v>24</v>
      </c>
      <c r="J147" t="s">
        <v>36</v>
      </c>
      <c r="K147">
        <v>12.5</v>
      </c>
      <c r="O147">
        <v>21.99</v>
      </c>
    </row>
    <row r="148" spans="1:15" x14ac:dyDescent="0.35">
      <c r="A148" t="s">
        <v>232</v>
      </c>
      <c r="B148">
        <v>1</v>
      </c>
      <c r="C148">
        <v>16.989999999999998</v>
      </c>
      <c r="D148">
        <v>16.989999999999998</v>
      </c>
      <c r="E148" t="s">
        <v>233</v>
      </c>
      <c r="F148" t="s">
        <v>1721</v>
      </c>
      <c r="G148" t="s">
        <v>16</v>
      </c>
      <c r="H148">
        <v>16</v>
      </c>
      <c r="I148" t="s">
        <v>24</v>
      </c>
      <c r="J148" t="s">
        <v>25</v>
      </c>
      <c r="K148">
        <v>5</v>
      </c>
      <c r="O148">
        <v>21.99</v>
      </c>
    </row>
    <row r="149" spans="1:15" x14ac:dyDescent="0.35">
      <c r="A149" t="s">
        <v>234</v>
      </c>
      <c r="B149">
        <v>1</v>
      </c>
      <c r="C149">
        <v>34.99</v>
      </c>
      <c r="D149">
        <v>34.99</v>
      </c>
      <c r="E149" t="s">
        <v>116</v>
      </c>
      <c r="F149" t="s">
        <v>1722</v>
      </c>
      <c r="G149" t="s">
        <v>87</v>
      </c>
      <c r="H149">
        <v>0</v>
      </c>
      <c r="I149" t="s">
        <v>24</v>
      </c>
      <c r="J149" t="s">
        <v>36</v>
      </c>
      <c r="K149">
        <v>12.5</v>
      </c>
      <c r="O149">
        <v>21.99</v>
      </c>
    </row>
    <row r="150" spans="1:15" x14ac:dyDescent="0.35">
      <c r="A150" t="s">
        <v>235</v>
      </c>
      <c r="B150">
        <v>1</v>
      </c>
      <c r="C150">
        <v>16.989999999999998</v>
      </c>
      <c r="D150">
        <v>16.989999999999998</v>
      </c>
      <c r="E150" t="s">
        <v>236</v>
      </c>
      <c r="F150" t="s">
        <v>1723</v>
      </c>
      <c r="G150" t="s">
        <v>16</v>
      </c>
      <c r="H150">
        <v>17</v>
      </c>
      <c r="I150" t="s">
        <v>17</v>
      </c>
      <c r="J150" t="s">
        <v>25</v>
      </c>
      <c r="K150">
        <v>5</v>
      </c>
      <c r="O150">
        <v>21.99</v>
      </c>
    </row>
    <row r="151" spans="1:15" x14ac:dyDescent="0.35">
      <c r="A151" t="s">
        <v>237</v>
      </c>
      <c r="B151">
        <v>1</v>
      </c>
      <c r="C151">
        <v>21.99</v>
      </c>
      <c r="D151">
        <v>21.99</v>
      </c>
      <c r="E151" t="s">
        <v>86</v>
      </c>
      <c r="F151" t="s">
        <v>1724</v>
      </c>
      <c r="G151" t="s">
        <v>21</v>
      </c>
      <c r="H151">
        <v>0</v>
      </c>
      <c r="I151" t="s">
        <v>12</v>
      </c>
      <c r="J151" t="s">
        <v>13</v>
      </c>
      <c r="K151">
        <v>7</v>
      </c>
      <c r="O151">
        <v>21.99</v>
      </c>
    </row>
    <row r="152" spans="1:15" x14ac:dyDescent="0.35">
      <c r="A152" t="s">
        <v>238</v>
      </c>
      <c r="B152">
        <v>1</v>
      </c>
      <c r="C152">
        <v>30.99</v>
      </c>
      <c r="D152">
        <v>30.99</v>
      </c>
      <c r="E152" t="s">
        <v>169</v>
      </c>
      <c r="F152" t="s">
        <v>1725</v>
      </c>
      <c r="G152" t="s">
        <v>11</v>
      </c>
      <c r="H152">
        <v>2</v>
      </c>
      <c r="I152" t="s">
        <v>41</v>
      </c>
      <c r="J152" t="s">
        <v>18</v>
      </c>
      <c r="K152">
        <v>10.5</v>
      </c>
      <c r="O152">
        <v>21.99</v>
      </c>
    </row>
    <row r="153" spans="1:15" x14ac:dyDescent="0.35">
      <c r="A153" t="s">
        <v>239</v>
      </c>
      <c r="B153">
        <v>1</v>
      </c>
      <c r="C153">
        <v>16.989999999999998</v>
      </c>
      <c r="D153">
        <v>16.989999999999998</v>
      </c>
      <c r="E153" t="s">
        <v>240</v>
      </c>
      <c r="F153" t="s">
        <v>1726</v>
      </c>
      <c r="G153" t="s">
        <v>16</v>
      </c>
      <c r="H153">
        <v>16</v>
      </c>
      <c r="I153" t="s">
        <v>24</v>
      </c>
      <c r="J153" t="s">
        <v>25</v>
      </c>
      <c r="K153">
        <v>5</v>
      </c>
      <c r="O153">
        <v>21.99</v>
      </c>
    </row>
    <row r="154" spans="1:15" x14ac:dyDescent="0.35">
      <c r="A154" t="s">
        <v>241</v>
      </c>
      <c r="B154">
        <v>1</v>
      </c>
      <c r="C154">
        <v>16.989999999999998</v>
      </c>
      <c r="D154">
        <v>16.989999999999998</v>
      </c>
      <c r="E154" t="s">
        <v>138</v>
      </c>
      <c r="F154" t="s">
        <v>1727</v>
      </c>
      <c r="G154" t="s">
        <v>16</v>
      </c>
      <c r="H154">
        <v>20</v>
      </c>
      <c r="I154" t="s">
        <v>24</v>
      </c>
      <c r="J154" t="s">
        <v>25</v>
      </c>
      <c r="K154">
        <v>5</v>
      </c>
      <c r="O154">
        <v>21.99</v>
      </c>
    </row>
    <row r="155" spans="1:15" x14ac:dyDescent="0.35">
      <c r="A155" t="s">
        <v>242</v>
      </c>
      <c r="B155">
        <v>1</v>
      </c>
      <c r="C155">
        <v>18.989999999999998</v>
      </c>
      <c r="D155">
        <v>18.989999999999998</v>
      </c>
      <c r="E155" t="s">
        <v>214</v>
      </c>
      <c r="F155" t="s">
        <v>1728</v>
      </c>
      <c r="G155" t="s">
        <v>16</v>
      </c>
      <c r="H155">
        <v>13</v>
      </c>
      <c r="I155" t="s">
        <v>12</v>
      </c>
      <c r="J155" t="s">
        <v>42</v>
      </c>
      <c r="K155">
        <v>6</v>
      </c>
      <c r="O155">
        <v>21.99</v>
      </c>
    </row>
    <row r="156" spans="1:15" x14ac:dyDescent="0.35">
      <c r="A156" t="s">
        <v>243</v>
      </c>
      <c r="B156">
        <v>1</v>
      </c>
      <c r="C156">
        <v>18.989999999999998</v>
      </c>
      <c r="D156">
        <v>18.989999999999998</v>
      </c>
      <c r="E156" t="s">
        <v>229</v>
      </c>
      <c r="F156" t="s">
        <v>1717</v>
      </c>
      <c r="G156" t="s">
        <v>87</v>
      </c>
      <c r="H156">
        <v>0</v>
      </c>
      <c r="I156" t="s">
        <v>41</v>
      </c>
      <c r="J156" t="s">
        <v>42</v>
      </c>
      <c r="K156">
        <v>6</v>
      </c>
      <c r="O156">
        <v>21.99</v>
      </c>
    </row>
    <row r="157" spans="1:15" x14ac:dyDescent="0.35">
      <c r="A157" t="s">
        <v>244</v>
      </c>
      <c r="B157">
        <v>1</v>
      </c>
      <c r="C157">
        <v>34.99</v>
      </c>
      <c r="D157">
        <v>34.99</v>
      </c>
      <c r="E157" t="s">
        <v>164</v>
      </c>
      <c r="F157" t="s">
        <v>1718</v>
      </c>
      <c r="G157" t="s">
        <v>11</v>
      </c>
      <c r="H157">
        <v>8</v>
      </c>
      <c r="I157" t="s">
        <v>17</v>
      </c>
      <c r="J157" t="s">
        <v>36</v>
      </c>
      <c r="K157">
        <v>12.5</v>
      </c>
      <c r="O157">
        <v>21.99</v>
      </c>
    </row>
    <row r="158" spans="1:15" x14ac:dyDescent="0.35">
      <c r="A158" t="s">
        <v>244</v>
      </c>
      <c r="B158">
        <v>1</v>
      </c>
      <c r="C158">
        <v>34.99</v>
      </c>
      <c r="D158">
        <v>34.99</v>
      </c>
      <c r="E158" t="s">
        <v>164</v>
      </c>
      <c r="F158" t="s">
        <v>1719</v>
      </c>
      <c r="G158" t="s">
        <v>11</v>
      </c>
      <c r="H158">
        <v>8</v>
      </c>
      <c r="I158" t="s">
        <v>17</v>
      </c>
      <c r="J158" t="s">
        <v>36</v>
      </c>
      <c r="K158">
        <v>12.5</v>
      </c>
      <c r="O158">
        <v>21.99</v>
      </c>
    </row>
    <row r="159" spans="1:15" x14ac:dyDescent="0.35">
      <c r="A159" t="s">
        <v>245</v>
      </c>
      <c r="B159">
        <v>3</v>
      </c>
      <c r="C159">
        <v>16.989999999999998</v>
      </c>
      <c r="D159">
        <v>40.18</v>
      </c>
      <c r="E159" t="s">
        <v>50</v>
      </c>
      <c r="F159" t="s">
        <v>1720</v>
      </c>
      <c r="G159" t="s">
        <v>21</v>
      </c>
      <c r="H159">
        <v>0</v>
      </c>
      <c r="I159" t="s">
        <v>12</v>
      </c>
      <c r="J159" t="s">
        <v>25</v>
      </c>
      <c r="K159">
        <v>5</v>
      </c>
      <c r="O159">
        <v>84.73</v>
      </c>
    </row>
    <row r="160" spans="1:15" x14ac:dyDescent="0.35">
      <c r="A160" t="s">
        <v>246</v>
      </c>
      <c r="B160">
        <v>3</v>
      </c>
      <c r="C160">
        <v>27.99</v>
      </c>
      <c r="D160">
        <v>66.88</v>
      </c>
      <c r="E160" t="s">
        <v>132</v>
      </c>
      <c r="F160" t="s">
        <v>1721</v>
      </c>
      <c r="G160" t="s">
        <v>16</v>
      </c>
      <c r="H160">
        <v>7</v>
      </c>
      <c r="I160" t="s">
        <v>12</v>
      </c>
      <c r="J160" t="s">
        <v>31</v>
      </c>
      <c r="K160">
        <v>9</v>
      </c>
      <c r="O160">
        <v>84.73</v>
      </c>
    </row>
    <row r="161" spans="1:15" x14ac:dyDescent="0.35">
      <c r="A161" t="s">
        <v>247</v>
      </c>
      <c r="B161">
        <v>1</v>
      </c>
      <c r="C161">
        <v>27.99</v>
      </c>
      <c r="D161">
        <v>27.99</v>
      </c>
      <c r="E161" t="s">
        <v>156</v>
      </c>
      <c r="F161" t="s">
        <v>1722</v>
      </c>
      <c r="G161" t="s">
        <v>16</v>
      </c>
      <c r="H161">
        <v>2</v>
      </c>
      <c r="I161" t="s">
        <v>17</v>
      </c>
      <c r="J161" t="s">
        <v>31</v>
      </c>
      <c r="K161">
        <v>9</v>
      </c>
      <c r="O161">
        <v>21.99</v>
      </c>
    </row>
    <row r="162" spans="1:15" x14ac:dyDescent="0.35">
      <c r="A162" t="s">
        <v>248</v>
      </c>
      <c r="B162">
        <v>1</v>
      </c>
      <c r="C162">
        <v>34.99</v>
      </c>
      <c r="D162">
        <v>34.99</v>
      </c>
      <c r="E162" t="s">
        <v>57</v>
      </c>
      <c r="F162" t="s">
        <v>1723</v>
      </c>
      <c r="G162" t="s">
        <v>21</v>
      </c>
      <c r="H162">
        <v>0</v>
      </c>
      <c r="I162" t="s">
        <v>24</v>
      </c>
      <c r="J162" t="s">
        <v>36</v>
      </c>
      <c r="K162">
        <v>12.5</v>
      </c>
      <c r="O162">
        <v>21.99</v>
      </c>
    </row>
    <row r="163" spans="1:15" x14ac:dyDescent="0.35">
      <c r="A163" t="s">
        <v>249</v>
      </c>
      <c r="B163">
        <v>1</v>
      </c>
      <c r="C163">
        <v>34.99</v>
      </c>
      <c r="D163">
        <v>34.99</v>
      </c>
      <c r="E163" t="s">
        <v>156</v>
      </c>
      <c r="F163" t="s">
        <v>1724</v>
      </c>
      <c r="G163" t="s">
        <v>87</v>
      </c>
      <c r="H163">
        <v>0</v>
      </c>
      <c r="I163" t="s">
        <v>41</v>
      </c>
      <c r="J163" t="s">
        <v>36</v>
      </c>
      <c r="K163">
        <v>12.5</v>
      </c>
      <c r="O163">
        <v>21.99</v>
      </c>
    </row>
    <row r="164" spans="1:15" x14ac:dyDescent="0.35">
      <c r="A164" t="s">
        <v>250</v>
      </c>
      <c r="B164">
        <v>2</v>
      </c>
      <c r="C164">
        <v>34.99</v>
      </c>
      <c r="D164">
        <v>60.98</v>
      </c>
      <c r="E164" t="s">
        <v>59</v>
      </c>
      <c r="F164" t="s">
        <v>1725</v>
      </c>
      <c r="G164" t="s">
        <v>16</v>
      </c>
      <c r="H164">
        <v>12</v>
      </c>
      <c r="I164" t="s">
        <v>12</v>
      </c>
      <c r="J164" t="s">
        <v>36</v>
      </c>
      <c r="K164">
        <v>12.5</v>
      </c>
      <c r="O164">
        <v>37.979999999999997</v>
      </c>
    </row>
    <row r="165" spans="1:15" x14ac:dyDescent="0.35">
      <c r="A165" t="s">
        <v>251</v>
      </c>
      <c r="B165">
        <v>1</v>
      </c>
      <c r="C165">
        <v>18.989999999999998</v>
      </c>
      <c r="D165">
        <v>18.989999999999998</v>
      </c>
      <c r="E165" t="s">
        <v>35</v>
      </c>
      <c r="F165" t="s">
        <v>1726</v>
      </c>
      <c r="G165" t="s">
        <v>11</v>
      </c>
      <c r="H165">
        <v>11</v>
      </c>
      <c r="I165" t="s">
        <v>24</v>
      </c>
      <c r="J165" t="s">
        <v>42</v>
      </c>
      <c r="K165">
        <v>6</v>
      </c>
      <c r="O165">
        <v>21.99</v>
      </c>
    </row>
    <row r="166" spans="1:15" x14ac:dyDescent="0.35">
      <c r="A166" t="s">
        <v>252</v>
      </c>
      <c r="B166">
        <v>3</v>
      </c>
      <c r="C166">
        <v>30.99</v>
      </c>
      <c r="D166">
        <v>74.53</v>
      </c>
      <c r="E166" t="s">
        <v>118</v>
      </c>
      <c r="F166" t="s">
        <v>1727</v>
      </c>
      <c r="G166" t="s">
        <v>16</v>
      </c>
      <c r="H166">
        <v>3</v>
      </c>
      <c r="I166" t="s">
        <v>24</v>
      </c>
      <c r="J166" t="s">
        <v>18</v>
      </c>
      <c r="K166">
        <v>10.5</v>
      </c>
      <c r="O166">
        <v>84.73</v>
      </c>
    </row>
    <row r="167" spans="1:15" x14ac:dyDescent="0.35">
      <c r="A167" t="s">
        <v>253</v>
      </c>
      <c r="B167">
        <v>1</v>
      </c>
      <c r="C167">
        <v>30.99</v>
      </c>
      <c r="D167">
        <v>30.99</v>
      </c>
      <c r="E167" t="s">
        <v>191</v>
      </c>
      <c r="F167" t="s">
        <v>1728</v>
      </c>
      <c r="G167" t="s">
        <v>16</v>
      </c>
      <c r="H167">
        <v>8</v>
      </c>
      <c r="I167" t="s">
        <v>41</v>
      </c>
      <c r="J167" t="s">
        <v>18</v>
      </c>
      <c r="K167">
        <v>10.5</v>
      </c>
      <c r="O167">
        <v>21.99</v>
      </c>
    </row>
    <row r="168" spans="1:15" x14ac:dyDescent="0.35">
      <c r="A168" t="s">
        <v>254</v>
      </c>
      <c r="B168">
        <v>1</v>
      </c>
      <c r="C168">
        <v>21.99</v>
      </c>
      <c r="D168">
        <v>21.99</v>
      </c>
      <c r="E168" t="s">
        <v>214</v>
      </c>
      <c r="F168" t="s">
        <v>1717</v>
      </c>
      <c r="G168" t="s">
        <v>21</v>
      </c>
      <c r="H168">
        <v>0</v>
      </c>
      <c r="I168" t="s">
        <v>12</v>
      </c>
      <c r="J168" t="s">
        <v>13</v>
      </c>
      <c r="K168">
        <v>7</v>
      </c>
      <c r="O168">
        <v>21.99</v>
      </c>
    </row>
    <row r="169" spans="1:15" x14ac:dyDescent="0.35">
      <c r="A169" t="s">
        <v>255</v>
      </c>
      <c r="B169">
        <v>1</v>
      </c>
      <c r="C169">
        <v>27.99</v>
      </c>
      <c r="D169">
        <v>27.99</v>
      </c>
      <c r="E169" t="s">
        <v>256</v>
      </c>
      <c r="F169" t="s">
        <v>1718</v>
      </c>
      <c r="G169" t="s">
        <v>21</v>
      </c>
      <c r="H169">
        <v>0</v>
      </c>
      <c r="I169" t="s">
        <v>17</v>
      </c>
      <c r="J169" t="s">
        <v>31</v>
      </c>
      <c r="K169">
        <v>9</v>
      </c>
      <c r="O169">
        <v>21.99</v>
      </c>
    </row>
    <row r="170" spans="1:15" x14ac:dyDescent="0.35">
      <c r="A170" t="s">
        <v>257</v>
      </c>
      <c r="B170">
        <v>3</v>
      </c>
      <c r="C170">
        <v>21.99</v>
      </c>
      <c r="D170">
        <v>52.48</v>
      </c>
      <c r="E170" t="s">
        <v>240</v>
      </c>
      <c r="F170" t="s">
        <v>1719</v>
      </c>
      <c r="G170" t="s">
        <v>87</v>
      </c>
      <c r="H170">
        <v>0</v>
      </c>
      <c r="I170" t="s">
        <v>41</v>
      </c>
      <c r="J170" t="s">
        <v>13</v>
      </c>
      <c r="K170">
        <v>7</v>
      </c>
      <c r="O170">
        <v>84.73</v>
      </c>
    </row>
    <row r="171" spans="1:15" x14ac:dyDescent="0.35">
      <c r="A171" t="s">
        <v>258</v>
      </c>
      <c r="B171">
        <v>1</v>
      </c>
      <c r="C171">
        <v>18.989999999999998</v>
      </c>
      <c r="D171">
        <v>18.989999999999998</v>
      </c>
      <c r="E171" t="s">
        <v>48</v>
      </c>
      <c r="F171" t="s">
        <v>1720</v>
      </c>
      <c r="G171" t="s">
        <v>16</v>
      </c>
      <c r="H171">
        <v>11</v>
      </c>
      <c r="I171" t="s">
        <v>17</v>
      </c>
      <c r="J171" t="s">
        <v>42</v>
      </c>
      <c r="K171">
        <v>6</v>
      </c>
      <c r="O171">
        <v>21.99</v>
      </c>
    </row>
    <row r="172" spans="1:15" x14ac:dyDescent="0.35">
      <c r="A172" t="s">
        <v>259</v>
      </c>
      <c r="B172">
        <v>1</v>
      </c>
      <c r="C172">
        <v>30.99</v>
      </c>
      <c r="D172">
        <v>30.99</v>
      </c>
      <c r="E172" t="s">
        <v>61</v>
      </c>
      <c r="F172" t="s">
        <v>1721</v>
      </c>
      <c r="G172" t="s">
        <v>16</v>
      </c>
      <c r="H172">
        <v>3</v>
      </c>
      <c r="I172" t="s">
        <v>17</v>
      </c>
      <c r="J172" t="s">
        <v>18</v>
      </c>
      <c r="K172">
        <v>10.5</v>
      </c>
      <c r="O172">
        <v>21.99</v>
      </c>
    </row>
    <row r="173" spans="1:15" x14ac:dyDescent="0.35">
      <c r="A173" t="s">
        <v>260</v>
      </c>
      <c r="B173">
        <v>3</v>
      </c>
      <c r="C173">
        <v>16.989999999999998</v>
      </c>
      <c r="D173">
        <v>40.18</v>
      </c>
      <c r="E173" t="s">
        <v>176</v>
      </c>
      <c r="F173" t="s">
        <v>1722</v>
      </c>
      <c r="G173" t="s">
        <v>87</v>
      </c>
      <c r="H173">
        <v>0</v>
      </c>
      <c r="I173" t="s">
        <v>24</v>
      </c>
      <c r="J173" t="s">
        <v>25</v>
      </c>
      <c r="K173">
        <v>5</v>
      </c>
      <c r="O173">
        <v>84.73</v>
      </c>
    </row>
    <row r="174" spans="1:15" x14ac:dyDescent="0.35">
      <c r="A174" t="s">
        <v>261</v>
      </c>
      <c r="B174">
        <v>1</v>
      </c>
      <c r="C174">
        <v>16.989999999999998</v>
      </c>
      <c r="D174">
        <v>16.989999999999998</v>
      </c>
      <c r="E174" t="s">
        <v>106</v>
      </c>
      <c r="F174" t="s">
        <v>1723</v>
      </c>
      <c r="G174" t="s">
        <v>16</v>
      </c>
      <c r="H174">
        <v>18</v>
      </c>
      <c r="I174" t="s">
        <v>17</v>
      </c>
      <c r="J174" t="s">
        <v>25</v>
      </c>
      <c r="K174">
        <v>5</v>
      </c>
      <c r="O174">
        <v>21.99</v>
      </c>
    </row>
    <row r="175" spans="1:15" x14ac:dyDescent="0.35">
      <c r="A175" t="s">
        <v>262</v>
      </c>
      <c r="B175">
        <v>1</v>
      </c>
      <c r="C175">
        <v>34.99</v>
      </c>
      <c r="D175">
        <v>34.99</v>
      </c>
      <c r="E175" t="s">
        <v>72</v>
      </c>
      <c r="F175" t="s">
        <v>1724</v>
      </c>
      <c r="G175" t="s">
        <v>16</v>
      </c>
      <c r="H175">
        <v>8</v>
      </c>
      <c r="I175" t="s">
        <v>17</v>
      </c>
      <c r="J175" t="s">
        <v>36</v>
      </c>
      <c r="K175">
        <v>12.5</v>
      </c>
      <c r="O175">
        <v>21.99</v>
      </c>
    </row>
    <row r="176" spans="1:15" x14ac:dyDescent="0.35">
      <c r="A176" t="s">
        <v>263</v>
      </c>
      <c r="B176">
        <v>1</v>
      </c>
      <c r="C176">
        <v>34.99</v>
      </c>
      <c r="D176">
        <v>34.99</v>
      </c>
      <c r="E176" t="s">
        <v>264</v>
      </c>
      <c r="F176" t="s">
        <v>1725</v>
      </c>
      <c r="G176" t="s">
        <v>11</v>
      </c>
      <c r="H176">
        <v>8</v>
      </c>
      <c r="I176" t="s">
        <v>17</v>
      </c>
      <c r="J176" t="s">
        <v>36</v>
      </c>
      <c r="K176">
        <v>12.5</v>
      </c>
      <c r="O176">
        <v>21.99</v>
      </c>
    </row>
    <row r="177" spans="1:15" x14ac:dyDescent="0.35">
      <c r="A177" t="s">
        <v>265</v>
      </c>
      <c r="B177">
        <v>3</v>
      </c>
      <c r="C177">
        <v>30.99</v>
      </c>
      <c r="D177">
        <v>74.53</v>
      </c>
      <c r="E177" t="s">
        <v>35</v>
      </c>
      <c r="F177" t="s">
        <v>1726</v>
      </c>
      <c r="G177" t="s">
        <v>11</v>
      </c>
      <c r="H177">
        <v>3</v>
      </c>
      <c r="I177" t="s">
        <v>12</v>
      </c>
      <c r="J177" t="s">
        <v>18</v>
      </c>
      <c r="K177">
        <v>10.5</v>
      </c>
      <c r="O177">
        <v>84.73</v>
      </c>
    </row>
    <row r="178" spans="1:15" x14ac:dyDescent="0.35">
      <c r="A178" t="s">
        <v>266</v>
      </c>
      <c r="B178">
        <v>1</v>
      </c>
      <c r="C178">
        <v>18.989999999999998</v>
      </c>
      <c r="D178">
        <v>18.989999999999998</v>
      </c>
      <c r="E178" t="s">
        <v>233</v>
      </c>
      <c r="F178" t="s">
        <v>1727</v>
      </c>
      <c r="G178" t="s">
        <v>16</v>
      </c>
      <c r="H178">
        <v>13</v>
      </c>
      <c r="I178" t="s">
        <v>24</v>
      </c>
      <c r="J178" t="s">
        <v>42</v>
      </c>
      <c r="K178">
        <v>6</v>
      </c>
      <c r="O178">
        <v>21.99</v>
      </c>
    </row>
    <row r="179" spans="1:15" x14ac:dyDescent="0.35">
      <c r="A179" t="s">
        <v>267</v>
      </c>
      <c r="B179">
        <v>2</v>
      </c>
      <c r="C179">
        <v>18.989999999999998</v>
      </c>
      <c r="D179">
        <v>32.78</v>
      </c>
      <c r="E179" t="s">
        <v>214</v>
      </c>
      <c r="F179" t="s">
        <v>1728</v>
      </c>
      <c r="G179" t="s">
        <v>16</v>
      </c>
      <c r="H179">
        <v>15</v>
      </c>
      <c r="I179" t="s">
        <v>17</v>
      </c>
      <c r="J179" t="s">
        <v>42</v>
      </c>
      <c r="K179">
        <v>6</v>
      </c>
      <c r="O179">
        <v>37.979999999999997</v>
      </c>
    </row>
    <row r="180" spans="1:15" x14ac:dyDescent="0.35">
      <c r="A180" t="s">
        <v>268</v>
      </c>
      <c r="B180">
        <v>1</v>
      </c>
      <c r="C180">
        <v>18.989999999999998</v>
      </c>
      <c r="D180">
        <v>18.989999999999998</v>
      </c>
      <c r="E180" t="s">
        <v>66</v>
      </c>
      <c r="F180" t="s">
        <v>1717</v>
      </c>
      <c r="G180" t="s">
        <v>16</v>
      </c>
      <c r="H180">
        <v>11</v>
      </c>
      <c r="I180" t="s">
        <v>17</v>
      </c>
      <c r="J180" t="s">
        <v>42</v>
      </c>
      <c r="K180">
        <v>6</v>
      </c>
      <c r="O180">
        <v>21.99</v>
      </c>
    </row>
    <row r="181" spans="1:15" x14ac:dyDescent="0.35">
      <c r="A181" t="s">
        <v>269</v>
      </c>
      <c r="B181">
        <v>3</v>
      </c>
      <c r="C181">
        <v>18.989999999999998</v>
      </c>
      <c r="D181">
        <v>45.28</v>
      </c>
      <c r="E181" s="6">
        <v>46219</v>
      </c>
      <c r="F181" t="s">
        <v>1718</v>
      </c>
      <c r="G181" t="s">
        <v>11</v>
      </c>
      <c r="H181">
        <v>12</v>
      </c>
      <c r="I181" t="s">
        <v>12</v>
      </c>
      <c r="J181" t="s">
        <v>42</v>
      </c>
      <c r="K181">
        <v>6</v>
      </c>
      <c r="O181">
        <v>84.73</v>
      </c>
    </row>
    <row r="182" spans="1:15" x14ac:dyDescent="0.35">
      <c r="A182" t="s">
        <v>270</v>
      </c>
      <c r="B182">
        <v>3</v>
      </c>
      <c r="C182">
        <v>27.99</v>
      </c>
      <c r="D182">
        <v>66.88</v>
      </c>
      <c r="E182" t="s">
        <v>66</v>
      </c>
      <c r="F182" t="s">
        <v>1719</v>
      </c>
      <c r="G182" t="s">
        <v>16</v>
      </c>
      <c r="H182">
        <v>3</v>
      </c>
      <c r="I182" t="s">
        <v>41</v>
      </c>
      <c r="J182" t="s">
        <v>31</v>
      </c>
      <c r="K182">
        <v>9</v>
      </c>
      <c r="O182">
        <v>84.73</v>
      </c>
    </row>
    <row r="183" spans="1:15" x14ac:dyDescent="0.35">
      <c r="A183" t="s">
        <v>271</v>
      </c>
      <c r="B183">
        <v>1</v>
      </c>
      <c r="C183">
        <v>18.989999999999998</v>
      </c>
      <c r="D183">
        <v>18.989999999999998</v>
      </c>
      <c r="E183" t="s">
        <v>176</v>
      </c>
      <c r="F183" t="s">
        <v>1720</v>
      </c>
      <c r="G183" t="s">
        <v>16</v>
      </c>
      <c r="H183">
        <v>11</v>
      </c>
      <c r="I183" t="s">
        <v>41</v>
      </c>
      <c r="J183" t="s">
        <v>42</v>
      </c>
      <c r="K183">
        <v>6</v>
      </c>
      <c r="O183">
        <v>21.99</v>
      </c>
    </row>
    <row r="184" spans="1:15" x14ac:dyDescent="0.35">
      <c r="A184" t="s">
        <v>272</v>
      </c>
      <c r="B184">
        <v>2</v>
      </c>
      <c r="C184">
        <v>30.99</v>
      </c>
      <c r="D184">
        <v>53.78</v>
      </c>
      <c r="E184" t="s">
        <v>89</v>
      </c>
      <c r="F184" t="s">
        <v>1721</v>
      </c>
      <c r="G184" t="s">
        <v>21</v>
      </c>
      <c r="H184">
        <v>0</v>
      </c>
      <c r="I184" t="s">
        <v>41</v>
      </c>
      <c r="J184" t="s">
        <v>18</v>
      </c>
      <c r="K184">
        <v>10.5</v>
      </c>
      <c r="O184">
        <v>37.979999999999997</v>
      </c>
    </row>
    <row r="185" spans="1:15" x14ac:dyDescent="0.35">
      <c r="A185" t="s">
        <v>273</v>
      </c>
      <c r="B185">
        <v>3</v>
      </c>
      <c r="C185">
        <v>16.989999999999998</v>
      </c>
      <c r="D185">
        <v>40.18</v>
      </c>
      <c r="E185" t="s">
        <v>106</v>
      </c>
      <c r="F185" t="s">
        <v>1722</v>
      </c>
      <c r="G185" t="s">
        <v>16</v>
      </c>
      <c r="H185">
        <v>18</v>
      </c>
      <c r="I185" t="s">
        <v>24</v>
      </c>
      <c r="J185" t="s">
        <v>25</v>
      </c>
      <c r="K185">
        <v>5</v>
      </c>
      <c r="O185">
        <v>84.73</v>
      </c>
    </row>
    <row r="186" spans="1:15" x14ac:dyDescent="0.35">
      <c r="A186" t="s">
        <v>274</v>
      </c>
      <c r="B186">
        <v>2</v>
      </c>
      <c r="C186">
        <v>21.99</v>
      </c>
      <c r="D186">
        <v>37.979999999999997</v>
      </c>
      <c r="E186" t="s">
        <v>54</v>
      </c>
      <c r="F186" t="s">
        <v>1723</v>
      </c>
      <c r="G186" t="s">
        <v>16</v>
      </c>
      <c r="H186">
        <v>2</v>
      </c>
      <c r="I186" t="s">
        <v>12</v>
      </c>
      <c r="J186" t="s">
        <v>13</v>
      </c>
      <c r="K186">
        <v>7</v>
      </c>
      <c r="O186">
        <v>37.979999999999997</v>
      </c>
    </row>
    <row r="187" spans="1:15" x14ac:dyDescent="0.35">
      <c r="A187" t="s">
        <v>275</v>
      </c>
      <c r="B187">
        <v>1</v>
      </c>
      <c r="C187">
        <v>27.99</v>
      </c>
      <c r="D187">
        <v>27.99</v>
      </c>
      <c r="E187" t="s">
        <v>46</v>
      </c>
      <c r="F187" t="s">
        <v>1724</v>
      </c>
      <c r="G187" t="s">
        <v>16</v>
      </c>
      <c r="H187">
        <v>6</v>
      </c>
      <c r="I187" t="s">
        <v>41</v>
      </c>
      <c r="J187" t="s">
        <v>31</v>
      </c>
      <c r="K187">
        <v>9</v>
      </c>
      <c r="O187">
        <v>21.99</v>
      </c>
    </row>
    <row r="188" spans="1:15" x14ac:dyDescent="0.35">
      <c r="A188" t="s">
        <v>276</v>
      </c>
      <c r="B188">
        <v>1</v>
      </c>
      <c r="C188">
        <v>16.989999999999998</v>
      </c>
      <c r="D188">
        <v>16.989999999999998</v>
      </c>
      <c r="E188" t="s">
        <v>156</v>
      </c>
      <c r="F188" t="s">
        <v>1725</v>
      </c>
      <c r="G188" t="s">
        <v>21</v>
      </c>
      <c r="H188">
        <v>0</v>
      </c>
      <c r="I188" t="s">
        <v>41</v>
      </c>
      <c r="J188" t="s">
        <v>25</v>
      </c>
      <c r="K188">
        <v>5</v>
      </c>
      <c r="O188">
        <v>21.99</v>
      </c>
    </row>
    <row r="189" spans="1:15" x14ac:dyDescent="0.35">
      <c r="A189" t="s">
        <v>277</v>
      </c>
      <c r="B189">
        <v>1</v>
      </c>
      <c r="C189">
        <v>27.99</v>
      </c>
      <c r="D189">
        <v>27.99</v>
      </c>
      <c r="E189" t="s">
        <v>162</v>
      </c>
      <c r="F189" t="s">
        <v>1726</v>
      </c>
      <c r="G189" t="s">
        <v>16</v>
      </c>
      <c r="H189">
        <v>2</v>
      </c>
      <c r="I189" t="s">
        <v>24</v>
      </c>
      <c r="J189" t="s">
        <v>31</v>
      </c>
      <c r="K189">
        <v>9</v>
      </c>
      <c r="O189">
        <v>21.99</v>
      </c>
    </row>
    <row r="190" spans="1:15" x14ac:dyDescent="0.35">
      <c r="A190" t="s">
        <v>278</v>
      </c>
      <c r="B190">
        <v>1</v>
      </c>
      <c r="C190">
        <v>18.989999999999998</v>
      </c>
      <c r="D190">
        <v>18.989999999999998</v>
      </c>
      <c r="E190" t="s">
        <v>195</v>
      </c>
      <c r="F190" t="s">
        <v>1727</v>
      </c>
      <c r="G190" t="s">
        <v>28</v>
      </c>
      <c r="H190">
        <v>0</v>
      </c>
      <c r="I190" t="s">
        <v>12</v>
      </c>
      <c r="J190" t="s">
        <v>42</v>
      </c>
      <c r="K190">
        <v>6</v>
      </c>
      <c r="O190">
        <v>21.99</v>
      </c>
    </row>
    <row r="191" spans="1:15" x14ac:dyDescent="0.35">
      <c r="A191" t="s">
        <v>279</v>
      </c>
      <c r="B191">
        <v>1</v>
      </c>
      <c r="C191">
        <v>27.99</v>
      </c>
      <c r="D191">
        <v>27.99</v>
      </c>
      <c r="E191" t="s">
        <v>132</v>
      </c>
      <c r="F191" t="s">
        <v>1728</v>
      </c>
      <c r="G191" t="s">
        <v>16</v>
      </c>
      <c r="H191">
        <v>2</v>
      </c>
      <c r="I191" t="s">
        <v>17</v>
      </c>
      <c r="J191" t="s">
        <v>31</v>
      </c>
      <c r="K191">
        <v>9</v>
      </c>
      <c r="O191">
        <v>21.99</v>
      </c>
    </row>
    <row r="192" spans="1:15" x14ac:dyDescent="0.35">
      <c r="A192" t="s">
        <v>280</v>
      </c>
      <c r="B192">
        <v>1</v>
      </c>
      <c r="C192">
        <v>18.989999999999998</v>
      </c>
      <c r="D192">
        <v>18.989999999999998</v>
      </c>
      <c r="E192" t="s">
        <v>76</v>
      </c>
      <c r="F192" t="s">
        <v>1717</v>
      </c>
      <c r="G192" t="s">
        <v>87</v>
      </c>
      <c r="H192">
        <v>0</v>
      </c>
      <c r="I192" t="s">
        <v>41</v>
      </c>
      <c r="J192" t="s">
        <v>42</v>
      </c>
      <c r="K192">
        <v>6</v>
      </c>
      <c r="O192">
        <v>21.99</v>
      </c>
    </row>
    <row r="193" spans="1:15" x14ac:dyDescent="0.35">
      <c r="A193" t="s">
        <v>281</v>
      </c>
      <c r="B193">
        <v>1</v>
      </c>
      <c r="C193">
        <v>21.99</v>
      </c>
      <c r="D193">
        <v>21.99</v>
      </c>
      <c r="E193" t="s">
        <v>44</v>
      </c>
      <c r="F193" t="s">
        <v>1718</v>
      </c>
      <c r="G193" t="s">
        <v>11</v>
      </c>
      <c r="H193">
        <v>2</v>
      </c>
      <c r="I193" t="s">
        <v>12</v>
      </c>
      <c r="J193" t="s">
        <v>13</v>
      </c>
      <c r="K193">
        <v>7</v>
      </c>
      <c r="O193">
        <v>21.99</v>
      </c>
    </row>
    <row r="194" spans="1:15" x14ac:dyDescent="0.35">
      <c r="A194" t="s">
        <v>282</v>
      </c>
      <c r="B194">
        <v>1</v>
      </c>
      <c r="C194">
        <v>34.99</v>
      </c>
      <c r="D194">
        <v>34.99</v>
      </c>
      <c r="E194" t="s">
        <v>72</v>
      </c>
      <c r="F194" t="s">
        <v>1719</v>
      </c>
      <c r="G194" t="s">
        <v>87</v>
      </c>
      <c r="H194">
        <v>0</v>
      </c>
      <c r="I194" t="s">
        <v>41</v>
      </c>
      <c r="J194" t="s">
        <v>36</v>
      </c>
      <c r="K194">
        <v>12.5</v>
      </c>
      <c r="O194">
        <v>21.99</v>
      </c>
    </row>
    <row r="195" spans="1:15" x14ac:dyDescent="0.35">
      <c r="A195" t="s">
        <v>283</v>
      </c>
      <c r="B195">
        <v>1</v>
      </c>
      <c r="C195">
        <v>21.99</v>
      </c>
      <c r="D195">
        <v>21.99</v>
      </c>
      <c r="E195" t="s">
        <v>76</v>
      </c>
      <c r="F195" t="s">
        <v>1720</v>
      </c>
      <c r="G195" t="s">
        <v>16</v>
      </c>
      <c r="H195">
        <v>3</v>
      </c>
      <c r="I195" t="s">
        <v>17</v>
      </c>
      <c r="J195" t="s">
        <v>13</v>
      </c>
      <c r="K195">
        <v>7</v>
      </c>
      <c r="O195">
        <v>21.99</v>
      </c>
    </row>
    <row r="196" spans="1:15" x14ac:dyDescent="0.35">
      <c r="A196" t="s">
        <v>284</v>
      </c>
      <c r="B196">
        <v>3</v>
      </c>
      <c r="C196">
        <v>27.99</v>
      </c>
      <c r="D196">
        <v>66.88</v>
      </c>
      <c r="E196" t="s">
        <v>118</v>
      </c>
      <c r="F196" t="s">
        <v>1721</v>
      </c>
      <c r="G196" t="s">
        <v>16</v>
      </c>
      <c r="H196">
        <v>3</v>
      </c>
      <c r="I196" t="s">
        <v>24</v>
      </c>
      <c r="J196" t="s">
        <v>31</v>
      </c>
      <c r="K196">
        <v>9</v>
      </c>
      <c r="O196">
        <v>84.73</v>
      </c>
    </row>
    <row r="197" spans="1:15" x14ac:dyDescent="0.35">
      <c r="A197" t="s">
        <v>285</v>
      </c>
      <c r="B197">
        <v>3</v>
      </c>
      <c r="C197">
        <v>21.99</v>
      </c>
      <c r="D197">
        <v>52.48</v>
      </c>
      <c r="E197" t="s">
        <v>110</v>
      </c>
      <c r="F197" t="s">
        <v>1722</v>
      </c>
      <c r="G197" t="s">
        <v>16</v>
      </c>
      <c r="H197">
        <v>3</v>
      </c>
      <c r="I197" t="s">
        <v>17</v>
      </c>
      <c r="J197" t="s">
        <v>13</v>
      </c>
      <c r="K197">
        <v>7</v>
      </c>
      <c r="O197">
        <v>84.73</v>
      </c>
    </row>
    <row r="198" spans="1:15" x14ac:dyDescent="0.35">
      <c r="A198" t="s">
        <v>286</v>
      </c>
      <c r="B198">
        <v>1</v>
      </c>
      <c r="C198">
        <v>27.99</v>
      </c>
      <c r="D198">
        <v>27.99</v>
      </c>
      <c r="E198" t="s">
        <v>156</v>
      </c>
      <c r="F198" t="s">
        <v>1723</v>
      </c>
      <c r="G198" t="s">
        <v>16</v>
      </c>
      <c r="H198">
        <v>3</v>
      </c>
      <c r="I198" t="s">
        <v>24</v>
      </c>
      <c r="J198" t="s">
        <v>31</v>
      </c>
      <c r="K198">
        <v>9</v>
      </c>
      <c r="O198">
        <v>21.99</v>
      </c>
    </row>
    <row r="199" spans="1:15" x14ac:dyDescent="0.35">
      <c r="A199" t="s">
        <v>287</v>
      </c>
      <c r="B199">
        <v>1</v>
      </c>
      <c r="C199">
        <v>18.989999999999998</v>
      </c>
      <c r="D199">
        <v>18.989999999999998</v>
      </c>
      <c r="E199" t="s">
        <v>120</v>
      </c>
      <c r="F199" t="s">
        <v>1724</v>
      </c>
      <c r="G199" t="s">
        <v>21</v>
      </c>
      <c r="H199">
        <v>0</v>
      </c>
      <c r="I199" t="s">
        <v>24</v>
      </c>
      <c r="J199" t="s">
        <v>42</v>
      </c>
      <c r="K199">
        <v>6</v>
      </c>
      <c r="O199">
        <v>21.99</v>
      </c>
    </row>
    <row r="200" spans="1:15" x14ac:dyDescent="0.35">
      <c r="A200" t="s">
        <v>288</v>
      </c>
      <c r="B200">
        <v>2</v>
      </c>
      <c r="C200">
        <v>30.99</v>
      </c>
      <c r="D200">
        <v>53.78</v>
      </c>
      <c r="E200" t="s">
        <v>176</v>
      </c>
      <c r="F200" t="s">
        <v>1725</v>
      </c>
      <c r="G200" t="s">
        <v>21</v>
      </c>
      <c r="H200">
        <v>0</v>
      </c>
      <c r="I200" t="s">
        <v>12</v>
      </c>
      <c r="J200" t="s">
        <v>18</v>
      </c>
      <c r="K200">
        <v>10.5</v>
      </c>
      <c r="O200">
        <v>37.979999999999997</v>
      </c>
    </row>
    <row r="201" spans="1:15" x14ac:dyDescent="0.35">
      <c r="A201" t="s">
        <v>289</v>
      </c>
      <c r="B201">
        <v>1</v>
      </c>
      <c r="C201">
        <v>16.989999999999998</v>
      </c>
      <c r="D201">
        <v>16.989999999999998</v>
      </c>
      <c r="E201" t="s">
        <v>290</v>
      </c>
      <c r="F201" t="s">
        <v>1726</v>
      </c>
      <c r="G201" t="s">
        <v>16</v>
      </c>
      <c r="H201">
        <v>15</v>
      </c>
      <c r="I201" t="s">
        <v>24</v>
      </c>
      <c r="J201" t="s">
        <v>25</v>
      </c>
      <c r="K201">
        <v>5</v>
      </c>
      <c r="O201">
        <v>21.99</v>
      </c>
    </row>
    <row r="202" spans="1:15" x14ac:dyDescent="0.35">
      <c r="A202" t="s">
        <v>291</v>
      </c>
      <c r="B202">
        <v>1</v>
      </c>
      <c r="C202">
        <v>34.99</v>
      </c>
      <c r="D202">
        <v>34.99</v>
      </c>
      <c r="E202" t="s">
        <v>61</v>
      </c>
      <c r="F202" t="s">
        <v>1727</v>
      </c>
      <c r="G202" t="s">
        <v>16</v>
      </c>
      <c r="H202">
        <v>5</v>
      </c>
      <c r="I202" t="s">
        <v>12</v>
      </c>
      <c r="J202" t="s">
        <v>36</v>
      </c>
      <c r="K202">
        <v>12.5</v>
      </c>
      <c r="O202">
        <v>21.99</v>
      </c>
    </row>
    <row r="203" spans="1:15" x14ac:dyDescent="0.35">
      <c r="A203" t="s">
        <v>292</v>
      </c>
      <c r="B203">
        <v>1</v>
      </c>
      <c r="C203">
        <v>16.989999999999998</v>
      </c>
      <c r="D203">
        <v>16.989999999999998</v>
      </c>
      <c r="E203" t="s">
        <v>236</v>
      </c>
      <c r="F203" t="s">
        <v>1728</v>
      </c>
      <c r="G203" t="s">
        <v>16</v>
      </c>
      <c r="H203">
        <v>22</v>
      </c>
      <c r="I203" t="s">
        <v>12</v>
      </c>
      <c r="J203" t="s">
        <v>25</v>
      </c>
      <c r="K203">
        <v>5</v>
      </c>
      <c r="O203">
        <v>21.99</v>
      </c>
    </row>
    <row r="204" spans="1:15" x14ac:dyDescent="0.35">
      <c r="A204" t="s">
        <v>293</v>
      </c>
      <c r="B204">
        <v>1</v>
      </c>
      <c r="C204">
        <v>18.989999999999998</v>
      </c>
      <c r="D204">
        <v>18.989999999999998</v>
      </c>
      <c r="E204" t="s">
        <v>110</v>
      </c>
      <c r="F204" t="s">
        <v>1717</v>
      </c>
      <c r="G204" t="s">
        <v>87</v>
      </c>
      <c r="H204">
        <v>0</v>
      </c>
      <c r="I204" t="s">
        <v>17</v>
      </c>
      <c r="J204" t="s">
        <v>42</v>
      </c>
      <c r="K204">
        <v>6</v>
      </c>
      <c r="O204">
        <v>21.99</v>
      </c>
    </row>
    <row r="205" spans="1:15" x14ac:dyDescent="0.35">
      <c r="A205" t="s">
        <v>294</v>
      </c>
      <c r="B205">
        <v>1</v>
      </c>
      <c r="C205">
        <v>30.99</v>
      </c>
      <c r="D205">
        <v>30.99</v>
      </c>
      <c r="E205" t="s">
        <v>20</v>
      </c>
      <c r="F205" t="s">
        <v>1718</v>
      </c>
      <c r="G205" t="s">
        <v>21</v>
      </c>
      <c r="H205">
        <v>0</v>
      </c>
      <c r="I205" t="s">
        <v>24</v>
      </c>
      <c r="J205" t="s">
        <v>18</v>
      </c>
      <c r="K205">
        <v>10.5</v>
      </c>
      <c r="O205">
        <v>21.99</v>
      </c>
    </row>
    <row r="206" spans="1:15" x14ac:dyDescent="0.35">
      <c r="A206" t="s">
        <v>295</v>
      </c>
      <c r="B206">
        <v>2</v>
      </c>
      <c r="C206">
        <v>16.989999999999998</v>
      </c>
      <c r="D206">
        <v>29.18</v>
      </c>
      <c r="E206" t="s">
        <v>57</v>
      </c>
      <c r="F206" t="s">
        <v>1719</v>
      </c>
      <c r="G206" t="s">
        <v>87</v>
      </c>
      <c r="H206">
        <v>0</v>
      </c>
      <c r="I206" t="s">
        <v>41</v>
      </c>
      <c r="J206" t="s">
        <v>25</v>
      </c>
      <c r="K206">
        <v>5</v>
      </c>
      <c r="O206">
        <v>37.979999999999997</v>
      </c>
    </row>
    <row r="207" spans="1:15" x14ac:dyDescent="0.35">
      <c r="A207" t="s">
        <v>296</v>
      </c>
      <c r="B207">
        <v>1</v>
      </c>
      <c r="C207">
        <v>18.989999999999998</v>
      </c>
      <c r="D207">
        <v>18.989999999999998</v>
      </c>
      <c r="E207" t="s">
        <v>66</v>
      </c>
      <c r="F207" t="s">
        <v>1720</v>
      </c>
      <c r="G207" t="s">
        <v>28</v>
      </c>
      <c r="H207">
        <v>0</v>
      </c>
      <c r="I207" t="s">
        <v>41</v>
      </c>
      <c r="J207" t="s">
        <v>42</v>
      </c>
      <c r="K207">
        <v>6</v>
      </c>
      <c r="O207">
        <v>21.99</v>
      </c>
    </row>
    <row r="208" spans="1:15" x14ac:dyDescent="0.35">
      <c r="A208" t="s">
        <v>297</v>
      </c>
      <c r="B208">
        <v>1</v>
      </c>
      <c r="C208">
        <v>16.989999999999998</v>
      </c>
      <c r="D208">
        <v>16.989999999999998</v>
      </c>
      <c r="E208" t="s">
        <v>92</v>
      </c>
      <c r="F208" t="s">
        <v>1721</v>
      </c>
      <c r="G208" t="s">
        <v>87</v>
      </c>
      <c r="H208">
        <v>0</v>
      </c>
      <c r="I208" t="s">
        <v>12</v>
      </c>
      <c r="J208" t="s">
        <v>25</v>
      </c>
      <c r="K208">
        <v>5</v>
      </c>
      <c r="O208">
        <v>21.99</v>
      </c>
    </row>
    <row r="209" spans="1:15" x14ac:dyDescent="0.35">
      <c r="A209" t="s">
        <v>298</v>
      </c>
      <c r="B209">
        <v>2</v>
      </c>
      <c r="C209">
        <v>34.99</v>
      </c>
      <c r="D209">
        <v>60.98</v>
      </c>
      <c r="E209" t="s">
        <v>171</v>
      </c>
      <c r="F209" t="s">
        <v>1722</v>
      </c>
      <c r="G209" t="s">
        <v>16</v>
      </c>
      <c r="H209">
        <v>8</v>
      </c>
      <c r="I209" t="s">
        <v>41</v>
      </c>
      <c r="J209" t="s">
        <v>36</v>
      </c>
      <c r="K209">
        <v>12.5</v>
      </c>
      <c r="O209">
        <v>37.979999999999997</v>
      </c>
    </row>
    <row r="210" spans="1:15" x14ac:dyDescent="0.35">
      <c r="A210" t="s">
        <v>299</v>
      </c>
      <c r="B210">
        <v>2</v>
      </c>
      <c r="C210">
        <v>34.99</v>
      </c>
      <c r="D210">
        <v>60.98</v>
      </c>
      <c r="E210" s="6">
        <v>46221</v>
      </c>
      <c r="F210" t="s">
        <v>1723</v>
      </c>
      <c r="G210" t="s">
        <v>16</v>
      </c>
      <c r="H210">
        <v>8</v>
      </c>
      <c r="I210" t="s">
        <v>41</v>
      </c>
      <c r="J210" t="s">
        <v>36</v>
      </c>
      <c r="K210">
        <v>12.5</v>
      </c>
      <c r="O210">
        <v>37.979999999999997</v>
      </c>
    </row>
    <row r="211" spans="1:15" x14ac:dyDescent="0.35">
      <c r="A211" t="s">
        <v>300</v>
      </c>
      <c r="B211">
        <v>1</v>
      </c>
      <c r="C211">
        <v>18.989999999999998</v>
      </c>
      <c r="D211">
        <v>18.989999999999998</v>
      </c>
      <c r="E211" t="s">
        <v>134</v>
      </c>
      <c r="F211" t="s">
        <v>1724</v>
      </c>
      <c r="G211" t="s">
        <v>16</v>
      </c>
      <c r="H211">
        <v>11</v>
      </c>
      <c r="I211" t="s">
        <v>24</v>
      </c>
      <c r="J211" t="s">
        <v>42</v>
      </c>
      <c r="K211">
        <v>6</v>
      </c>
      <c r="O211">
        <v>21.99</v>
      </c>
    </row>
    <row r="212" spans="1:15" x14ac:dyDescent="0.35">
      <c r="A212" t="s">
        <v>301</v>
      </c>
      <c r="B212">
        <v>1</v>
      </c>
      <c r="C212">
        <v>27.99</v>
      </c>
      <c r="D212">
        <v>27.99</v>
      </c>
      <c r="E212" t="s">
        <v>102</v>
      </c>
      <c r="F212" t="s">
        <v>1725</v>
      </c>
      <c r="G212" t="s">
        <v>28</v>
      </c>
      <c r="H212">
        <v>0</v>
      </c>
      <c r="I212" t="s">
        <v>17</v>
      </c>
      <c r="J212" t="s">
        <v>31</v>
      </c>
      <c r="K212">
        <v>9</v>
      </c>
      <c r="O212">
        <v>21.99</v>
      </c>
    </row>
    <row r="213" spans="1:15" x14ac:dyDescent="0.35">
      <c r="A213" t="s">
        <v>302</v>
      </c>
      <c r="B213">
        <v>1</v>
      </c>
      <c r="C213">
        <v>21.99</v>
      </c>
      <c r="D213">
        <v>21.99</v>
      </c>
      <c r="E213" t="s">
        <v>50</v>
      </c>
      <c r="F213" t="s">
        <v>1726</v>
      </c>
      <c r="G213" t="s">
        <v>87</v>
      </c>
      <c r="H213">
        <v>0</v>
      </c>
      <c r="I213" t="s">
        <v>41</v>
      </c>
      <c r="J213" t="s">
        <v>13</v>
      </c>
      <c r="K213">
        <v>7</v>
      </c>
      <c r="O213">
        <v>21.99</v>
      </c>
    </row>
    <row r="214" spans="1:15" x14ac:dyDescent="0.35">
      <c r="A214" t="s">
        <v>303</v>
      </c>
      <c r="B214">
        <v>1</v>
      </c>
      <c r="C214">
        <v>18.989999999999998</v>
      </c>
      <c r="D214">
        <v>18.989999999999998</v>
      </c>
      <c r="E214" t="s">
        <v>110</v>
      </c>
      <c r="F214" t="s">
        <v>1727</v>
      </c>
      <c r="G214" t="s">
        <v>16</v>
      </c>
      <c r="H214">
        <v>10</v>
      </c>
      <c r="I214" t="s">
        <v>41</v>
      </c>
      <c r="J214" t="s">
        <v>42</v>
      </c>
      <c r="K214">
        <v>6</v>
      </c>
      <c r="O214">
        <v>21.99</v>
      </c>
    </row>
    <row r="215" spans="1:15" x14ac:dyDescent="0.35">
      <c r="A215" t="s">
        <v>304</v>
      </c>
      <c r="B215">
        <v>1</v>
      </c>
      <c r="C215">
        <v>27.99</v>
      </c>
      <c r="D215">
        <v>27.99</v>
      </c>
      <c r="E215" t="s">
        <v>132</v>
      </c>
      <c r="F215" t="s">
        <v>1728</v>
      </c>
      <c r="G215" t="s">
        <v>21</v>
      </c>
      <c r="H215">
        <v>0</v>
      </c>
      <c r="I215" t="s">
        <v>41</v>
      </c>
      <c r="J215" t="s">
        <v>31</v>
      </c>
      <c r="K215">
        <v>9</v>
      </c>
      <c r="O215">
        <v>21.99</v>
      </c>
    </row>
    <row r="216" spans="1:15" x14ac:dyDescent="0.35">
      <c r="A216" t="s">
        <v>305</v>
      </c>
      <c r="B216">
        <v>3</v>
      </c>
      <c r="C216">
        <v>21.99</v>
      </c>
      <c r="D216">
        <v>52.48</v>
      </c>
      <c r="E216" t="s">
        <v>72</v>
      </c>
      <c r="F216" t="s">
        <v>1717</v>
      </c>
      <c r="G216" t="s">
        <v>21</v>
      </c>
      <c r="H216">
        <v>0</v>
      </c>
      <c r="I216" t="s">
        <v>12</v>
      </c>
      <c r="J216" t="s">
        <v>13</v>
      </c>
      <c r="K216">
        <v>7</v>
      </c>
      <c r="O216">
        <v>84.73</v>
      </c>
    </row>
    <row r="217" spans="1:15" x14ac:dyDescent="0.35">
      <c r="A217" t="s">
        <v>306</v>
      </c>
      <c r="B217">
        <v>1</v>
      </c>
      <c r="C217">
        <v>34.99</v>
      </c>
      <c r="D217">
        <v>34.99</v>
      </c>
      <c r="E217" t="s">
        <v>307</v>
      </c>
      <c r="F217" t="s">
        <v>1718</v>
      </c>
      <c r="G217" t="s">
        <v>16</v>
      </c>
      <c r="H217">
        <v>5</v>
      </c>
      <c r="I217" t="s">
        <v>12</v>
      </c>
      <c r="J217" t="s">
        <v>36</v>
      </c>
      <c r="K217">
        <v>12.5</v>
      </c>
      <c r="O217">
        <v>21.99</v>
      </c>
    </row>
    <row r="218" spans="1:15" x14ac:dyDescent="0.35">
      <c r="A218" t="s">
        <v>306</v>
      </c>
      <c r="B218">
        <v>1</v>
      </c>
      <c r="C218">
        <v>34.99</v>
      </c>
      <c r="D218">
        <v>34.99</v>
      </c>
      <c r="E218" t="s">
        <v>307</v>
      </c>
      <c r="F218" t="s">
        <v>1719</v>
      </c>
      <c r="G218" t="s">
        <v>16</v>
      </c>
      <c r="H218">
        <v>5</v>
      </c>
      <c r="I218" t="s">
        <v>12</v>
      </c>
      <c r="J218" t="s">
        <v>36</v>
      </c>
      <c r="K218">
        <v>12.5</v>
      </c>
      <c r="O218">
        <v>21.99</v>
      </c>
    </row>
    <row r="219" spans="1:15" x14ac:dyDescent="0.35">
      <c r="A219" t="s">
        <v>308</v>
      </c>
      <c r="B219">
        <v>1</v>
      </c>
      <c r="C219">
        <v>30.99</v>
      </c>
      <c r="D219">
        <v>30.99</v>
      </c>
      <c r="E219" t="s">
        <v>66</v>
      </c>
      <c r="F219" t="s">
        <v>1720</v>
      </c>
      <c r="G219" t="s">
        <v>28</v>
      </c>
      <c r="H219">
        <v>0</v>
      </c>
      <c r="I219" t="s">
        <v>12</v>
      </c>
      <c r="J219" t="s">
        <v>18</v>
      </c>
      <c r="K219">
        <v>10.5</v>
      </c>
      <c r="O219">
        <v>21.99</v>
      </c>
    </row>
    <row r="220" spans="1:15" x14ac:dyDescent="0.35">
      <c r="A220" t="s">
        <v>309</v>
      </c>
      <c r="B220">
        <v>2</v>
      </c>
      <c r="C220">
        <v>18.989999999999998</v>
      </c>
      <c r="D220">
        <v>32.78</v>
      </c>
      <c r="E220" t="s">
        <v>156</v>
      </c>
      <c r="F220" t="s">
        <v>1721</v>
      </c>
      <c r="G220" t="s">
        <v>21</v>
      </c>
      <c r="H220">
        <v>0</v>
      </c>
      <c r="I220" t="s">
        <v>12</v>
      </c>
      <c r="J220" t="s">
        <v>42</v>
      </c>
      <c r="K220">
        <v>6</v>
      </c>
      <c r="O220">
        <v>37.979999999999997</v>
      </c>
    </row>
    <row r="221" spans="1:15" x14ac:dyDescent="0.35">
      <c r="A221" t="s">
        <v>310</v>
      </c>
      <c r="B221">
        <v>1</v>
      </c>
      <c r="C221">
        <v>30.99</v>
      </c>
      <c r="D221">
        <v>30.99</v>
      </c>
      <c r="E221" t="s">
        <v>20</v>
      </c>
      <c r="F221" t="s">
        <v>1722</v>
      </c>
      <c r="G221" t="s">
        <v>28</v>
      </c>
      <c r="H221">
        <v>0</v>
      </c>
      <c r="I221" t="s">
        <v>12</v>
      </c>
      <c r="J221" t="s">
        <v>18</v>
      </c>
      <c r="K221">
        <v>10.5</v>
      </c>
      <c r="O221">
        <v>21.99</v>
      </c>
    </row>
    <row r="222" spans="1:15" x14ac:dyDescent="0.35">
      <c r="A222" t="s">
        <v>311</v>
      </c>
      <c r="B222">
        <v>3</v>
      </c>
      <c r="C222">
        <v>30.99</v>
      </c>
      <c r="D222">
        <v>74.53</v>
      </c>
      <c r="E222" t="s">
        <v>27</v>
      </c>
      <c r="F222" t="s">
        <v>1723</v>
      </c>
      <c r="G222" t="s">
        <v>21</v>
      </c>
      <c r="H222">
        <v>0</v>
      </c>
      <c r="I222" t="s">
        <v>12</v>
      </c>
      <c r="J222" t="s">
        <v>18</v>
      </c>
      <c r="K222">
        <v>10.5</v>
      </c>
      <c r="O222">
        <v>84.73</v>
      </c>
    </row>
    <row r="223" spans="1:15" x14ac:dyDescent="0.35">
      <c r="A223" t="s">
        <v>312</v>
      </c>
      <c r="B223">
        <v>3</v>
      </c>
      <c r="C223">
        <v>21.99</v>
      </c>
      <c r="D223">
        <v>52.48</v>
      </c>
      <c r="E223" t="s">
        <v>82</v>
      </c>
      <c r="F223" t="s">
        <v>1724</v>
      </c>
      <c r="G223" t="s">
        <v>16</v>
      </c>
      <c r="H223">
        <v>3</v>
      </c>
      <c r="I223" t="s">
        <v>41</v>
      </c>
      <c r="J223" t="s">
        <v>13</v>
      </c>
      <c r="K223">
        <v>7</v>
      </c>
      <c r="O223">
        <v>84.73</v>
      </c>
    </row>
    <row r="224" spans="1:15" x14ac:dyDescent="0.35">
      <c r="A224" t="s">
        <v>313</v>
      </c>
      <c r="B224">
        <v>1</v>
      </c>
      <c r="C224">
        <v>34.99</v>
      </c>
      <c r="D224">
        <v>34.99</v>
      </c>
      <c r="E224" t="s">
        <v>231</v>
      </c>
      <c r="F224" t="s">
        <v>1725</v>
      </c>
      <c r="G224" t="s">
        <v>16</v>
      </c>
      <c r="H224">
        <v>8</v>
      </c>
      <c r="I224" t="s">
        <v>12</v>
      </c>
      <c r="J224" t="s">
        <v>36</v>
      </c>
      <c r="K224">
        <v>12.5</v>
      </c>
      <c r="O224">
        <v>21.99</v>
      </c>
    </row>
    <row r="225" spans="1:15" x14ac:dyDescent="0.35">
      <c r="A225" t="s">
        <v>314</v>
      </c>
      <c r="B225">
        <v>1</v>
      </c>
      <c r="C225">
        <v>34.99</v>
      </c>
      <c r="D225">
        <v>34.99</v>
      </c>
      <c r="E225" t="s">
        <v>27</v>
      </c>
      <c r="F225" t="s">
        <v>1726</v>
      </c>
      <c r="G225" t="s">
        <v>21</v>
      </c>
      <c r="H225">
        <v>0</v>
      </c>
      <c r="I225" t="s">
        <v>41</v>
      </c>
      <c r="J225" t="s">
        <v>36</v>
      </c>
      <c r="K225">
        <v>12.5</v>
      </c>
      <c r="O225">
        <v>21.99</v>
      </c>
    </row>
    <row r="226" spans="1:15" x14ac:dyDescent="0.35">
      <c r="A226" t="s">
        <v>315</v>
      </c>
      <c r="B226">
        <v>2</v>
      </c>
      <c r="C226">
        <v>16.989999999999998</v>
      </c>
      <c r="D226">
        <v>29.18</v>
      </c>
      <c r="E226" t="s">
        <v>229</v>
      </c>
      <c r="F226" t="s">
        <v>1727</v>
      </c>
      <c r="G226" t="s">
        <v>87</v>
      </c>
      <c r="H226">
        <v>0</v>
      </c>
      <c r="I226" t="s">
        <v>24</v>
      </c>
      <c r="J226" t="s">
        <v>25</v>
      </c>
      <c r="K226">
        <v>5</v>
      </c>
      <c r="O226">
        <v>37.979999999999997</v>
      </c>
    </row>
    <row r="227" spans="1:15" x14ac:dyDescent="0.35">
      <c r="A227" t="s">
        <v>316</v>
      </c>
      <c r="B227">
        <v>2</v>
      </c>
      <c r="C227">
        <v>18.989999999999998</v>
      </c>
      <c r="D227">
        <v>32.78</v>
      </c>
      <c r="E227" t="s">
        <v>50</v>
      </c>
      <c r="F227" t="s">
        <v>1728</v>
      </c>
      <c r="G227" t="s">
        <v>11</v>
      </c>
      <c r="H227">
        <v>10</v>
      </c>
      <c r="I227" t="s">
        <v>17</v>
      </c>
      <c r="J227" t="s">
        <v>42</v>
      </c>
      <c r="K227">
        <v>6</v>
      </c>
      <c r="O227">
        <v>37.979999999999997</v>
      </c>
    </row>
    <row r="228" spans="1:15" x14ac:dyDescent="0.35">
      <c r="A228" t="s">
        <v>317</v>
      </c>
      <c r="B228">
        <v>3</v>
      </c>
      <c r="C228">
        <v>30.99</v>
      </c>
      <c r="D228">
        <v>74.53</v>
      </c>
      <c r="E228" t="s">
        <v>110</v>
      </c>
      <c r="F228" t="s">
        <v>1717</v>
      </c>
      <c r="G228" t="s">
        <v>16</v>
      </c>
      <c r="H228">
        <v>2</v>
      </c>
      <c r="I228" t="s">
        <v>12</v>
      </c>
      <c r="J228" t="s">
        <v>18</v>
      </c>
      <c r="K228">
        <v>10.5</v>
      </c>
      <c r="O228">
        <v>84.73</v>
      </c>
    </row>
    <row r="229" spans="1:15" x14ac:dyDescent="0.35">
      <c r="A229" t="s">
        <v>318</v>
      </c>
      <c r="B229">
        <v>1</v>
      </c>
      <c r="C229">
        <v>18.989999999999998</v>
      </c>
      <c r="D229">
        <v>18.989999999999998</v>
      </c>
      <c r="E229" t="s">
        <v>108</v>
      </c>
      <c r="F229" t="s">
        <v>1718</v>
      </c>
      <c r="G229" t="s">
        <v>21</v>
      </c>
      <c r="H229">
        <v>0</v>
      </c>
      <c r="I229" t="s">
        <v>17</v>
      </c>
      <c r="J229" t="s">
        <v>42</v>
      </c>
      <c r="K229">
        <v>6</v>
      </c>
      <c r="O229">
        <v>21.99</v>
      </c>
    </row>
    <row r="230" spans="1:15" x14ac:dyDescent="0.35">
      <c r="A230" t="s">
        <v>319</v>
      </c>
      <c r="B230">
        <v>3</v>
      </c>
      <c r="C230">
        <v>21.99</v>
      </c>
      <c r="D230">
        <v>52.48</v>
      </c>
      <c r="E230" t="s">
        <v>320</v>
      </c>
      <c r="F230" t="s">
        <v>1719</v>
      </c>
      <c r="G230" t="s">
        <v>16</v>
      </c>
      <c r="H230">
        <v>2</v>
      </c>
      <c r="I230" t="s">
        <v>17</v>
      </c>
      <c r="J230" t="s">
        <v>13</v>
      </c>
      <c r="K230">
        <v>7</v>
      </c>
      <c r="O230">
        <v>84.73</v>
      </c>
    </row>
    <row r="231" spans="1:15" x14ac:dyDescent="0.35">
      <c r="A231" t="s">
        <v>321</v>
      </c>
      <c r="B231">
        <v>1</v>
      </c>
      <c r="C231">
        <v>30.99</v>
      </c>
      <c r="D231">
        <v>30.99</v>
      </c>
      <c r="E231" t="s">
        <v>290</v>
      </c>
      <c r="F231" t="s">
        <v>1720</v>
      </c>
      <c r="G231" t="s">
        <v>21</v>
      </c>
      <c r="H231">
        <v>0</v>
      </c>
      <c r="I231" t="s">
        <v>41</v>
      </c>
      <c r="J231" t="s">
        <v>18</v>
      </c>
      <c r="K231">
        <v>10.5</v>
      </c>
      <c r="O231">
        <v>21.99</v>
      </c>
    </row>
    <row r="232" spans="1:15" x14ac:dyDescent="0.35">
      <c r="A232" t="s">
        <v>322</v>
      </c>
      <c r="B232">
        <v>1</v>
      </c>
      <c r="C232">
        <v>18.989999999999998</v>
      </c>
      <c r="D232">
        <v>18.989999999999998</v>
      </c>
      <c r="E232" t="s">
        <v>38</v>
      </c>
      <c r="F232" t="s">
        <v>1721</v>
      </c>
      <c r="G232" t="s">
        <v>16</v>
      </c>
      <c r="H232">
        <v>13</v>
      </c>
      <c r="I232" t="s">
        <v>41</v>
      </c>
      <c r="J232" t="s">
        <v>42</v>
      </c>
      <c r="K232">
        <v>6</v>
      </c>
      <c r="O232">
        <v>21.99</v>
      </c>
    </row>
    <row r="233" spans="1:15" x14ac:dyDescent="0.35">
      <c r="A233" t="s">
        <v>323</v>
      </c>
      <c r="B233">
        <v>1</v>
      </c>
      <c r="C233">
        <v>18.989999999999998</v>
      </c>
      <c r="D233">
        <v>18.989999999999998</v>
      </c>
      <c r="E233" s="6">
        <v>46191</v>
      </c>
      <c r="F233" t="s">
        <v>1722</v>
      </c>
      <c r="G233" t="s">
        <v>16</v>
      </c>
      <c r="H233">
        <v>18</v>
      </c>
      <c r="I233" t="s">
        <v>41</v>
      </c>
      <c r="J233" t="s">
        <v>42</v>
      </c>
      <c r="K233">
        <v>6</v>
      </c>
      <c r="O233">
        <v>21.99</v>
      </c>
    </row>
    <row r="234" spans="1:15" x14ac:dyDescent="0.35">
      <c r="A234" t="s">
        <v>324</v>
      </c>
      <c r="B234">
        <v>1</v>
      </c>
      <c r="C234">
        <v>21.99</v>
      </c>
      <c r="D234">
        <v>21.99</v>
      </c>
      <c r="E234" t="s">
        <v>108</v>
      </c>
      <c r="F234" t="s">
        <v>1723</v>
      </c>
      <c r="G234" t="s">
        <v>11</v>
      </c>
      <c r="H234">
        <v>3</v>
      </c>
      <c r="I234" t="s">
        <v>17</v>
      </c>
      <c r="J234" t="s">
        <v>13</v>
      </c>
      <c r="K234">
        <v>7</v>
      </c>
      <c r="O234">
        <v>21.99</v>
      </c>
    </row>
    <row r="235" spans="1:15" x14ac:dyDescent="0.35">
      <c r="A235" t="s">
        <v>325</v>
      </c>
      <c r="B235">
        <v>1</v>
      </c>
      <c r="C235">
        <v>27.99</v>
      </c>
      <c r="D235">
        <v>27.99</v>
      </c>
      <c r="E235" t="s">
        <v>164</v>
      </c>
      <c r="F235" t="s">
        <v>1724</v>
      </c>
      <c r="G235" t="s">
        <v>16</v>
      </c>
      <c r="H235">
        <v>2</v>
      </c>
      <c r="I235" t="s">
        <v>24</v>
      </c>
      <c r="J235" t="s">
        <v>31</v>
      </c>
      <c r="K235">
        <v>9</v>
      </c>
      <c r="O235">
        <v>21.99</v>
      </c>
    </row>
    <row r="236" spans="1:15" x14ac:dyDescent="0.35">
      <c r="A236" t="s">
        <v>326</v>
      </c>
      <c r="B236">
        <v>1</v>
      </c>
      <c r="C236">
        <v>21.99</v>
      </c>
      <c r="D236">
        <v>21.99</v>
      </c>
      <c r="E236" t="s">
        <v>166</v>
      </c>
      <c r="F236" t="s">
        <v>1725</v>
      </c>
      <c r="G236" t="s">
        <v>16</v>
      </c>
      <c r="H236">
        <v>2</v>
      </c>
      <c r="I236" t="s">
        <v>41</v>
      </c>
      <c r="J236" t="s">
        <v>13</v>
      </c>
      <c r="K236">
        <v>7</v>
      </c>
      <c r="O236">
        <v>21.99</v>
      </c>
    </row>
    <row r="237" spans="1:15" x14ac:dyDescent="0.35">
      <c r="A237" t="s">
        <v>327</v>
      </c>
      <c r="B237">
        <v>3</v>
      </c>
      <c r="C237">
        <v>27.99</v>
      </c>
      <c r="D237">
        <v>66.88</v>
      </c>
      <c r="E237" t="s">
        <v>35</v>
      </c>
      <c r="F237" t="s">
        <v>1726</v>
      </c>
      <c r="G237" t="s">
        <v>28</v>
      </c>
      <c r="H237">
        <v>0</v>
      </c>
      <c r="I237" t="s">
        <v>17</v>
      </c>
      <c r="J237" t="s">
        <v>31</v>
      </c>
      <c r="K237">
        <v>9</v>
      </c>
      <c r="O237">
        <v>84.73</v>
      </c>
    </row>
    <row r="238" spans="1:15" x14ac:dyDescent="0.35">
      <c r="A238" t="s">
        <v>328</v>
      </c>
      <c r="B238">
        <v>1</v>
      </c>
      <c r="C238">
        <v>21.99</v>
      </c>
      <c r="D238">
        <v>21.99</v>
      </c>
      <c r="E238" t="s">
        <v>10</v>
      </c>
      <c r="F238" t="s">
        <v>1727</v>
      </c>
      <c r="G238" t="s">
        <v>16</v>
      </c>
      <c r="H238">
        <v>3</v>
      </c>
      <c r="I238" t="s">
        <v>12</v>
      </c>
      <c r="J238" t="s">
        <v>13</v>
      </c>
      <c r="K238">
        <v>7</v>
      </c>
      <c r="O238">
        <v>21.99</v>
      </c>
    </row>
    <row r="239" spans="1:15" x14ac:dyDescent="0.35">
      <c r="A239" t="s">
        <v>329</v>
      </c>
      <c r="B239">
        <v>1</v>
      </c>
      <c r="C239">
        <v>16.989999999999998</v>
      </c>
      <c r="D239">
        <v>16.989999999999998</v>
      </c>
      <c r="E239" t="s">
        <v>46</v>
      </c>
      <c r="F239" t="s">
        <v>1728</v>
      </c>
      <c r="G239" t="s">
        <v>28</v>
      </c>
      <c r="H239">
        <v>0</v>
      </c>
      <c r="I239" t="s">
        <v>24</v>
      </c>
      <c r="J239" t="s">
        <v>25</v>
      </c>
      <c r="K239">
        <v>5</v>
      </c>
      <c r="O239">
        <v>21.99</v>
      </c>
    </row>
    <row r="240" spans="1:15" x14ac:dyDescent="0.35">
      <c r="A240" t="s">
        <v>330</v>
      </c>
      <c r="B240">
        <v>1</v>
      </c>
      <c r="C240">
        <v>18.989999999999998</v>
      </c>
      <c r="D240">
        <v>18.989999999999998</v>
      </c>
      <c r="E240" t="s">
        <v>240</v>
      </c>
      <c r="F240" t="s">
        <v>1717</v>
      </c>
      <c r="G240" t="s">
        <v>16</v>
      </c>
      <c r="H240">
        <v>19</v>
      </c>
      <c r="I240" t="s">
        <v>24</v>
      </c>
      <c r="J240" t="s">
        <v>42</v>
      </c>
      <c r="K240">
        <v>6</v>
      </c>
      <c r="O240">
        <v>21.99</v>
      </c>
    </row>
    <row r="241" spans="1:15" x14ac:dyDescent="0.35">
      <c r="A241" t="s">
        <v>331</v>
      </c>
      <c r="B241">
        <v>1</v>
      </c>
      <c r="C241">
        <v>30.99</v>
      </c>
      <c r="D241">
        <v>30.99</v>
      </c>
      <c r="E241" t="s">
        <v>106</v>
      </c>
      <c r="F241" t="s">
        <v>1718</v>
      </c>
      <c r="G241" t="s">
        <v>21</v>
      </c>
      <c r="H241">
        <v>0</v>
      </c>
      <c r="I241" t="s">
        <v>12</v>
      </c>
      <c r="J241" t="s">
        <v>18</v>
      </c>
      <c r="K241">
        <v>10.5</v>
      </c>
      <c r="O241">
        <v>21.99</v>
      </c>
    </row>
    <row r="242" spans="1:15" x14ac:dyDescent="0.35">
      <c r="A242" t="s">
        <v>332</v>
      </c>
      <c r="B242">
        <v>3</v>
      </c>
      <c r="C242">
        <v>34.99</v>
      </c>
      <c r="D242">
        <v>84.73</v>
      </c>
      <c r="E242" t="s">
        <v>333</v>
      </c>
      <c r="F242" t="s">
        <v>1719</v>
      </c>
      <c r="G242" t="s">
        <v>16</v>
      </c>
      <c r="H242">
        <v>6</v>
      </c>
      <c r="I242" t="s">
        <v>41</v>
      </c>
      <c r="J242" t="s">
        <v>36</v>
      </c>
      <c r="K242">
        <v>12.5</v>
      </c>
      <c r="O242">
        <v>84.73</v>
      </c>
    </row>
    <row r="243" spans="1:15" x14ac:dyDescent="0.35">
      <c r="A243" t="s">
        <v>334</v>
      </c>
      <c r="B243">
        <v>2</v>
      </c>
      <c r="C243">
        <v>16.989999999999998</v>
      </c>
      <c r="D243">
        <v>29.18</v>
      </c>
      <c r="E243" t="s">
        <v>48</v>
      </c>
      <c r="F243" t="s">
        <v>1720</v>
      </c>
      <c r="G243" t="s">
        <v>87</v>
      </c>
      <c r="H243">
        <v>0</v>
      </c>
      <c r="I243" t="s">
        <v>12</v>
      </c>
      <c r="J243" t="s">
        <v>25</v>
      </c>
      <c r="K243">
        <v>5</v>
      </c>
      <c r="O243">
        <v>37.979999999999997</v>
      </c>
    </row>
    <row r="244" spans="1:15" x14ac:dyDescent="0.35">
      <c r="A244" t="s">
        <v>335</v>
      </c>
      <c r="B244">
        <v>1</v>
      </c>
      <c r="C244">
        <v>27.99</v>
      </c>
      <c r="D244">
        <v>27.99</v>
      </c>
      <c r="E244" t="s">
        <v>89</v>
      </c>
      <c r="F244" t="s">
        <v>1721</v>
      </c>
      <c r="G244" t="s">
        <v>16</v>
      </c>
      <c r="H244">
        <v>3</v>
      </c>
      <c r="I244" t="s">
        <v>24</v>
      </c>
      <c r="J244" t="s">
        <v>31</v>
      </c>
      <c r="K244">
        <v>9</v>
      </c>
      <c r="O244">
        <v>21.99</v>
      </c>
    </row>
    <row r="245" spans="1:15" x14ac:dyDescent="0.35">
      <c r="A245" t="s">
        <v>336</v>
      </c>
      <c r="B245">
        <v>3</v>
      </c>
      <c r="C245">
        <v>34.99</v>
      </c>
      <c r="D245">
        <v>84.73</v>
      </c>
      <c r="E245" s="6">
        <v>46226</v>
      </c>
      <c r="F245" t="s">
        <v>1722</v>
      </c>
      <c r="G245" t="s">
        <v>16</v>
      </c>
      <c r="H245">
        <v>8</v>
      </c>
      <c r="I245" t="s">
        <v>12</v>
      </c>
      <c r="J245" t="s">
        <v>36</v>
      </c>
      <c r="K245">
        <v>12.5</v>
      </c>
      <c r="O245">
        <v>84.73</v>
      </c>
    </row>
    <row r="246" spans="1:15" x14ac:dyDescent="0.35">
      <c r="A246" t="s">
        <v>337</v>
      </c>
      <c r="B246">
        <v>3</v>
      </c>
      <c r="C246">
        <v>34.99</v>
      </c>
      <c r="D246">
        <v>84.73</v>
      </c>
      <c r="E246" t="s">
        <v>27</v>
      </c>
      <c r="F246" t="s">
        <v>1723</v>
      </c>
      <c r="G246" t="s">
        <v>21</v>
      </c>
      <c r="H246">
        <v>0</v>
      </c>
      <c r="I246" t="s">
        <v>12</v>
      </c>
      <c r="J246" t="s">
        <v>36</v>
      </c>
      <c r="K246">
        <v>12.5</v>
      </c>
      <c r="O246">
        <v>84.73</v>
      </c>
    </row>
    <row r="247" spans="1:15" x14ac:dyDescent="0.35">
      <c r="A247" t="s">
        <v>338</v>
      </c>
      <c r="B247">
        <v>1</v>
      </c>
      <c r="C247">
        <v>34.99</v>
      </c>
      <c r="D247">
        <v>34.99</v>
      </c>
      <c r="E247" t="s">
        <v>176</v>
      </c>
      <c r="F247" t="s">
        <v>1724</v>
      </c>
      <c r="G247" t="s">
        <v>16</v>
      </c>
      <c r="H247">
        <v>10</v>
      </c>
      <c r="I247" t="s">
        <v>24</v>
      </c>
      <c r="J247" t="s">
        <v>36</v>
      </c>
      <c r="K247">
        <v>12.5</v>
      </c>
      <c r="O247">
        <v>21.99</v>
      </c>
    </row>
    <row r="248" spans="1:15" x14ac:dyDescent="0.35">
      <c r="A248" t="s">
        <v>339</v>
      </c>
      <c r="B248">
        <v>3</v>
      </c>
      <c r="C248">
        <v>27.99</v>
      </c>
      <c r="D248">
        <v>66.88</v>
      </c>
      <c r="E248" t="s">
        <v>82</v>
      </c>
      <c r="F248" t="s">
        <v>1725</v>
      </c>
      <c r="G248" t="s">
        <v>11</v>
      </c>
      <c r="H248">
        <v>3</v>
      </c>
      <c r="I248" t="s">
        <v>12</v>
      </c>
      <c r="J248" t="s">
        <v>31</v>
      </c>
      <c r="K248">
        <v>9</v>
      </c>
      <c r="O248">
        <v>84.73</v>
      </c>
    </row>
    <row r="249" spans="1:15" x14ac:dyDescent="0.35">
      <c r="A249" t="s">
        <v>340</v>
      </c>
      <c r="B249">
        <v>1</v>
      </c>
      <c r="C249">
        <v>21.99</v>
      </c>
      <c r="D249">
        <v>21.99</v>
      </c>
      <c r="E249" t="s">
        <v>84</v>
      </c>
      <c r="F249" t="s">
        <v>1726</v>
      </c>
      <c r="G249" t="s">
        <v>21</v>
      </c>
      <c r="H249">
        <v>0</v>
      </c>
      <c r="I249" t="s">
        <v>41</v>
      </c>
      <c r="J249" t="s">
        <v>13</v>
      </c>
      <c r="K249">
        <v>7</v>
      </c>
      <c r="O249">
        <v>21.99</v>
      </c>
    </row>
    <row r="250" spans="1:15" x14ac:dyDescent="0.35">
      <c r="A250" t="s">
        <v>341</v>
      </c>
      <c r="B250">
        <v>2</v>
      </c>
      <c r="C250">
        <v>34.99</v>
      </c>
      <c r="D250">
        <v>60.98</v>
      </c>
      <c r="E250" t="s">
        <v>122</v>
      </c>
      <c r="F250" t="s">
        <v>1727</v>
      </c>
      <c r="G250" t="s">
        <v>87</v>
      </c>
      <c r="H250">
        <v>0</v>
      </c>
      <c r="I250" t="s">
        <v>17</v>
      </c>
      <c r="J250" t="s">
        <v>36</v>
      </c>
      <c r="K250">
        <v>12.5</v>
      </c>
      <c r="O250">
        <v>37.979999999999997</v>
      </c>
    </row>
    <row r="251" spans="1:15" x14ac:dyDescent="0.35">
      <c r="A251" t="s">
        <v>342</v>
      </c>
      <c r="B251">
        <v>1</v>
      </c>
      <c r="C251">
        <v>21.99</v>
      </c>
      <c r="D251">
        <v>21.99</v>
      </c>
      <c r="E251" t="s">
        <v>46</v>
      </c>
      <c r="F251" t="s">
        <v>1728</v>
      </c>
      <c r="G251" t="s">
        <v>11</v>
      </c>
      <c r="H251">
        <v>2</v>
      </c>
      <c r="I251" t="s">
        <v>12</v>
      </c>
      <c r="J251" t="s">
        <v>13</v>
      </c>
      <c r="K251">
        <v>7</v>
      </c>
      <c r="O251">
        <v>21.99</v>
      </c>
    </row>
    <row r="252" spans="1:15" x14ac:dyDescent="0.35">
      <c r="A252" t="s">
        <v>343</v>
      </c>
      <c r="B252">
        <v>1</v>
      </c>
      <c r="C252">
        <v>18.989999999999998</v>
      </c>
      <c r="D252">
        <v>18.989999999999998</v>
      </c>
      <c r="E252" t="s">
        <v>122</v>
      </c>
      <c r="F252" t="s">
        <v>1717</v>
      </c>
      <c r="G252" t="s">
        <v>16</v>
      </c>
      <c r="H252">
        <v>17</v>
      </c>
      <c r="I252" t="s">
        <v>17</v>
      </c>
      <c r="J252" t="s">
        <v>42</v>
      </c>
      <c r="K252">
        <v>6</v>
      </c>
      <c r="O252">
        <v>21.99</v>
      </c>
    </row>
    <row r="253" spans="1:15" x14ac:dyDescent="0.35">
      <c r="A253" t="s">
        <v>343</v>
      </c>
      <c r="B253">
        <v>1</v>
      </c>
      <c r="C253">
        <v>18.989999999999998</v>
      </c>
      <c r="D253">
        <v>18.989999999999998</v>
      </c>
      <c r="E253" t="s">
        <v>122</v>
      </c>
      <c r="F253" t="s">
        <v>1718</v>
      </c>
      <c r="G253" t="s">
        <v>16</v>
      </c>
      <c r="H253">
        <v>17</v>
      </c>
      <c r="I253" t="s">
        <v>17</v>
      </c>
      <c r="J253" t="s">
        <v>42</v>
      </c>
      <c r="K253">
        <v>6</v>
      </c>
      <c r="O253">
        <v>21.99</v>
      </c>
    </row>
    <row r="254" spans="1:15" x14ac:dyDescent="0.35">
      <c r="A254" t="s">
        <v>344</v>
      </c>
      <c r="B254">
        <v>1</v>
      </c>
      <c r="C254">
        <v>27.99</v>
      </c>
      <c r="D254">
        <v>27.99</v>
      </c>
      <c r="E254" t="s">
        <v>96</v>
      </c>
      <c r="F254" t="s">
        <v>1719</v>
      </c>
      <c r="G254" t="s">
        <v>16</v>
      </c>
      <c r="H254">
        <v>3</v>
      </c>
      <c r="I254" t="s">
        <v>12</v>
      </c>
      <c r="J254" t="s">
        <v>31</v>
      </c>
      <c r="K254">
        <v>9</v>
      </c>
      <c r="O254">
        <v>21.99</v>
      </c>
    </row>
    <row r="255" spans="1:15" x14ac:dyDescent="0.35">
      <c r="A255" t="s">
        <v>345</v>
      </c>
      <c r="B255">
        <v>2</v>
      </c>
      <c r="C255">
        <v>21.99</v>
      </c>
      <c r="D255">
        <v>37.979999999999997</v>
      </c>
      <c r="E255" t="s">
        <v>35</v>
      </c>
      <c r="F255" t="s">
        <v>1720</v>
      </c>
      <c r="G255" t="s">
        <v>16</v>
      </c>
      <c r="H255">
        <v>3</v>
      </c>
      <c r="I255" t="s">
        <v>41</v>
      </c>
      <c r="J255" t="s">
        <v>13</v>
      </c>
      <c r="K255">
        <v>7</v>
      </c>
      <c r="O255">
        <v>37.979999999999997</v>
      </c>
    </row>
    <row r="256" spans="1:15" x14ac:dyDescent="0.35">
      <c r="A256" t="s">
        <v>346</v>
      </c>
      <c r="B256">
        <v>1</v>
      </c>
      <c r="C256">
        <v>16.989999999999998</v>
      </c>
      <c r="D256">
        <v>16.989999999999998</v>
      </c>
      <c r="E256" t="s">
        <v>40</v>
      </c>
      <c r="F256" t="s">
        <v>1721</v>
      </c>
      <c r="G256" t="s">
        <v>16</v>
      </c>
      <c r="H256">
        <v>17</v>
      </c>
      <c r="I256" t="s">
        <v>41</v>
      </c>
      <c r="J256" t="s">
        <v>25</v>
      </c>
      <c r="K256">
        <v>5</v>
      </c>
      <c r="O256">
        <v>21.99</v>
      </c>
    </row>
    <row r="257" spans="1:15" x14ac:dyDescent="0.35">
      <c r="A257" t="s">
        <v>347</v>
      </c>
      <c r="B257">
        <v>1</v>
      </c>
      <c r="C257">
        <v>18.989999999999998</v>
      </c>
      <c r="D257">
        <v>18.989999999999998</v>
      </c>
      <c r="E257" t="s">
        <v>290</v>
      </c>
      <c r="F257" t="s">
        <v>1722</v>
      </c>
      <c r="G257" t="s">
        <v>28</v>
      </c>
      <c r="H257">
        <v>0</v>
      </c>
      <c r="I257" t="s">
        <v>12</v>
      </c>
      <c r="J257" t="s">
        <v>42</v>
      </c>
      <c r="K257">
        <v>6</v>
      </c>
      <c r="O257">
        <v>21.99</v>
      </c>
    </row>
    <row r="258" spans="1:15" x14ac:dyDescent="0.35">
      <c r="A258" t="s">
        <v>348</v>
      </c>
      <c r="B258">
        <v>1</v>
      </c>
      <c r="C258">
        <v>18.989999999999998</v>
      </c>
      <c r="D258">
        <v>18.989999999999998</v>
      </c>
      <c r="E258" t="s">
        <v>349</v>
      </c>
      <c r="F258" t="s">
        <v>1723</v>
      </c>
      <c r="G258" t="s">
        <v>87</v>
      </c>
      <c r="H258">
        <v>0</v>
      </c>
      <c r="I258" t="s">
        <v>24</v>
      </c>
      <c r="J258" t="s">
        <v>42</v>
      </c>
      <c r="K258">
        <v>6</v>
      </c>
      <c r="O258">
        <v>21.99</v>
      </c>
    </row>
    <row r="259" spans="1:15" x14ac:dyDescent="0.35">
      <c r="A259" t="s">
        <v>350</v>
      </c>
      <c r="B259">
        <v>3</v>
      </c>
      <c r="C259">
        <v>16.989999999999998</v>
      </c>
      <c r="D259">
        <v>40.18</v>
      </c>
      <c r="E259" t="s">
        <v>15</v>
      </c>
      <c r="F259" t="s">
        <v>1724</v>
      </c>
      <c r="G259" t="s">
        <v>16</v>
      </c>
      <c r="H259">
        <v>19</v>
      </c>
      <c r="I259" t="s">
        <v>17</v>
      </c>
      <c r="J259" t="s">
        <v>25</v>
      </c>
      <c r="K259">
        <v>5</v>
      </c>
      <c r="O259">
        <v>84.73</v>
      </c>
    </row>
    <row r="260" spans="1:15" x14ac:dyDescent="0.35">
      <c r="A260" t="s">
        <v>351</v>
      </c>
      <c r="B260">
        <v>1</v>
      </c>
      <c r="C260">
        <v>16.989999999999998</v>
      </c>
      <c r="D260">
        <v>16.989999999999998</v>
      </c>
      <c r="E260" t="s">
        <v>54</v>
      </c>
      <c r="F260" t="s">
        <v>1725</v>
      </c>
      <c r="G260" t="s">
        <v>28</v>
      </c>
      <c r="H260">
        <v>0</v>
      </c>
      <c r="I260" t="s">
        <v>12</v>
      </c>
      <c r="J260" t="s">
        <v>25</v>
      </c>
      <c r="K260">
        <v>5</v>
      </c>
      <c r="O260">
        <v>21.99</v>
      </c>
    </row>
    <row r="261" spans="1:15" x14ac:dyDescent="0.35">
      <c r="A261" t="s">
        <v>352</v>
      </c>
      <c r="B261">
        <v>3</v>
      </c>
      <c r="C261">
        <v>16.989999999999998</v>
      </c>
      <c r="D261">
        <v>40.18</v>
      </c>
      <c r="E261" t="s">
        <v>33</v>
      </c>
      <c r="F261" t="s">
        <v>1726</v>
      </c>
      <c r="G261" t="s">
        <v>16</v>
      </c>
      <c r="H261">
        <v>19</v>
      </c>
      <c r="I261" t="s">
        <v>24</v>
      </c>
      <c r="J261" t="s">
        <v>25</v>
      </c>
      <c r="K261">
        <v>5</v>
      </c>
      <c r="O261">
        <v>84.73</v>
      </c>
    </row>
    <row r="262" spans="1:15" x14ac:dyDescent="0.35">
      <c r="A262" t="s">
        <v>353</v>
      </c>
      <c r="B262">
        <v>1</v>
      </c>
      <c r="C262">
        <v>34.99</v>
      </c>
      <c r="D262">
        <v>34.99</v>
      </c>
      <c r="E262" t="s">
        <v>40</v>
      </c>
      <c r="F262" t="s">
        <v>1727</v>
      </c>
      <c r="G262" t="s">
        <v>16</v>
      </c>
      <c r="H262">
        <v>9</v>
      </c>
      <c r="I262" t="s">
        <v>41</v>
      </c>
      <c r="J262" t="s">
        <v>36</v>
      </c>
      <c r="K262">
        <v>12.5</v>
      </c>
      <c r="O262">
        <v>21.99</v>
      </c>
    </row>
    <row r="263" spans="1:15" x14ac:dyDescent="0.35">
      <c r="A263" t="s">
        <v>354</v>
      </c>
      <c r="B263">
        <v>1</v>
      </c>
      <c r="C263">
        <v>27.99</v>
      </c>
      <c r="D263">
        <v>27.99</v>
      </c>
      <c r="E263" t="s">
        <v>126</v>
      </c>
      <c r="F263" t="s">
        <v>1728</v>
      </c>
      <c r="G263" t="s">
        <v>21</v>
      </c>
      <c r="H263">
        <v>0</v>
      </c>
      <c r="I263" t="s">
        <v>24</v>
      </c>
      <c r="J263" t="s">
        <v>31</v>
      </c>
      <c r="K263">
        <v>9</v>
      </c>
      <c r="O263">
        <v>21.99</v>
      </c>
    </row>
    <row r="264" spans="1:15" x14ac:dyDescent="0.35">
      <c r="A264" t="s">
        <v>355</v>
      </c>
      <c r="B264">
        <v>1</v>
      </c>
      <c r="C264">
        <v>30.99</v>
      </c>
      <c r="D264">
        <v>30.99</v>
      </c>
      <c r="E264" t="s">
        <v>122</v>
      </c>
      <c r="F264" t="s">
        <v>1717</v>
      </c>
      <c r="G264" t="s">
        <v>16</v>
      </c>
      <c r="H264">
        <v>2</v>
      </c>
      <c r="I264" t="s">
        <v>17</v>
      </c>
      <c r="J264" t="s">
        <v>18</v>
      </c>
      <c r="K264">
        <v>10.5</v>
      </c>
      <c r="O264">
        <v>21.99</v>
      </c>
    </row>
    <row r="265" spans="1:15" x14ac:dyDescent="0.35">
      <c r="A265" t="s">
        <v>356</v>
      </c>
      <c r="B265">
        <v>1</v>
      </c>
      <c r="C265">
        <v>30.99</v>
      </c>
      <c r="D265">
        <v>30.99</v>
      </c>
      <c r="E265" t="s">
        <v>164</v>
      </c>
      <c r="F265" t="s">
        <v>1718</v>
      </c>
      <c r="G265" t="s">
        <v>21</v>
      </c>
      <c r="H265">
        <v>0</v>
      </c>
      <c r="I265" t="s">
        <v>24</v>
      </c>
      <c r="J265" t="s">
        <v>18</v>
      </c>
      <c r="K265">
        <v>10.5</v>
      </c>
      <c r="O265">
        <v>21.99</v>
      </c>
    </row>
    <row r="266" spans="1:15" x14ac:dyDescent="0.35">
      <c r="A266" t="s">
        <v>357</v>
      </c>
      <c r="B266">
        <v>1</v>
      </c>
      <c r="C266">
        <v>27.99</v>
      </c>
      <c r="D266">
        <v>27.99</v>
      </c>
      <c r="E266" t="s">
        <v>358</v>
      </c>
      <c r="F266" t="s">
        <v>1719</v>
      </c>
      <c r="G266" t="s">
        <v>16</v>
      </c>
      <c r="H266">
        <v>3</v>
      </c>
      <c r="I266" t="s">
        <v>41</v>
      </c>
      <c r="J266" t="s">
        <v>31</v>
      </c>
      <c r="K266">
        <v>9</v>
      </c>
      <c r="O266">
        <v>21.99</v>
      </c>
    </row>
    <row r="267" spans="1:15" x14ac:dyDescent="0.35">
      <c r="A267" t="s">
        <v>359</v>
      </c>
      <c r="B267">
        <v>3</v>
      </c>
      <c r="C267">
        <v>34.99</v>
      </c>
      <c r="D267">
        <v>84.73</v>
      </c>
      <c r="E267" t="s">
        <v>231</v>
      </c>
      <c r="F267" t="s">
        <v>1720</v>
      </c>
      <c r="G267" t="s">
        <v>16</v>
      </c>
      <c r="H267">
        <v>6</v>
      </c>
      <c r="I267" t="s">
        <v>41</v>
      </c>
      <c r="J267" t="s">
        <v>36</v>
      </c>
      <c r="K267">
        <v>12.5</v>
      </c>
      <c r="O267">
        <v>84.73</v>
      </c>
    </row>
    <row r="268" spans="1:15" x14ac:dyDescent="0.35">
      <c r="A268" t="s">
        <v>360</v>
      </c>
      <c r="B268">
        <v>1</v>
      </c>
      <c r="C268">
        <v>18.989999999999998</v>
      </c>
      <c r="D268">
        <v>18.989999999999998</v>
      </c>
      <c r="E268" t="s">
        <v>307</v>
      </c>
      <c r="F268" t="s">
        <v>1721</v>
      </c>
      <c r="G268" t="s">
        <v>16</v>
      </c>
      <c r="H268">
        <v>13</v>
      </c>
      <c r="I268" t="s">
        <v>41</v>
      </c>
      <c r="J268" t="s">
        <v>42</v>
      </c>
      <c r="K268">
        <v>6</v>
      </c>
      <c r="O268">
        <v>21.99</v>
      </c>
    </row>
    <row r="269" spans="1:15" x14ac:dyDescent="0.35">
      <c r="A269" t="s">
        <v>361</v>
      </c>
      <c r="B269">
        <v>3</v>
      </c>
      <c r="C269">
        <v>21.99</v>
      </c>
      <c r="D269">
        <v>52.48</v>
      </c>
      <c r="E269" t="s">
        <v>214</v>
      </c>
      <c r="F269" t="s">
        <v>1722</v>
      </c>
      <c r="G269" t="s">
        <v>87</v>
      </c>
      <c r="H269">
        <v>0</v>
      </c>
      <c r="I269" t="s">
        <v>17</v>
      </c>
      <c r="J269" t="s">
        <v>13</v>
      </c>
      <c r="K269">
        <v>7</v>
      </c>
      <c r="O269">
        <v>84.73</v>
      </c>
    </row>
    <row r="270" spans="1:15" x14ac:dyDescent="0.35">
      <c r="A270" t="s">
        <v>362</v>
      </c>
      <c r="B270">
        <v>1</v>
      </c>
      <c r="C270">
        <v>18.989999999999998</v>
      </c>
      <c r="D270">
        <v>18.989999999999998</v>
      </c>
      <c r="E270" t="s">
        <v>76</v>
      </c>
      <c r="F270" t="s">
        <v>1723</v>
      </c>
      <c r="G270" t="s">
        <v>16</v>
      </c>
      <c r="H270">
        <v>13</v>
      </c>
      <c r="I270" t="s">
        <v>17</v>
      </c>
      <c r="J270" t="s">
        <v>42</v>
      </c>
      <c r="K270">
        <v>6</v>
      </c>
      <c r="O270">
        <v>21.99</v>
      </c>
    </row>
    <row r="271" spans="1:15" x14ac:dyDescent="0.35">
      <c r="A271" t="s">
        <v>363</v>
      </c>
      <c r="B271">
        <v>2</v>
      </c>
      <c r="C271">
        <v>18.989999999999998</v>
      </c>
      <c r="D271">
        <v>32.78</v>
      </c>
      <c r="E271" t="s">
        <v>89</v>
      </c>
      <c r="F271" t="s">
        <v>1724</v>
      </c>
      <c r="G271" t="s">
        <v>16</v>
      </c>
      <c r="H271">
        <v>13</v>
      </c>
      <c r="I271" t="s">
        <v>17</v>
      </c>
      <c r="J271" t="s">
        <v>42</v>
      </c>
      <c r="K271">
        <v>6</v>
      </c>
      <c r="O271">
        <v>37.979999999999997</v>
      </c>
    </row>
    <row r="272" spans="1:15" x14ac:dyDescent="0.35">
      <c r="A272" t="s">
        <v>364</v>
      </c>
      <c r="B272">
        <v>2</v>
      </c>
      <c r="C272">
        <v>27.99</v>
      </c>
      <c r="D272">
        <v>48.38</v>
      </c>
      <c r="E272" t="s">
        <v>33</v>
      </c>
      <c r="F272" t="s">
        <v>1725</v>
      </c>
      <c r="G272" t="s">
        <v>21</v>
      </c>
      <c r="H272">
        <v>0</v>
      </c>
      <c r="I272" t="s">
        <v>24</v>
      </c>
      <c r="J272" t="s">
        <v>31</v>
      </c>
      <c r="K272">
        <v>9</v>
      </c>
      <c r="O272">
        <v>37.979999999999997</v>
      </c>
    </row>
    <row r="273" spans="1:15" x14ac:dyDescent="0.35">
      <c r="A273" t="s">
        <v>365</v>
      </c>
      <c r="B273">
        <v>2</v>
      </c>
      <c r="C273">
        <v>21.99</v>
      </c>
      <c r="D273">
        <v>37.979999999999997</v>
      </c>
      <c r="E273" t="s">
        <v>195</v>
      </c>
      <c r="F273" t="s">
        <v>1726</v>
      </c>
      <c r="G273" t="s">
        <v>16</v>
      </c>
      <c r="H273">
        <v>3</v>
      </c>
      <c r="I273" t="s">
        <v>41</v>
      </c>
      <c r="J273" t="s">
        <v>13</v>
      </c>
      <c r="K273">
        <v>7</v>
      </c>
      <c r="O273">
        <v>37.979999999999997</v>
      </c>
    </row>
    <row r="274" spans="1:15" x14ac:dyDescent="0.35">
      <c r="A274" t="s">
        <v>366</v>
      </c>
      <c r="B274">
        <v>1</v>
      </c>
      <c r="C274">
        <v>34.99</v>
      </c>
      <c r="D274">
        <v>34.99</v>
      </c>
      <c r="E274" t="s">
        <v>86</v>
      </c>
      <c r="F274" t="s">
        <v>1727</v>
      </c>
      <c r="G274" t="s">
        <v>16</v>
      </c>
      <c r="H274">
        <v>6</v>
      </c>
      <c r="I274" t="s">
        <v>24</v>
      </c>
      <c r="J274" t="s">
        <v>36</v>
      </c>
      <c r="K274">
        <v>12.5</v>
      </c>
      <c r="O274">
        <v>21.99</v>
      </c>
    </row>
    <row r="275" spans="1:15" x14ac:dyDescent="0.35">
      <c r="A275" t="s">
        <v>367</v>
      </c>
      <c r="B275">
        <v>2</v>
      </c>
      <c r="C275">
        <v>34.99</v>
      </c>
      <c r="D275">
        <v>60.98</v>
      </c>
      <c r="E275" t="s">
        <v>236</v>
      </c>
      <c r="F275" t="s">
        <v>1728</v>
      </c>
      <c r="G275" t="s">
        <v>16</v>
      </c>
      <c r="H275">
        <v>8</v>
      </c>
      <c r="I275" t="s">
        <v>17</v>
      </c>
      <c r="J275" t="s">
        <v>36</v>
      </c>
      <c r="K275">
        <v>12.5</v>
      </c>
      <c r="O275">
        <v>37.979999999999997</v>
      </c>
    </row>
    <row r="276" spans="1:15" x14ac:dyDescent="0.35">
      <c r="A276" t="s">
        <v>368</v>
      </c>
      <c r="B276">
        <v>1</v>
      </c>
      <c r="C276">
        <v>18.989999999999998</v>
      </c>
      <c r="D276">
        <v>18.989999999999998</v>
      </c>
      <c r="E276" t="s">
        <v>48</v>
      </c>
      <c r="F276" t="s">
        <v>1717</v>
      </c>
      <c r="G276" t="s">
        <v>21</v>
      </c>
      <c r="H276">
        <v>0</v>
      </c>
      <c r="I276" t="s">
        <v>41</v>
      </c>
      <c r="J276" t="s">
        <v>42</v>
      </c>
      <c r="K276">
        <v>6</v>
      </c>
      <c r="O276">
        <v>21.99</v>
      </c>
    </row>
    <row r="277" spans="1:15" x14ac:dyDescent="0.35">
      <c r="A277" t="s">
        <v>369</v>
      </c>
      <c r="B277">
        <v>1</v>
      </c>
      <c r="C277">
        <v>34.99</v>
      </c>
      <c r="D277">
        <v>34.99</v>
      </c>
      <c r="E277" s="6">
        <v>46199</v>
      </c>
      <c r="F277" t="s">
        <v>1718</v>
      </c>
      <c r="G277" t="s">
        <v>16</v>
      </c>
      <c r="H277">
        <v>5</v>
      </c>
      <c r="I277" t="s">
        <v>12</v>
      </c>
      <c r="J277" t="s">
        <v>36</v>
      </c>
      <c r="K277">
        <v>12.5</v>
      </c>
      <c r="O277">
        <v>21.99</v>
      </c>
    </row>
    <row r="278" spans="1:15" x14ac:dyDescent="0.35">
      <c r="A278" t="s">
        <v>370</v>
      </c>
      <c r="B278">
        <v>1</v>
      </c>
      <c r="C278">
        <v>30.99</v>
      </c>
      <c r="D278">
        <v>30.99</v>
      </c>
      <c r="E278" t="s">
        <v>371</v>
      </c>
      <c r="F278" t="s">
        <v>1719</v>
      </c>
      <c r="G278" t="s">
        <v>87</v>
      </c>
      <c r="H278">
        <v>0</v>
      </c>
      <c r="I278" t="s">
        <v>17</v>
      </c>
      <c r="J278" t="s">
        <v>18</v>
      </c>
      <c r="K278">
        <v>10.5</v>
      </c>
      <c r="O278">
        <v>21.99</v>
      </c>
    </row>
    <row r="279" spans="1:15" x14ac:dyDescent="0.35">
      <c r="A279" t="s">
        <v>370</v>
      </c>
      <c r="B279">
        <v>1</v>
      </c>
      <c r="C279">
        <v>30.99</v>
      </c>
      <c r="D279">
        <v>30.99</v>
      </c>
      <c r="E279" t="s">
        <v>371</v>
      </c>
      <c r="F279" t="s">
        <v>1720</v>
      </c>
      <c r="G279" t="s">
        <v>87</v>
      </c>
      <c r="H279">
        <v>0</v>
      </c>
      <c r="I279" t="s">
        <v>17</v>
      </c>
      <c r="J279" t="s">
        <v>18</v>
      </c>
      <c r="K279">
        <v>10.5</v>
      </c>
      <c r="O279">
        <v>21.99</v>
      </c>
    </row>
    <row r="280" spans="1:15" x14ac:dyDescent="0.35">
      <c r="A280" t="s">
        <v>372</v>
      </c>
      <c r="B280">
        <v>1</v>
      </c>
      <c r="C280">
        <v>34.99</v>
      </c>
      <c r="D280">
        <v>34.99</v>
      </c>
      <c r="E280" t="s">
        <v>126</v>
      </c>
      <c r="F280" t="s">
        <v>1721</v>
      </c>
      <c r="G280" t="s">
        <v>16</v>
      </c>
      <c r="H280">
        <v>7</v>
      </c>
      <c r="I280" t="s">
        <v>12</v>
      </c>
      <c r="J280" t="s">
        <v>36</v>
      </c>
      <c r="K280">
        <v>12.5</v>
      </c>
      <c r="O280">
        <v>21.99</v>
      </c>
    </row>
    <row r="281" spans="1:15" x14ac:dyDescent="0.35">
      <c r="A281" t="s">
        <v>373</v>
      </c>
      <c r="B281">
        <v>3</v>
      </c>
      <c r="C281">
        <v>34.99</v>
      </c>
      <c r="D281">
        <v>84.73</v>
      </c>
      <c r="E281" s="6">
        <v>46232</v>
      </c>
      <c r="F281" t="s">
        <v>1722</v>
      </c>
      <c r="G281" t="s">
        <v>28</v>
      </c>
      <c r="H281">
        <v>0</v>
      </c>
      <c r="I281" t="s">
        <v>12</v>
      </c>
      <c r="J281" t="s">
        <v>36</v>
      </c>
      <c r="K281">
        <v>12.5</v>
      </c>
      <c r="O281">
        <v>84.73</v>
      </c>
    </row>
    <row r="282" spans="1:15" x14ac:dyDescent="0.35">
      <c r="A282" t="s">
        <v>374</v>
      </c>
      <c r="B282">
        <v>1</v>
      </c>
      <c r="C282">
        <v>30.99</v>
      </c>
      <c r="D282">
        <v>30.99</v>
      </c>
      <c r="E282" t="s">
        <v>92</v>
      </c>
      <c r="F282" t="s">
        <v>1723</v>
      </c>
      <c r="G282" t="s">
        <v>16</v>
      </c>
      <c r="H282">
        <v>3</v>
      </c>
      <c r="I282" t="s">
        <v>41</v>
      </c>
      <c r="J282" t="s">
        <v>18</v>
      </c>
      <c r="K282">
        <v>10.5</v>
      </c>
      <c r="O282">
        <v>21.99</v>
      </c>
    </row>
    <row r="283" spans="1:15" x14ac:dyDescent="0.35">
      <c r="A283" t="s">
        <v>375</v>
      </c>
      <c r="B283">
        <v>3</v>
      </c>
      <c r="C283">
        <v>34.99</v>
      </c>
      <c r="D283">
        <v>84.73</v>
      </c>
      <c r="E283" t="s">
        <v>195</v>
      </c>
      <c r="F283" t="s">
        <v>1724</v>
      </c>
      <c r="G283" t="s">
        <v>87</v>
      </c>
      <c r="H283">
        <v>0</v>
      </c>
      <c r="I283" t="s">
        <v>41</v>
      </c>
      <c r="J283" t="s">
        <v>36</v>
      </c>
      <c r="K283">
        <v>12.5</v>
      </c>
      <c r="O283">
        <v>84.73</v>
      </c>
    </row>
    <row r="284" spans="1:15" x14ac:dyDescent="0.35">
      <c r="A284" t="s">
        <v>376</v>
      </c>
      <c r="B284">
        <v>1</v>
      </c>
      <c r="C284">
        <v>30.99</v>
      </c>
      <c r="D284">
        <v>30.99</v>
      </c>
      <c r="E284" t="s">
        <v>233</v>
      </c>
      <c r="F284" t="s">
        <v>1725</v>
      </c>
      <c r="G284" t="s">
        <v>16</v>
      </c>
      <c r="H284">
        <v>3</v>
      </c>
      <c r="I284" t="s">
        <v>41</v>
      </c>
      <c r="J284" t="s">
        <v>18</v>
      </c>
      <c r="K284">
        <v>10.5</v>
      </c>
      <c r="O284">
        <v>21.99</v>
      </c>
    </row>
    <row r="285" spans="1:15" x14ac:dyDescent="0.35">
      <c r="A285" t="s">
        <v>377</v>
      </c>
      <c r="B285">
        <v>2</v>
      </c>
      <c r="C285">
        <v>16.989999999999998</v>
      </c>
      <c r="D285">
        <v>29.18</v>
      </c>
      <c r="E285" t="s">
        <v>99</v>
      </c>
      <c r="F285" t="s">
        <v>1726</v>
      </c>
      <c r="G285" t="s">
        <v>21</v>
      </c>
      <c r="H285">
        <v>0</v>
      </c>
      <c r="I285" t="s">
        <v>17</v>
      </c>
      <c r="J285" t="s">
        <v>25</v>
      </c>
      <c r="K285">
        <v>5</v>
      </c>
      <c r="O285">
        <v>37.979999999999997</v>
      </c>
    </row>
    <row r="286" spans="1:15" x14ac:dyDescent="0.35">
      <c r="A286" t="s">
        <v>378</v>
      </c>
      <c r="B286">
        <v>1</v>
      </c>
      <c r="C286">
        <v>18.989999999999998</v>
      </c>
      <c r="D286">
        <v>18.989999999999998</v>
      </c>
      <c r="E286" t="s">
        <v>76</v>
      </c>
      <c r="F286" t="s">
        <v>1727</v>
      </c>
      <c r="G286" t="s">
        <v>16</v>
      </c>
      <c r="H286">
        <v>11</v>
      </c>
      <c r="I286" t="s">
        <v>24</v>
      </c>
      <c r="J286" t="s">
        <v>42</v>
      </c>
      <c r="K286">
        <v>6</v>
      </c>
      <c r="O286">
        <v>21.99</v>
      </c>
    </row>
    <row r="287" spans="1:15" x14ac:dyDescent="0.35">
      <c r="A287" t="s">
        <v>379</v>
      </c>
      <c r="B287">
        <v>1</v>
      </c>
      <c r="C287">
        <v>16.989999999999998</v>
      </c>
      <c r="D287">
        <v>16.989999999999998</v>
      </c>
      <c r="E287" t="s">
        <v>236</v>
      </c>
      <c r="F287" t="s">
        <v>1728</v>
      </c>
      <c r="G287" t="s">
        <v>21</v>
      </c>
      <c r="H287">
        <v>0</v>
      </c>
      <c r="I287" t="s">
        <v>17</v>
      </c>
      <c r="J287" t="s">
        <v>25</v>
      </c>
      <c r="K287">
        <v>5</v>
      </c>
      <c r="O287">
        <v>21.99</v>
      </c>
    </row>
    <row r="288" spans="1:15" x14ac:dyDescent="0.35">
      <c r="A288" t="s">
        <v>380</v>
      </c>
      <c r="B288">
        <v>2</v>
      </c>
      <c r="C288">
        <v>27.99</v>
      </c>
      <c r="D288">
        <v>48.38</v>
      </c>
      <c r="E288" t="s">
        <v>10</v>
      </c>
      <c r="F288" t="s">
        <v>1717</v>
      </c>
      <c r="G288" t="s">
        <v>28</v>
      </c>
      <c r="H288">
        <v>0</v>
      </c>
      <c r="I288" t="s">
        <v>41</v>
      </c>
      <c r="J288" t="s">
        <v>31</v>
      </c>
      <c r="K288">
        <v>9</v>
      </c>
      <c r="O288">
        <v>37.979999999999997</v>
      </c>
    </row>
    <row r="289" spans="1:15" x14ac:dyDescent="0.35">
      <c r="A289" t="s">
        <v>381</v>
      </c>
      <c r="B289">
        <v>2</v>
      </c>
      <c r="C289">
        <v>30.99</v>
      </c>
      <c r="D289">
        <v>53.78</v>
      </c>
      <c r="E289" t="s">
        <v>382</v>
      </c>
      <c r="F289" t="s">
        <v>1718</v>
      </c>
      <c r="G289" t="s">
        <v>21</v>
      </c>
      <c r="H289">
        <v>0</v>
      </c>
      <c r="I289" t="s">
        <v>24</v>
      </c>
      <c r="J289" t="s">
        <v>18</v>
      </c>
      <c r="K289">
        <v>10.5</v>
      </c>
      <c r="O289">
        <v>37.979999999999997</v>
      </c>
    </row>
    <row r="290" spans="1:15" x14ac:dyDescent="0.35">
      <c r="A290" t="s">
        <v>383</v>
      </c>
      <c r="B290">
        <v>1</v>
      </c>
      <c r="C290">
        <v>18.989999999999998</v>
      </c>
      <c r="D290">
        <v>18.989999999999998</v>
      </c>
      <c r="E290" t="s">
        <v>199</v>
      </c>
      <c r="F290" t="s">
        <v>1719</v>
      </c>
      <c r="G290" t="s">
        <v>16</v>
      </c>
      <c r="H290">
        <v>15</v>
      </c>
      <c r="I290" t="s">
        <v>24</v>
      </c>
      <c r="J290" t="s">
        <v>42</v>
      </c>
      <c r="K290">
        <v>6</v>
      </c>
      <c r="O290">
        <v>21.99</v>
      </c>
    </row>
    <row r="291" spans="1:15" x14ac:dyDescent="0.35">
      <c r="A291" t="s">
        <v>384</v>
      </c>
      <c r="B291">
        <v>1</v>
      </c>
      <c r="C291">
        <v>30.99</v>
      </c>
      <c r="D291">
        <v>30.99</v>
      </c>
      <c r="E291" t="s">
        <v>106</v>
      </c>
      <c r="F291" t="s">
        <v>1720</v>
      </c>
      <c r="G291" t="s">
        <v>16</v>
      </c>
      <c r="H291">
        <v>2</v>
      </c>
      <c r="I291" t="s">
        <v>41</v>
      </c>
      <c r="J291" t="s">
        <v>18</v>
      </c>
      <c r="K291">
        <v>10.5</v>
      </c>
      <c r="O291">
        <v>21.99</v>
      </c>
    </row>
    <row r="292" spans="1:15" x14ac:dyDescent="0.35">
      <c r="A292" t="s">
        <v>385</v>
      </c>
      <c r="B292">
        <v>1</v>
      </c>
      <c r="C292">
        <v>30.99</v>
      </c>
      <c r="D292">
        <v>30.99</v>
      </c>
      <c r="E292" t="s">
        <v>108</v>
      </c>
      <c r="F292" t="s">
        <v>1721</v>
      </c>
      <c r="G292" t="s">
        <v>16</v>
      </c>
      <c r="H292">
        <v>3</v>
      </c>
      <c r="I292" t="s">
        <v>12</v>
      </c>
      <c r="J292" t="s">
        <v>18</v>
      </c>
      <c r="K292">
        <v>10.5</v>
      </c>
      <c r="O292">
        <v>21.99</v>
      </c>
    </row>
    <row r="293" spans="1:15" x14ac:dyDescent="0.35">
      <c r="A293" t="s">
        <v>386</v>
      </c>
      <c r="B293">
        <v>1</v>
      </c>
      <c r="C293">
        <v>21.99</v>
      </c>
      <c r="D293">
        <v>21.99</v>
      </c>
      <c r="E293" t="s">
        <v>191</v>
      </c>
      <c r="F293" t="s">
        <v>1722</v>
      </c>
      <c r="G293" t="s">
        <v>16</v>
      </c>
      <c r="H293">
        <v>3</v>
      </c>
      <c r="I293" t="s">
        <v>24</v>
      </c>
      <c r="J293" t="s">
        <v>13</v>
      </c>
      <c r="K293">
        <v>7</v>
      </c>
      <c r="O293">
        <v>21.99</v>
      </c>
    </row>
    <row r="294" spans="1:15" x14ac:dyDescent="0.35">
      <c r="A294" t="s">
        <v>387</v>
      </c>
      <c r="B294">
        <v>3</v>
      </c>
      <c r="C294">
        <v>34.99</v>
      </c>
      <c r="D294">
        <v>84.73</v>
      </c>
      <c r="E294" t="s">
        <v>38</v>
      </c>
      <c r="F294" t="s">
        <v>1723</v>
      </c>
      <c r="G294" t="s">
        <v>11</v>
      </c>
      <c r="H294">
        <v>7</v>
      </c>
      <c r="I294" t="s">
        <v>24</v>
      </c>
      <c r="J294" t="s">
        <v>36</v>
      </c>
      <c r="K294">
        <v>12.5</v>
      </c>
      <c r="O294">
        <v>84.73</v>
      </c>
    </row>
    <row r="295" spans="1:15" x14ac:dyDescent="0.35">
      <c r="A295" t="s">
        <v>388</v>
      </c>
      <c r="B295">
        <v>3</v>
      </c>
      <c r="C295">
        <v>34.99</v>
      </c>
      <c r="D295">
        <v>84.73</v>
      </c>
      <c r="E295" t="s">
        <v>389</v>
      </c>
      <c r="F295" t="s">
        <v>1724</v>
      </c>
      <c r="G295" t="s">
        <v>21</v>
      </c>
      <c r="H295">
        <v>0</v>
      </c>
      <c r="I295" t="s">
        <v>41</v>
      </c>
      <c r="J295" t="s">
        <v>36</v>
      </c>
      <c r="K295">
        <v>12.5</v>
      </c>
      <c r="O295">
        <v>84.73</v>
      </c>
    </row>
    <row r="296" spans="1:15" x14ac:dyDescent="0.35">
      <c r="A296" t="s">
        <v>390</v>
      </c>
      <c r="B296">
        <v>1</v>
      </c>
      <c r="C296">
        <v>34.99</v>
      </c>
      <c r="D296">
        <v>34.99</v>
      </c>
      <c r="E296" t="s">
        <v>89</v>
      </c>
      <c r="F296" t="s">
        <v>1725</v>
      </c>
      <c r="G296" t="s">
        <v>21</v>
      </c>
      <c r="H296">
        <v>0</v>
      </c>
      <c r="I296" t="s">
        <v>12</v>
      </c>
      <c r="J296" t="s">
        <v>36</v>
      </c>
      <c r="K296">
        <v>12.5</v>
      </c>
      <c r="O296">
        <v>21.99</v>
      </c>
    </row>
    <row r="297" spans="1:15" x14ac:dyDescent="0.35">
      <c r="A297" t="s">
        <v>391</v>
      </c>
      <c r="B297">
        <v>1</v>
      </c>
      <c r="C297">
        <v>18.989999999999998</v>
      </c>
      <c r="D297">
        <v>18.989999999999998</v>
      </c>
      <c r="E297" t="s">
        <v>158</v>
      </c>
      <c r="F297" t="s">
        <v>1726</v>
      </c>
      <c r="G297" t="s">
        <v>16</v>
      </c>
      <c r="H297">
        <v>12</v>
      </c>
      <c r="I297" t="s">
        <v>17</v>
      </c>
      <c r="J297" t="s">
        <v>42</v>
      </c>
      <c r="K297">
        <v>6</v>
      </c>
      <c r="O297">
        <v>21.99</v>
      </c>
    </row>
    <row r="298" spans="1:15" x14ac:dyDescent="0.35">
      <c r="A298" t="s">
        <v>392</v>
      </c>
      <c r="B298">
        <v>1</v>
      </c>
      <c r="C298">
        <v>21.99</v>
      </c>
      <c r="D298">
        <v>21.99</v>
      </c>
      <c r="E298" t="s">
        <v>195</v>
      </c>
      <c r="F298" t="s">
        <v>1727</v>
      </c>
      <c r="G298" t="s">
        <v>21</v>
      </c>
      <c r="H298">
        <v>0</v>
      </c>
      <c r="I298" t="s">
        <v>41</v>
      </c>
      <c r="J298" t="s">
        <v>13</v>
      </c>
      <c r="K298">
        <v>7</v>
      </c>
      <c r="O298">
        <v>21.99</v>
      </c>
    </row>
    <row r="299" spans="1:15" x14ac:dyDescent="0.35">
      <c r="A299" t="s">
        <v>392</v>
      </c>
      <c r="B299">
        <v>1</v>
      </c>
      <c r="C299">
        <v>21.99</v>
      </c>
      <c r="D299">
        <v>21.99</v>
      </c>
      <c r="E299" t="s">
        <v>195</v>
      </c>
      <c r="F299" t="s">
        <v>1728</v>
      </c>
      <c r="G299" t="s">
        <v>21</v>
      </c>
      <c r="H299">
        <v>0</v>
      </c>
      <c r="I299" t="s">
        <v>41</v>
      </c>
      <c r="J299" t="s">
        <v>13</v>
      </c>
      <c r="K299">
        <v>7</v>
      </c>
      <c r="O299">
        <v>21.99</v>
      </c>
    </row>
    <row r="300" spans="1:15" x14ac:dyDescent="0.35">
      <c r="A300" t="s">
        <v>393</v>
      </c>
      <c r="B300">
        <v>2</v>
      </c>
      <c r="C300">
        <v>34.99</v>
      </c>
      <c r="D300">
        <v>60.98</v>
      </c>
      <c r="E300" t="s">
        <v>132</v>
      </c>
      <c r="F300" t="s">
        <v>1717</v>
      </c>
      <c r="G300" t="s">
        <v>21</v>
      </c>
      <c r="H300">
        <v>0</v>
      </c>
      <c r="I300" t="s">
        <v>41</v>
      </c>
      <c r="J300" t="s">
        <v>36</v>
      </c>
      <c r="K300">
        <v>12.5</v>
      </c>
      <c r="O300">
        <v>37.979999999999997</v>
      </c>
    </row>
    <row r="301" spans="1:15" x14ac:dyDescent="0.35">
      <c r="A301" t="s">
        <v>394</v>
      </c>
      <c r="B301">
        <v>1</v>
      </c>
      <c r="C301">
        <v>30.99</v>
      </c>
      <c r="D301">
        <v>30.99</v>
      </c>
      <c r="E301" t="s">
        <v>160</v>
      </c>
      <c r="F301" t="s">
        <v>1718</v>
      </c>
      <c r="G301" t="s">
        <v>16</v>
      </c>
      <c r="H301">
        <v>5</v>
      </c>
      <c r="I301" t="s">
        <v>12</v>
      </c>
      <c r="J301" t="s">
        <v>18</v>
      </c>
      <c r="K301">
        <v>10.5</v>
      </c>
      <c r="O301">
        <v>21.99</v>
      </c>
    </row>
    <row r="302" spans="1:15" x14ac:dyDescent="0.35">
      <c r="A302" t="s">
        <v>395</v>
      </c>
      <c r="B302">
        <v>2</v>
      </c>
      <c r="C302">
        <v>21.99</v>
      </c>
      <c r="D302">
        <v>37.979999999999997</v>
      </c>
      <c r="E302" t="s">
        <v>358</v>
      </c>
      <c r="F302" t="s">
        <v>1719</v>
      </c>
      <c r="G302" t="s">
        <v>16</v>
      </c>
      <c r="H302">
        <v>2</v>
      </c>
      <c r="I302" t="s">
        <v>17</v>
      </c>
      <c r="J302" t="s">
        <v>13</v>
      </c>
      <c r="K302">
        <v>7</v>
      </c>
      <c r="O302">
        <v>37.979999999999997</v>
      </c>
    </row>
    <row r="303" spans="1:15" x14ac:dyDescent="0.35">
      <c r="A303" t="s">
        <v>396</v>
      </c>
      <c r="B303">
        <v>1</v>
      </c>
      <c r="C303">
        <v>34.99</v>
      </c>
      <c r="D303">
        <v>34.99</v>
      </c>
      <c r="E303" t="s">
        <v>397</v>
      </c>
      <c r="F303" t="s">
        <v>1720</v>
      </c>
      <c r="G303" t="s">
        <v>16</v>
      </c>
      <c r="H303">
        <v>7</v>
      </c>
      <c r="I303" t="s">
        <v>41</v>
      </c>
      <c r="J303" t="s">
        <v>36</v>
      </c>
      <c r="K303">
        <v>12.5</v>
      </c>
      <c r="O303">
        <v>21.99</v>
      </c>
    </row>
    <row r="304" spans="1:15" x14ac:dyDescent="0.35">
      <c r="A304" t="s">
        <v>398</v>
      </c>
      <c r="B304">
        <v>1</v>
      </c>
      <c r="C304">
        <v>18.989999999999998</v>
      </c>
      <c r="D304">
        <v>18.989999999999998</v>
      </c>
      <c r="E304" t="s">
        <v>169</v>
      </c>
      <c r="F304" t="s">
        <v>1721</v>
      </c>
      <c r="G304" t="s">
        <v>16</v>
      </c>
      <c r="H304">
        <v>15</v>
      </c>
      <c r="I304" t="s">
        <v>17</v>
      </c>
      <c r="J304" t="s">
        <v>42</v>
      </c>
      <c r="K304">
        <v>6</v>
      </c>
      <c r="O304">
        <v>21.99</v>
      </c>
    </row>
    <row r="305" spans="1:15" x14ac:dyDescent="0.35">
      <c r="A305" t="s">
        <v>399</v>
      </c>
      <c r="B305">
        <v>1</v>
      </c>
      <c r="C305">
        <v>16.989999999999998</v>
      </c>
      <c r="D305">
        <v>16.989999999999998</v>
      </c>
      <c r="E305" t="s">
        <v>82</v>
      </c>
      <c r="F305" t="s">
        <v>1722</v>
      </c>
      <c r="G305" t="s">
        <v>28</v>
      </c>
      <c r="H305">
        <v>0</v>
      </c>
      <c r="I305" t="s">
        <v>24</v>
      </c>
      <c r="J305" t="s">
        <v>25</v>
      </c>
      <c r="K305">
        <v>5</v>
      </c>
      <c r="O305">
        <v>21.99</v>
      </c>
    </row>
    <row r="306" spans="1:15" x14ac:dyDescent="0.35">
      <c r="A306" t="s">
        <v>400</v>
      </c>
      <c r="B306">
        <v>3</v>
      </c>
      <c r="C306">
        <v>34.99</v>
      </c>
      <c r="D306">
        <v>84.73</v>
      </c>
      <c r="E306" t="s">
        <v>33</v>
      </c>
      <c r="F306" t="s">
        <v>1723</v>
      </c>
      <c r="G306" t="s">
        <v>11</v>
      </c>
      <c r="H306">
        <v>5</v>
      </c>
      <c r="I306" t="s">
        <v>17</v>
      </c>
      <c r="J306" t="s">
        <v>36</v>
      </c>
      <c r="K306">
        <v>12.5</v>
      </c>
      <c r="O306">
        <v>84.73</v>
      </c>
    </row>
    <row r="307" spans="1:15" x14ac:dyDescent="0.35">
      <c r="A307" t="s">
        <v>401</v>
      </c>
      <c r="B307">
        <v>1</v>
      </c>
      <c r="C307">
        <v>18.989999999999998</v>
      </c>
      <c r="D307">
        <v>18.989999999999998</v>
      </c>
      <c r="E307" t="s">
        <v>110</v>
      </c>
      <c r="F307" t="s">
        <v>1724</v>
      </c>
      <c r="G307" t="s">
        <v>16</v>
      </c>
      <c r="H307">
        <v>10</v>
      </c>
      <c r="I307" t="s">
        <v>24</v>
      </c>
      <c r="J307" t="s">
        <v>42</v>
      </c>
      <c r="K307">
        <v>6</v>
      </c>
      <c r="O307">
        <v>21.99</v>
      </c>
    </row>
    <row r="308" spans="1:15" x14ac:dyDescent="0.35">
      <c r="A308" t="s">
        <v>402</v>
      </c>
      <c r="B308">
        <v>1</v>
      </c>
      <c r="C308">
        <v>30.99</v>
      </c>
      <c r="D308">
        <v>30.99</v>
      </c>
      <c r="E308" t="s">
        <v>30</v>
      </c>
      <c r="F308" t="s">
        <v>1725</v>
      </c>
      <c r="G308" t="s">
        <v>16</v>
      </c>
      <c r="H308">
        <v>2</v>
      </c>
      <c r="I308" t="s">
        <v>12</v>
      </c>
      <c r="J308" t="s">
        <v>18</v>
      </c>
      <c r="K308">
        <v>10.5</v>
      </c>
      <c r="O308">
        <v>21.99</v>
      </c>
    </row>
    <row r="309" spans="1:15" x14ac:dyDescent="0.35">
      <c r="A309" t="s">
        <v>403</v>
      </c>
      <c r="B309">
        <v>1</v>
      </c>
      <c r="C309">
        <v>16.989999999999998</v>
      </c>
      <c r="D309">
        <v>16.989999999999998</v>
      </c>
      <c r="E309" t="s">
        <v>264</v>
      </c>
      <c r="F309" t="s">
        <v>1726</v>
      </c>
      <c r="G309" t="s">
        <v>16</v>
      </c>
      <c r="H309">
        <v>19</v>
      </c>
      <c r="I309" t="s">
        <v>12</v>
      </c>
      <c r="J309" t="s">
        <v>25</v>
      </c>
      <c r="K309">
        <v>5</v>
      </c>
      <c r="O309">
        <v>21.99</v>
      </c>
    </row>
    <row r="310" spans="1:15" x14ac:dyDescent="0.35">
      <c r="A310" t="s">
        <v>404</v>
      </c>
      <c r="B310">
        <v>1</v>
      </c>
      <c r="C310">
        <v>18.989999999999998</v>
      </c>
      <c r="D310">
        <v>18.989999999999998</v>
      </c>
      <c r="E310" t="s">
        <v>169</v>
      </c>
      <c r="F310" t="s">
        <v>1727</v>
      </c>
      <c r="G310" t="s">
        <v>87</v>
      </c>
      <c r="H310">
        <v>0</v>
      </c>
      <c r="I310" t="s">
        <v>17</v>
      </c>
      <c r="J310" t="s">
        <v>42</v>
      </c>
      <c r="K310">
        <v>6</v>
      </c>
      <c r="O310">
        <v>21.99</v>
      </c>
    </row>
    <row r="311" spans="1:15" x14ac:dyDescent="0.35">
      <c r="A311" t="s">
        <v>405</v>
      </c>
      <c r="B311">
        <v>3</v>
      </c>
      <c r="C311">
        <v>34.99</v>
      </c>
      <c r="D311">
        <v>84.73</v>
      </c>
      <c r="E311" t="s">
        <v>264</v>
      </c>
      <c r="F311" t="s">
        <v>1728</v>
      </c>
      <c r="G311" t="s">
        <v>16</v>
      </c>
      <c r="H311">
        <v>7</v>
      </c>
      <c r="I311" t="s">
        <v>12</v>
      </c>
      <c r="J311" t="s">
        <v>36</v>
      </c>
      <c r="K311">
        <v>12.5</v>
      </c>
      <c r="O311">
        <v>84.73</v>
      </c>
    </row>
    <row r="312" spans="1:15" x14ac:dyDescent="0.35">
      <c r="A312" t="s">
        <v>406</v>
      </c>
      <c r="B312">
        <v>1</v>
      </c>
      <c r="C312">
        <v>27.99</v>
      </c>
      <c r="D312">
        <v>27.99</v>
      </c>
      <c r="E312" t="s">
        <v>94</v>
      </c>
      <c r="F312" t="s">
        <v>1717</v>
      </c>
      <c r="G312" t="s">
        <v>16</v>
      </c>
      <c r="H312">
        <v>2</v>
      </c>
      <c r="I312" t="s">
        <v>41</v>
      </c>
      <c r="J312" t="s">
        <v>31</v>
      </c>
      <c r="K312">
        <v>9</v>
      </c>
      <c r="O312">
        <v>21.99</v>
      </c>
    </row>
    <row r="313" spans="1:15" x14ac:dyDescent="0.35">
      <c r="A313" t="s">
        <v>407</v>
      </c>
      <c r="B313">
        <v>1</v>
      </c>
      <c r="C313">
        <v>30.99</v>
      </c>
      <c r="D313">
        <v>30.99</v>
      </c>
      <c r="E313" t="s">
        <v>38</v>
      </c>
      <c r="F313" t="s">
        <v>1718</v>
      </c>
      <c r="G313" t="s">
        <v>16</v>
      </c>
      <c r="H313">
        <v>2</v>
      </c>
      <c r="I313" t="s">
        <v>17</v>
      </c>
      <c r="J313" t="s">
        <v>18</v>
      </c>
      <c r="K313">
        <v>10.5</v>
      </c>
      <c r="O313">
        <v>21.99</v>
      </c>
    </row>
    <row r="314" spans="1:15" x14ac:dyDescent="0.35">
      <c r="A314" t="s">
        <v>408</v>
      </c>
      <c r="B314">
        <v>1</v>
      </c>
      <c r="C314">
        <v>21.99</v>
      </c>
      <c r="D314">
        <v>21.99</v>
      </c>
      <c r="E314" t="s">
        <v>122</v>
      </c>
      <c r="F314" t="s">
        <v>1719</v>
      </c>
      <c r="G314" t="s">
        <v>16</v>
      </c>
      <c r="H314">
        <v>3</v>
      </c>
      <c r="I314" t="s">
        <v>12</v>
      </c>
      <c r="J314" t="s">
        <v>13</v>
      </c>
      <c r="K314">
        <v>7</v>
      </c>
      <c r="O314">
        <v>21.99</v>
      </c>
    </row>
    <row r="315" spans="1:15" x14ac:dyDescent="0.35">
      <c r="A315" t="s">
        <v>409</v>
      </c>
      <c r="B315">
        <v>1</v>
      </c>
      <c r="C315">
        <v>30.99</v>
      </c>
      <c r="D315">
        <v>30.99</v>
      </c>
      <c r="E315" t="s">
        <v>106</v>
      </c>
      <c r="F315" t="s">
        <v>1720</v>
      </c>
      <c r="G315" t="s">
        <v>16</v>
      </c>
      <c r="H315">
        <v>3</v>
      </c>
      <c r="I315" t="s">
        <v>17</v>
      </c>
      <c r="J315" t="s">
        <v>18</v>
      </c>
      <c r="K315">
        <v>10.5</v>
      </c>
      <c r="O315">
        <v>21.99</v>
      </c>
    </row>
    <row r="316" spans="1:15" x14ac:dyDescent="0.35">
      <c r="A316" t="s">
        <v>410</v>
      </c>
      <c r="B316">
        <v>1</v>
      </c>
      <c r="C316">
        <v>21.99</v>
      </c>
      <c r="D316">
        <v>21.99</v>
      </c>
      <c r="E316" t="s">
        <v>169</v>
      </c>
      <c r="F316" t="s">
        <v>1721</v>
      </c>
      <c r="G316" t="s">
        <v>28</v>
      </c>
      <c r="H316">
        <v>0</v>
      </c>
      <c r="I316" t="s">
        <v>12</v>
      </c>
      <c r="J316" t="s">
        <v>13</v>
      </c>
      <c r="K316">
        <v>7</v>
      </c>
      <c r="O316">
        <v>21.99</v>
      </c>
    </row>
    <row r="317" spans="1:15" x14ac:dyDescent="0.35">
      <c r="A317" t="s">
        <v>411</v>
      </c>
      <c r="B317">
        <v>1</v>
      </c>
      <c r="C317">
        <v>21.99</v>
      </c>
      <c r="D317">
        <v>21.99</v>
      </c>
      <c r="E317" t="s">
        <v>89</v>
      </c>
      <c r="F317" t="s">
        <v>1722</v>
      </c>
      <c r="G317" t="s">
        <v>16</v>
      </c>
      <c r="H317">
        <v>5</v>
      </c>
      <c r="I317" t="s">
        <v>24</v>
      </c>
      <c r="J317" t="s">
        <v>13</v>
      </c>
      <c r="K317">
        <v>7</v>
      </c>
      <c r="O317">
        <v>21.99</v>
      </c>
    </row>
    <row r="318" spans="1:15" x14ac:dyDescent="0.35">
      <c r="A318" t="s">
        <v>412</v>
      </c>
      <c r="B318">
        <v>1</v>
      </c>
      <c r="C318">
        <v>27.99</v>
      </c>
      <c r="D318">
        <v>27.99</v>
      </c>
      <c r="E318" t="s">
        <v>413</v>
      </c>
      <c r="F318" t="s">
        <v>1723</v>
      </c>
      <c r="G318" t="s">
        <v>21</v>
      </c>
      <c r="H318">
        <v>0</v>
      </c>
      <c r="I318" t="s">
        <v>12</v>
      </c>
      <c r="J318" t="s">
        <v>31</v>
      </c>
      <c r="K318">
        <v>9</v>
      </c>
      <c r="O318">
        <v>21.99</v>
      </c>
    </row>
    <row r="319" spans="1:15" x14ac:dyDescent="0.35">
      <c r="A319" t="s">
        <v>414</v>
      </c>
      <c r="B319">
        <v>1</v>
      </c>
      <c r="C319">
        <v>18.989999999999998</v>
      </c>
      <c r="D319">
        <v>18.989999999999998</v>
      </c>
      <c r="E319" t="s">
        <v>86</v>
      </c>
      <c r="F319" t="s">
        <v>1724</v>
      </c>
      <c r="G319" t="s">
        <v>16</v>
      </c>
      <c r="H319">
        <v>15</v>
      </c>
      <c r="I319" t="s">
        <v>24</v>
      </c>
      <c r="J319" t="s">
        <v>42</v>
      </c>
      <c r="K319">
        <v>6</v>
      </c>
      <c r="O319">
        <v>21.99</v>
      </c>
    </row>
    <row r="320" spans="1:15" x14ac:dyDescent="0.35">
      <c r="A320" t="s">
        <v>415</v>
      </c>
      <c r="B320">
        <v>1</v>
      </c>
      <c r="C320">
        <v>30.99</v>
      </c>
      <c r="D320">
        <v>30.99</v>
      </c>
      <c r="E320" t="s">
        <v>416</v>
      </c>
      <c r="F320" t="s">
        <v>1725</v>
      </c>
      <c r="G320" t="s">
        <v>21</v>
      </c>
      <c r="H320">
        <v>0</v>
      </c>
      <c r="I320" t="s">
        <v>24</v>
      </c>
      <c r="J320" t="s">
        <v>18</v>
      </c>
      <c r="K320">
        <v>10.5</v>
      </c>
      <c r="O320">
        <v>21.99</v>
      </c>
    </row>
    <row r="321" spans="1:15" x14ac:dyDescent="0.35">
      <c r="A321" t="s">
        <v>417</v>
      </c>
      <c r="B321">
        <v>1</v>
      </c>
      <c r="C321">
        <v>16.989999999999998</v>
      </c>
      <c r="D321">
        <v>16.989999999999998</v>
      </c>
      <c r="E321" t="s">
        <v>134</v>
      </c>
      <c r="F321" t="s">
        <v>1726</v>
      </c>
      <c r="G321" t="s">
        <v>16</v>
      </c>
      <c r="H321">
        <v>17</v>
      </c>
      <c r="I321" t="s">
        <v>12</v>
      </c>
      <c r="J321" t="s">
        <v>25</v>
      </c>
      <c r="K321">
        <v>5</v>
      </c>
      <c r="O321">
        <v>21.99</v>
      </c>
    </row>
    <row r="322" spans="1:15" x14ac:dyDescent="0.35">
      <c r="A322" t="s">
        <v>418</v>
      </c>
      <c r="B322">
        <v>1</v>
      </c>
      <c r="C322">
        <v>16.989999999999998</v>
      </c>
      <c r="D322">
        <v>16.989999999999998</v>
      </c>
      <c r="E322" t="s">
        <v>229</v>
      </c>
      <c r="F322" t="s">
        <v>1727</v>
      </c>
      <c r="G322" t="s">
        <v>11</v>
      </c>
      <c r="H322">
        <v>19</v>
      </c>
      <c r="I322" t="s">
        <v>12</v>
      </c>
      <c r="J322" t="s">
        <v>25</v>
      </c>
      <c r="K322">
        <v>5</v>
      </c>
      <c r="O322">
        <v>21.99</v>
      </c>
    </row>
    <row r="323" spans="1:15" x14ac:dyDescent="0.35">
      <c r="A323" t="s">
        <v>419</v>
      </c>
      <c r="B323">
        <v>1</v>
      </c>
      <c r="C323">
        <v>18.989999999999998</v>
      </c>
      <c r="D323">
        <v>18.989999999999998</v>
      </c>
      <c r="E323" t="s">
        <v>199</v>
      </c>
      <c r="F323" t="s">
        <v>1728</v>
      </c>
      <c r="G323" t="s">
        <v>16</v>
      </c>
      <c r="H323">
        <v>13</v>
      </c>
      <c r="I323" t="s">
        <v>24</v>
      </c>
      <c r="J323" t="s">
        <v>42</v>
      </c>
      <c r="K323">
        <v>6</v>
      </c>
      <c r="O323">
        <v>21.99</v>
      </c>
    </row>
    <row r="324" spans="1:15" x14ac:dyDescent="0.35">
      <c r="A324" t="s">
        <v>420</v>
      </c>
      <c r="B324">
        <v>1</v>
      </c>
      <c r="C324">
        <v>18.989999999999998</v>
      </c>
      <c r="D324">
        <v>18.989999999999998</v>
      </c>
      <c r="E324" t="s">
        <v>169</v>
      </c>
      <c r="F324" t="s">
        <v>1717</v>
      </c>
      <c r="G324" t="s">
        <v>16</v>
      </c>
      <c r="H324">
        <v>10</v>
      </c>
      <c r="I324" t="s">
        <v>17</v>
      </c>
      <c r="J324" t="s">
        <v>42</v>
      </c>
      <c r="K324">
        <v>6</v>
      </c>
      <c r="O324">
        <v>21.99</v>
      </c>
    </row>
    <row r="325" spans="1:15" x14ac:dyDescent="0.35">
      <c r="A325" t="s">
        <v>421</v>
      </c>
      <c r="B325">
        <v>1</v>
      </c>
      <c r="C325">
        <v>18.989999999999998</v>
      </c>
      <c r="D325">
        <v>18.989999999999998</v>
      </c>
      <c r="E325" t="s">
        <v>229</v>
      </c>
      <c r="F325" t="s">
        <v>1718</v>
      </c>
      <c r="G325" t="s">
        <v>16</v>
      </c>
      <c r="H325">
        <v>15</v>
      </c>
      <c r="I325" t="s">
        <v>41</v>
      </c>
      <c r="J325" t="s">
        <v>42</v>
      </c>
      <c r="K325">
        <v>6</v>
      </c>
      <c r="O325">
        <v>21.99</v>
      </c>
    </row>
    <row r="326" spans="1:15" x14ac:dyDescent="0.35">
      <c r="A326" t="s">
        <v>422</v>
      </c>
      <c r="B326">
        <v>1</v>
      </c>
      <c r="C326">
        <v>18.989999999999998</v>
      </c>
      <c r="D326">
        <v>18.989999999999998</v>
      </c>
      <c r="E326" t="s">
        <v>35</v>
      </c>
      <c r="F326" t="s">
        <v>1719</v>
      </c>
      <c r="G326" t="s">
        <v>16</v>
      </c>
      <c r="H326">
        <v>10</v>
      </c>
      <c r="I326" t="s">
        <v>12</v>
      </c>
      <c r="J326" t="s">
        <v>42</v>
      </c>
      <c r="K326">
        <v>6</v>
      </c>
      <c r="O326">
        <v>21.99</v>
      </c>
    </row>
    <row r="327" spans="1:15" x14ac:dyDescent="0.35">
      <c r="A327" t="s">
        <v>423</v>
      </c>
      <c r="B327">
        <v>1</v>
      </c>
      <c r="C327">
        <v>16.989999999999998</v>
      </c>
      <c r="D327">
        <v>16.989999999999998</v>
      </c>
      <c r="E327" t="s">
        <v>27</v>
      </c>
      <c r="F327" t="s">
        <v>1720</v>
      </c>
      <c r="G327" t="s">
        <v>16</v>
      </c>
      <c r="H327">
        <v>17</v>
      </c>
      <c r="I327" t="s">
        <v>41</v>
      </c>
      <c r="J327" t="s">
        <v>25</v>
      </c>
      <c r="K327">
        <v>5</v>
      </c>
      <c r="O327">
        <v>21.99</v>
      </c>
    </row>
    <row r="328" spans="1:15" x14ac:dyDescent="0.35">
      <c r="A328" t="s">
        <v>424</v>
      </c>
      <c r="B328">
        <v>1</v>
      </c>
      <c r="C328">
        <v>16.989999999999998</v>
      </c>
      <c r="D328">
        <v>16.989999999999998</v>
      </c>
      <c r="E328" t="s">
        <v>82</v>
      </c>
      <c r="F328" t="s">
        <v>1721</v>
      </c>
      <c r="G328" t="s">
        <v>11</v>
      </c>
      <c r="H328">
        <v>18</v>
      </c>
      <c r="I328" t="s">
        <v>17</v>
      </c>
      <c r="J328" t="s">
        <v>25</v>
      </c>
      <c r="K328">
        <v>5</v>
      </c>
      <c r="O328">
        <v>21.99</v>
      </c>
    </row>
    <row r="329" spans="1:15" x14ac:dyDescent="0.35">
      <c r="A329" t="s">
        <v>425</v>
      </c>
      <c r="B329">
        <v>1</v>
      </c>
      <c r="C329">
        <v>34.99</v>
      </c>
      <c r="D329">
        <v>34.99</v>
      </c>
      <c r="E329" t="s">
        <v>72</v>
      </c>
      <c r="F329" t="s">
        <v>1722</v>
      </c>
      <c r="G329" t="s">
        <v>11</v>
      </c>
      <c r="H329">
        <v>6</v>
      </c>
      <c r="I329" t="s">
        <v>41</v>
      </c>
      <c r="J329" t="s">
        <v>36</v>
      </c>
      <c r="K329">
        <v>12.5</v>
      </c>
      <c r="O329">
        <v>21.99</v>
      </c>
    </row>
    <row r="330" spans="1:15" x14ac:dyDescent="0.35">
      <c r="A330" t="s">
        <v>426</v>
      </c>
      <c r="B330">
        <v>2</v>
      </c>
      <c r="C330">
        <v>21.99</v>
      </c>
      <c r="D330">
        <v>38.130000000000003</v>
      </c>
      <c r="E330" t="s">
        <v>427</v>
      </c>
      <c r="F330" t="s">
        <v>1723</v>
      </c>
      <c r="G330" t="s">
        <v>16</v>
      </c>
      <c r="H330">
        <v>2</v>
      </c>
      <c r="I330" t="s">
        <v>12</v>
      </c>
      <c r="J330" t="s">
        <v>13</v>
      </c>
      <c r="K330">
        <v>7</v>
      </c>
      <c r="O330">
        <v>37.979999999999997</v>
      </c>
    </row>
    <row r="331" spans="1:15" x14ac:dyDescent="0.35">
      <c r="A331" t="s">
        <v>428</v>
      </c>
      <c r="B331">
        <v>3</v>
      </c>
      <c r="C331">
        <v>16.989999999999998</v>
      </c>
      <c r="D331">
        <v>40.049999999999997</v>
      </c>
      <c r="E331" t="s">
        <v>429</v>
      </c>
      <c r="F331" t="s">
        <v>1724</v>
      </c>
      <c r="G331" t="s">
        <v>16</v>
      </c>
      <c r="H331">
        <v>16</v>
      </c>
      <c r="I331" t="s">
        <v>17</v>
      </c>
      <c r="J331" t="s">
        <v>25</v>
      </c>
      <c r="K331">
        <v>5</v>
      </c>
      <c r="O331">
        <v>84.73</v>
      </c>
    </row>
    <row r="332" spans="1:15" x14ac:dyDescent="0.35">
      <c r="A332" t="s">
        <v>430</v>
      </c>
      <c r="B332">
        <v>1</v>
      </c>
      <c r="C332">
        <v>21.99</v>
      </c>
      <c r="D332">
        <v>21.99</v>
      </c>
      <c r="E332" t="s">
        <v>431</v>
      </c>
      <c r="F332" t="s">
        <v>1725</v>
      </c>
      <c r="G332" t="s">
        <v>16</v>
      </c>
      <c r="H332">
        <v>3</v>
      </c>
      <c r="I332" t="s">
        <v>41</v>
      </c>
      <c r="J332" t="s">
        <v>13</v>
      </c>
      <c r="K332">
        <v>7</v>
      </c>
      <c r="O332">
        <v>21.99</v>
      </c>
    </row>
    <row r="333" spans="1:15" x14ac:dyDescent="0.35">
      <c r="A333" t="s">
        <v>432</v>
      </c>
      <c r="B333">
        <v>2</v>
      </c>
      <c r="C333">
        <v>27.99</v>
      </c>
      <c r="D333">
        <v>48.81</v>
      </c>
      <c r="E333" t="s">
        <v>433</v>
      </c>
      <c r="F333" t="s">
        <v>1726</v>
      </c>
      <c r="G333" t="s">
        <v>16</v>
      </c>
      <c r="H333">
        <v>2</v>
      </c>
      <c r="I333" t="s">
        <v>12</v>
      </c>
      <c r="J333" t="s">
        <v>31</v>
      </c>
      <c r="K333">
        <v>9</v>
      </c>
      <c r="O333">
        <v>37.979999999999997</v>
      </c>
    </row>
    <row r="334" spans="1:15" x14ac:dyDescent="0.35">
      <c r="A334" t="s">
        <v>434</v>
      </c>
      <c r="B334">
        <v>1</v>
      </c>
      <c r="C334">
        <v>30.99</v>
      </c>
      <c r="D334">
        <v>30.99</v>
      </c>
      <c r="E334" t="s">
        <v>435</v>
      </c>
      <c r="F334" t="s">
        <v>1727</v>
      </c>
      <c r="G334" t="s">
        <v>11</v>
      </c>
      <c r="H334">
        <v>2</v>
      </c>
      <c r="I334" t="s">
        <v>24</v>
      </c>
      <c r="J334" t="s">
        <v>18</v>
      </c>
      <c r="K334">
        <v>10.5</v>
      </c>
      <c r="O334">
        <v>21.99</v>
      </c>
    </row>
    <row r="335" spans="1:15" x14ac:dyDescent="0.35">
      <c r="A335" t="s">
        <v>436</v>
      </c>
      <c r="B335">
        <v>1</v>
      </c>
      <c r="C335">
        <v>18.989999999999998</v>
      </c>
      <c r="D335">
        <v>18.989999999999998</v>
      </c>
      <c r="E335" t="s">
        <v>118</v>
      </c>
      <c r="F335" t="s">
        <v>1728</v>
      </c>
      <c r="G335" t="s">
        <v>87</v>
      </c>
      <c r="H335">
        <v>0</v>
      </c>
      <c r="I335" t="s">
        <v>24</v>
      </c>
      <c r="J335" t="s">
        <v>42</v>
      </c>
      <c r="K335">
        <v>6</v>
      </c>
      <c r="O335">
        <v>21.99</v>
      </c>
    </row>
    <row r="336" spans="1:15" x14ac:dyDescent="0.35">
      <c r="A336" t="s">
        <v>437</v>
      </c>
      <c r="B336">
        <v>3</v>
      </c>
      <c r="C336">
        <v>27.99</v>
      </c>
      <c r="D336">
        <v>66.599999999999994</v>
      </c>
      <c r="E336" s="6">
        <v>46232</v>
      </c>
      <c r="F336" t="s">
        <v>1717</v>
      </c>
      <c r="G336" t="s">
        <v>21</v>
      </c>
      <c r="H336">
        <v>0</v>
      </c>
      <c r="I336" t="s">
        <v>41</v>
      </c>
      <c r="J336" t="s">
        <v>31</v>
      </c>
      <c r="K336">
        <v>9</v>
      </c>
      <c r="O336">
        <v>84.73</v>
      </c>
    </row>
    <row r="337" spans="1:15" x14ac:dyDescent="0.35">
      <c r="A337" t="s">
        <v>438</v>
      </c>
      <c r="B337">
        <v>3</v>
      </c>
      <c r="C337">
        <v>16.989999999999998</v>
      </c>
      <c r="D337">
        <v>40.950000000000003</v>
      </c>
      <c r="E337" t="s">
        <v>439</v>
      </c>
      <c r="F337" t="s">
        <v>1718</v>
      </c>
      <c r="G337" t="s">
        <v>16</v>
      </c>
      <c r="H337">
        <v>15</v>
      </c>
      <c r="I337" t="s">
        <v>24</v>
      </c>
      <c r="J337" t="s">
        <v>25</v>
      </c>
      <c r="K337">
        <v>5</v>
      </c>
      <c r="O337">
        <v>84.73</v>
      </c>
    </row>
    <row r="338" spans="1:15" x14ac:dyDescent="0.35">
      <c r="A338" t="s">
        <v>440</v>
      </c>
      <c r="B338">
        <v>1</v>
      </c>
      <c r="C338">
        <v>34.99</v>
      </c>
      <c r="D338">
        <v>34.99</v>
      </c>
      <c r="E338" t="s">
        <v>171</v>
      </c>
      <c r="F338" t="s">
        <v>1719</v>
      </c>
      <c r="G338" t="s">
        <v>28</v>
      </c>
      <c r="H338">
        <v>0</v>
      </c>
      <c r="I338" t="s">
        <v>41</v>
      </c>
      <c r="J338" t="s">
        <v>36</v>
      </c>
      <c r="K338">
        <v>12.5</v>
      </c>
      <c r="O338">
        <v>21.99</v>
      </c>
    </row>
    <row r="339" spans="1:15" x14ac:dyDescent="0.35">
      <c r="A339" t="s">
        <v>441</v>
      </c>
      <c r="B339">
        <v>3</v>
      </c>
      <c r="C339">
        <v>30.99</v>
      </c>
      <c r="D339">
        <v>74.900000000000006</v>
      </c>
      <c r="E339" t="s">
        <v>118</v>
      </c>
      <c r="F339" t="s">
        <v>1720</v>
      </c>
      <c r="G339" t="s">
        <v>16</v>
      </c>
      <c r="H339">
        <v>3</v>
      </c>
      <c r="I339" t="s">
        <v>41</v>
      </c>
      <c r="J339" t="s">
        <v>18</v>
      </c>
      <c r="K339">
        <v>10.5</v>
      </c>
      <c r="O339">
        <v>84.73</v>
      </c>
    </row>
    <row r="340" spans="1:15" x14ac:dyDescent="0.35">
      <c r="A340" t="s">
        <v>442</v>
      </c>
      <c r="B340">
        <v>1</v>
      </c>
      <c r="C340">
        <v>18.989999999999998</v>
      </c>
      <c r="D340">
        <v>18.989999999999998</v>
      </c>
      <c r="E340" t="s">
        <v>443</v>
      </c>
      <c r="F340" t="s">
        <v>1721</v>
      </c>
      <c r="G340" t="s">
        <v>16</v>
      </c>
      <c r="H340">
        <v>11</v>
      </c>
      <c r="I340" t="s">
        <v>12</v>
      </c>
      <c r="J340" t="s">
        <v>42</v>
      </c>
      <c r="K340">
        <v>6</v>
      </c>
      <c r="O340">
        <v>21.99</v>
      </c>
    </row>
    <row r="341" spans="1:15" x14ac:dyDescent="0.35">
      <c r="A341" t="s">
        <v>444</v>
      </c>
      <c r="B341">
        <v>3</v>
      </c>
      <c r="C341">
        <v>30.99</v>
      </c>
      <c r="D341">
        <v>73.91</v>
      </c>
      <c r="E341" t="s">
        <v>445</v>
      </c>
      <c r="F341" t="s">
        <v>1722</v>
      </c>
      <c r="G341" t="s">
        <v>16</v>
      </c>
      <c r="H341">
        <v>8</v>
      </c>
      <c r="I341" t="s">
        <v>17</v>
      </c>
      <c r="J341" t="s">
        <v>18</v>
      </c>
      <c r="K341">
        <v>10.5</v>
      </c>
      <c r="O341">
        <v>84.73</v>
      </c>
    </row>
    <row r="342" spans="1:15" x14ac:dyDescent="0.35">
      <c r="A342" t="s">
        <v>446</v>
      </c>
      <c r="B342">
        <v>1</v>
      </c>
      <c r="C342">
        <v>21.99</v>
      </c>
      <c r="D342">
        <v>21.99</v>
      </c>
      <c r="E342" t="s">
        <v>447</v>
      </c>
      <c r="F342" t="s">
        <v>1723</v>
      </c>
      <c r="G342" t="s">
        <v>21</v>
      </c>
      <c r="H342">
        <v>0</v>
      </c>
      <c r="I342" t="s">
        <v>24</v>
      </c>
      <c r="J342" t="s">
        <v>13</v>
      </c>
      <c r="K342">
        <v>7</v>
      </c>
      <c r="O342">
        <v>21.99</v>
      </c>
    </row>
    <row r="343" spans="1:15" x14ac:dyDescent="0.35">
      <c r="A343" t="s">
        <v>448</v>
      </c>
      <c r="B343">
        <v>2</v>
      </c>
      <c r="C343">
        <v>21.99</v>
      </c>
      <c r="D343">
        <v>37.68</v>
      </c>
      <c r="E343" t="s">
        <v>449</v>
      </c>
      <c r="F343" t="s">
        <v>1724</v>
      </c>
      <c r="G343" t="s">
        <v>16</v>
      </c>
      <c r="H343">
        <v>3</v>
      </c>
      <c r="I343" t="s">
        <v>41</v>
      </c>
      <c r="J343" t="s">
        <v>13</v>
      </c>
      <c r="K343">
        <v>7</v>
      </c>
      <c r="O343">
        <v>37.979999999999997</v>
      </c>
    </row>
    <row r="344" spans="1:15" x14ac:dyDescent="0.35">
      <c r="A344" t="s">
        <v>450</v>
      </c>
      <c r="B344">
        <v>1</v>
      </c>
      <c r="C344">
        <v>16.989999999999998</v>
      </c>
      <c r="D344">
        <v>16.989999999999998</v>
      </c>
      <c r="E344" t="s">
        <v>320</v>
      </c>
      <c r="F344" t="s">
        <v>1725</v>
      </c>
      <c r="G344" t="s">
        <v>87</v>
      </c>
      <c r="H344">
        <v>0</v>
      </c>
      <c r="I344" t="s">
        <v>24</v>
      </c>
      <c r="J344" t="s">
        <v>25</v>
      </c>
      <c r="K344">
        <v>5</v>
      </c>
      <c r="O344">
        <v>21.99</v>
      </c>
    </row>
    <row r="345" spans="1:15" x14ac:dyDescent="0.35">
      <c r="A345" t="s">
        <v>451</v>
      </c>
      <c r="B345">
        <v>1</v>
      </c>
      <c r="C345">
        <v>21.99</v>
      </c>
      <c r="D345">
        <v>21.99</v>
      </c>
      <c r="E345" t="s">
        <v>96</v>
      </c>
      <c r="F345" t="s">
        <v>1726</v>
      </c>
      <c r="G345" t="s">
        <v>21</v>
      </c>
      <c r="H345">
        <v>0</v>
      </c>
      <c r="I345" t="s">
        <v>41</v>
      </c>
      <c r="J345" t="s">
        <v>13</v>
      </c>
      <c r="K345">
        <v>7</v>
      </c>
      <c r="O345">
        <v>21.99</v>
      </c>
    </row>
    <row r="346" spans="1:15" x14ac:dyDescent="0.35">
      <c r="A346" t="s">
        <v>452</v>
      </c>
      <c r="B346">
        <v>2</v>
      </c>
      <c r="C346">
        <v>30.99</v>
      </c>
      <c r="D346">
        <v>53.13</v>
      </c>
      <c r="E346" t="s">
        <v>453</v>
      </c>
      <c r="F346" t="s">
        <v>1727</v>
      </c>
      <c r="G346" t="s">
        <v>21</v>
      </c>
      <c r="H346">
        <v>0</v>
      </c>
      <c r="I346" t="s">
        <v>24</v>
      </c>
      <c r="J346" t="s">
        <v>18</v>
      </c>
      <c r="K346">
        <v>10.5</v>
      </c>
      <c r="O346">
        <v>37.979999999999997</v>
      </c>
    </row>
    <row r="347" spans="1:15" x14ac:dyDescent="0.35">
      <c r="A347" t="s">
        <v>454</v>
      </c>
      <c r="B347">
        <v>1</v>
      </c>
      <c r="C347">
        <v>16.989999999999998</v>
      </c>
      <c r="D347">
        <v>16.989999999999998</v>
      </c>
      <c r="E347" t="s">
        <v>455</v>
      </c>
      <c r="F347" t="s">
        <v>1728</v>
      </c>
      <c r="G347" t="s">
        <v>21</v>
      </c>
      <c r="H347">
        <v>0</v>
      </c>
      <c r="I347" t="s">
        <v>17</v>
      </c>
      <c r="J347" t="s">
        <v>25</v>
      </c>
      <c r="K347">
        <v>5</v>
      </c>
      <c r="O347">
        <v>21.99</v>
      </c>
    </row>
    <row r="348" spans="1:15" x14ac:dyDescent="0.35">
      <c r="A348" t="s">
        <v>456</v>
      </c>
      <c r="B348">
        <v>1</v>
      </c>
      <c r="C348">
        <v>34.99</v>
      </c>
      <c r="D348">
        <v>34.99</v>
      </c>
      <c r="E348" t="s">
        <v>457</v>
      </c>
      <c r="F348" t="s">
        <v>1717</v>
      </c>
      <c r="G348" t="s">
        <v>16</v>
      </c>
      <c r="H348">
        <v>6</v>
      </c>
      <c r="I348" t="s">
        <v>24</v>
      </c>
      <c r="J348" t="s">
        <v>36</v>
      </c>
      <c r="K348">
        <v>12.5</v>
      </c>
      <c r="O348">
        <v>21.99</v>
      </c>
    </row>
    <row r="349" spans="1:15" x14ac:dyDescent="0.35">
      <c r="A349" t="s">
        <v>458</v>
      </c>
      <c r="B349">
        <v>3</v>
      </c>
      <c r="C349">
        <v>27.99</v>
      </c>
      <c r="D349">
        <v>67.510000000000005</v>
      </c>
      <c r="E349" t="s">
        <v>459</v>
      </c>
      <c r="F349" t="s">
        <v>1718</v>
      </c>
      <c r="G349" t="s">
        <v>11</v>
      </c>
      <c r="H349">
        <v>2</v>
      </c>
      <c r="I349" t="s">
        <v>12</v>
      </c>
      <c r="J349" t="s">
        <v>31</v>
      </c>
      <c r="K349">
        <v>9</v>
      </c>
      <c r="O349">
        <v>84.73</v>
      </c>
    </row>
    <row r="350" spans="1:15" x14ac:dyDescent="0.35">
      <c r="A350" t="s">
        <v>460</v>
      </c>
      <c r="B350">
        <v>1</v>
      </c>
      <c r="C350">
        <v>30.99</v>
      </c>
      <c r="D350">
        <v>30.99</v>
      </c>
      <c r="E350" t="s">
        <v>461</v>
      </c>
      <c r="F350" t="s">
        <v>1719</v>
      </c>
      <c r="G350" t="s">
        <v>11</v>
      </c>
      <c r="H350">
        <v>2</v>
      </c>
      <c r="I350" t="s">
        <v>12</v>
      </c>
      <c r="J350" t="s">
        <v>18</v>
      </c>
      <c r="K350">
        <v>10.5</v>
      </c>
      <c r="O350">
        <v>21.99</v>
      </c>
    </row>
    <row r="351" spans="1:15" x14ac:dyDescent="0.35">
      <c r="A351" t="s">
        <v>462</v>
      </c>
      <c r="B351">
        <v>1</v>
      </c>
      <c r="C351">
        <v>34.99</v>
      </c>
      <c r="D351">
        <v>34.99</v>
      </c>
      <c r="E351" t="s">
        <v>320</v>
      </c>
      <c r="F351" t="s">
        <v>1720</v>
      </c>
      <c r="G351" t="s">
        <v>16</v>
      </c>
      <c r="H351">
        <v>7</v>
      </c>
      <c r="I351" t="s">
        <v>12</v>
      </c>
      <c r="J351" t="s">
        <v>36</v>
      </c>
      <c r="K351">
        <v>12.5</v>
      </c>
      <c r="O351">
        <v>21.99</v>
      </c>
    </row>
    <row r="352" spans="1:15" x14ac:dyDescent="0.35">
      <c r="A352" t="s">
        <v>463</v>
      </c>
      <c r="B352">
        <v>1</v>
      </c>
      <c r="C352">
        <v>21.99</v>
      </c>
      <c r="D352">
        <v>21.99</v>
      </c>
      <c r="E352" t="s">
        <v>96</v>
      </c>
      <c r="F352" t="s">
        <v>1721</v>
      </c>
      <c r="G352" t="s">
        <v>16</v>
      </c>
      <c r="H352">
        <v>2</v>
      </c>
      <c r="I352" t="s">
        <v>24</v>
      </c>
      <c r="J352" t="s">
        <v>13</v>
      </c>
      <c r="K352">
        <v>7</v>
      </c>
      <c r="O352">
        <v>21.99</v>
      </c>
    </row>
    <row r="353" spans="1:15" x14ac:dyDescent="0.35">
      <c r="A353" t="s">
        <v>464</v>
      </c>
      <c r="B353">
        <v>2</v>
      </c>
      <c r="C353">
        <v>34.99</v>
      </c>
      <c r="D353">
        <v>60.26</v>
      </c>
      <c r="E353" t="s">
        <v>465</v>
      </c>
      <c r="F353" t="s">
        <v>1722</v>
      </c>
      <c r="G353" t="s">
        <v>11</v>
      </c>
      <c r="H353">
        <v>6</v>
      </c>
      <c r="I353" t="s">
        <v>24</v>
      </c>
      <c r="J353" t="s">
        <v>36</v>
      </c>
      <c r="K353">
        <v>12.5</v>
      </c>
      <c r="O353">
        <v>37.979999999999997</v>
      </c>
    </row>
    <row r="354" spans="1:15" x14ac:dyDescent="0.35">
      <c r="A354" t="s">
        <v>466</v>
      </c>
      <c r="B354">
        <v>3</v>
      </c>
      <c r="C354">
        <v>30.99</v>
      </c>
      <c r="D354">
        <v>73.73</v>
      </c>
      <c r="E354" t="s">
        <v>467</v>
      </c>
      <c r="F354" t="s">
        <v>1723</v>
      </c>
      <c r="G354" t="s">
        <v>16</v>
      </c>
      <c r="H354">
        <v>3</v>
      </c>
      <c r="I354" t="s">
        <v>17</v>
      </c>
      <c r="J354" t="s">
        <v>18</v>
      </c>
      <c r="K354">
        <v>10.5</v>
      </c>
      <c r="O354">
        <v>84.73</v>
      </c>
    </row>
    <row r="355" spans="1:15" x14ac:dyDescent="0.35">
      <c r="A355" t="s">
        <v>468</v>
      </c>
      <c r="B355">
        <v>2</v>
      </c>
      <c r="C355">
        <v>30.99</v>
      </c>
      <c r="D355">
        <v>53.11</v>
      </c>
      <c r="E355" t="s">
        <v>433</v>
      </c>
      <c r="F355" t="s">
        <v>1724</v>
      </c>
      <c r="G355" t="s">
        <v>21</v>
      </c>
      <c r="H355">
        <v>0</v>
      </c>
      <c r="I355" t="s">
        <v>24</v>
      </c>
      <c r="J355" t="s">
        <v>18</v>
      </c>
      <c r="K355">
        <v>10.5</v>
      </c>
      <c r="O355">
        <v>37.979999999999997</v>
      </c>
    </row>
    <row r="356" spans="1:15" x14ac:dyDescent="0.35">
      <c r="A356" t="s">
        <v>469</v>
      </c>
      <c r="B356">
        <v>3</v>
      </c>
      <c r="C356">
        <v>34.99</v>
      </c>
      <c r="D356">
        <v>84</v>
      </c>
      <c r="E356" t="s">
        <v>470</v>
      </c>
      <c r="F356" t="s">
        <v>1725</v>
      </c>
      <c r="G356" t="s">
        <v>16</v>
      </c>
      <c r="H356">
        <v>6</v>
      </c>
      <c r="I356" t="s">
        <v>12</v>
      </c>
      <c r="J356" t="s">
        <v>36</v>
      </c>
      <c r="K356">
        <v>12.5</v>
      </c>
      <c r="O356">
        <v>84.73</v>
      </c>
    </row>
    <row r="357" spans="1:15" x14ac:dyDescent="0.35">
      <c r="A357" t="s">
        <v>471</v>
      </c>
      <c r="B357">
        <v>1</v>
      </c>
      <c r="C357">
        <v>27.99</v>
      </c>
      <c r="D357">
        <v>27.99</v>
      </c>
      <c r="E357" t="s">
        <v>472</v>
      </c>
      <c r="F357" t="s">
        <v>1726</v>
      </c>
      <c r="G357" t="s">
        <v>16</v>
      </c>
      <c r="H357">
        <v>3</v>
      </c>
      <c r="I357" t="s">
        <v>12</v>
      </c>
      <c r="J357" t="s">
        <v>31</v>
      </c>
      <c r="K357">
        <v>9</v>
      </c>
      <c r="O357">
        <v>21.99</v>
      </c>
    </row>
    <row r="358" spans="1:15" x14ac:dyDescent="0.35">
      <c r="A358" t="s">
        <v>473</v>
      </c>
      <c r="B358">
        <v>1</v>
      </c>
      <c r="C358">
        <v>18.989999999999998</v>
      </c>
      <c r="D358">
        <v>18.989999999999998</v>
      </c>
      <c r="E358" t="s">
        <v>474</v>
      </c>
      <c r="F358" t="s">
        <v>1727</v>
      </c>
      <c r="G358" t="s">
        <v>16</v>
      </c>
      <c r="H358">
        <v>11</v>
      </c>
      <c r="I358" t="s">
        <v>24</v>
      </c>
      <c r="J358" t="s">
        <v>42</v>
      </c>
      <c r="K358">
        <v>6</v>
      </c>
      <c r="O358">
        <v>21.99</v>
      </c>
    </row>
    <row r="359" spans="1:15" x14ac:dyDescent="0.35">
      <c r="A359" t="s">
        <v>475</v>
      </c>
      <c r="B359">
        <v>1</v>
      </c>
      <c r="C359">
        <v>18.989999999999998</v>
      </c>
      <c r="D359">
        <v>18.989999999999998</v>
      </c>
      <c r="E359" t="s">
        <v>23</v>
      </c>
      <c r="F359" t="s">
        <v>1728</v>
      </c>
      <c r="G359" t="s">
        <v>16</v>
      </c>
      <c r="H359">
        <v>12</v>
      </c>
      <c r="I359" t="s">
        <v>12</v>
      </c>
      <c r="J359" t="s">
        <v>42</v>
      </c>
      <c r="K359">
        <v>6</v>
      </c>
      <c r="O359">
        <v>21.99</v>
      </c>
    </row>
    <row r="360" spans="1:15" x14ac:dyDescent="0.35">
      <c r="A360" t="s">
        <v>476</v>
      </c>
      <c r="B360">
        <v>1</v>
      </c>
      <c r="C360">
        <v>16.989999999999998</v>
      </c>
      <c r="D360">
        <v>16.989999999999998</v>
      </c>
      <c r="E360" t="s">
        <v>477</v>
      </c>
      <c r="F360" t="s">
        <v>1717</v>
      </c>
      <c r="G360" t="s">
        <v>87</v>
      </c>
      <c r="H360">
        <v>0</v>
      </c>
      <c r="I360" t="s">
        <v>24</v>
      </c>
      <c r="J360" t="s">
        <v>25</v>
      </c>
      <c r="K360">
        <v>5</v>
      </c>
      <c r="O360">
        <v>21.99</v>
      </c>
    </row>
    <row r="361" spans="1:15" x14ac:dyDescent="0.35">
      <c r="A361" t="s">
        <v>478</v>
      </c>
      <c r="B361">
        <v>1</v>
      </c>
      <c r="C361">
        <v>34.99</v>
      </c>
      <c r="D361">
        <v>34.99</v>
      </c>
      <c r="E361" t="s">
        <v>479</v>
      </c>
      <c r="F361" t="s">
        <v>1718</v>
      </c>
      <c r="G361" t="s">
        <v>87</v>
      </c>
      <c r="H361">
        <v>0</v>
      </c>
      <c r="I361" t="s">
        <v>41</v>
      </c>
      <c r="J361" t="s">
        <v>36</v>
      </c>
      <c r="K361">
        <v>12.5</v>
      </c>
      <c r="O361">
        <v>21.99</v>
      </c>
    </row>
    <row r="362" spans="1:15" x14ac:dyDescent="0.35">
      <c r="A362" t="s">
        <v>480</v>
      </c>
      <c r="B362">
        <v>1</v>
      </c>
      <c r="C362">
        <v>21.99</v>
      </c>
      <c r="D362">
        <v>21.99</v>
      </c>
      <c r="E362" t="s">
        <v>481</v>
      </c>
      <c r="F362" t="s">
        <v>1719</v>
      </c>
      <c r="G362" t="s">
        <v>21</v>
      </c>
      <c r="H362">
        <v>0</v>
      </c>
      <c r="I362" t="s">
        <v>24</v>
      </c>
      <c r="J362" t="s">
        <v>13</v>
      </c>
      <c r="K362">
        <v>7</v>
      </c>
      <c r="O362">
        <v>21.99</v>
      </c>
    </row>
    <row r="363" spans="1:15" x14ac:dyDescent="0.35">
      <c r="A363" t="s">
        <v>482</v>
      </c>
      <c r="B363">
        <v>1</v>
      </c>
      <c r="C363">
        <v>18.989999999999998</v>
      </c>
      <c r="D363">
        <v>18.989999999999998</v>
      </c>
      <c r="E363" t="s">
        <v>483</v>
      </c>
      <c r="F363" t="s">
        <v>1720</v>
      </c>
      <c r="G363" t="s">
        <v>16</v>
      </c>
      <c r="H363">
        <v>14</v>
      </c>
      <c r="I363" t="s">
        <v>12</v>
      </c>
      <c r="J363" t="s">
        <v>42</v>
      </c>
      <c r="K363">
        <v>6</v>
      </c>
      <c r="O363">
        <v>21.99</v>
      </c>
    </row>
    <row r="364" spans="1:15" x14ac:dyDescent="0.35">
      <c r="A364" t="s">
        <v>484</v>
      </c>
      <c r="B364">
        <v>1</v>
      </c>
      <c r="C364">
        <v>34.99</v>
      </c>
      <c r="D364">
        <v>34.99</v>
      </c>
      <c r="E364" t="s">
        <v>485</v>
      </c>
      <c r="F364" t="s">
        <v>1721</v>
      </c>
      <c r="G364" t="s">
        <v>16</v>
      </c>
      <c r="H364">
        <v>7</v>
      </c>
      <c r="I364" t="s">
        <v>12</v>
      </c>
      <c r="J364" t="s">
        <v>36</v>
      </c>
      <c r="K364">
        <v>12.5</v>
      </c>
      <c r="O364">
        <v>21.99</v>
      </c>
    </row>
    <row r="365" spans="1:15" x14ac:dyDescent="0.35">
      <c r="A365" t="s">
        <v>486</v>
      </c>
      <c r="B365">
        <v>1</v>
      </c>
      <c r="C365">
        <v>18.989999999999998</v>
      </c>
      <c r="D365">
        <v>18.989999999999998</v>
      </c>
      <c r="E365" s="6">
        <v>46290</v>
      </c>
      <c r="F365" t="s">
        <v>1722</v>
      </c>
      <c r="G365" t="s">
        <v>87</v>
      </c>
      <c r="H365">
        <v>0</v>
      </c>
      <c r="I365" t="s">
        <v>12</v>
      </c>
      <c r="J365" t="s">
        <v>42</v>
      </c>
      <c r="K365">
        <v>6</v>
      </c>
      <c r="O365">
        <v>21.99</v>
      </c>
    </row>
    <row r="366" spans="1:15" x14ac:dyDescent="0.35">
      <c r="A366" t="s">
        <v>487</v>
      </c>
      <c r="B366">
        <v>3</v>
      </c>
      <c r="C366">
        <v>30.99</v>
      </c>
      <c r="D366">
        <v>73.64</v>
      </c>
      <c r="E366" t="s">
        <v>118</v>
      </c>
      <c r="F366" t="s">
        <v>1723</v>
      </c>
      <c r="G366" t="s">
        <v>16</v>
      </c>
      <c r="H366">
        <v>8</v>
      </c>
      <c r="I366" t="s">
        <v>24</v>
      </c>
      <c r="J366" t="s">
        <v>18</v>
      </c>
      <c r="K366">
        <v>10.5</v>
      </c>
      <c r="O366">
        <v>84.73</v>
      </c>
    </row>
    <row r="367" spans="1:15" x14ac:dyDescent="0.35">
      <c r="A367" t="s">
        <v>488</v>
      </c>
      <c r="B367">
        <v>1</v>
      </c>
      <c r="C367">
        <v>27.99</v>
      </c>
      <c r="D367">
        <v>27.99</v>
      </c>
      <c r="E367" t="s">
        <v>397</v>
      </c>
      <c r="F367" t="s">
        <v>1724</v>
      </c>
      <c r="G367" t="s">
        <v>16</v>
      </c>
      <c r="H367">
        <v>3</v>
      </c>
      <c r="I367" t="s">
        <v>24</v>
      </c>
      <c r="J367" t="s">
        <v>31</v>
      </c>
      <c r="K367">
        <v>9</v>
      </c>
      <c r="O367">
        <v>21.99</v>
      </c>
    </row>
    <row r="368" spans="1:15" x14ac:dyDescent="0.35">
      <c r="A368" t="s">
        <v>489</v>
      </c>
      <c r="B368">
        <v>2</v>
      </c>
      <c r="C368">
        <v>27.99</v>
      </c>
      <c r="D368">
        <v>48.54</v>
      </c>
      <c r="E368" t="s">
        <v>490</v>
      </c>
      <c r="F368" t="s">
        <v>1725</v>
      </c>
      <c r="G368" t="s">
        <v>16</v>
      </c>
      <c r="H368">
        <v>2</v>
      </c>
      <c r="I368" t="s">
        <v>41</v>
      </c>
      <c r="J368" t="s">
        <v>31</v>
      </c>
      <c r="K368">
        <v>9</v>
      </c>
      <c r="O368">
        <v>37.979999999999997</v>
      </c>
    </row>
    <row r="369" spans="1:15" x14ac:dyDescent="0.35">
      <c r="A369" t="s">
        <v>491</v>
      </c>
      <c r="B369">
        <v>3</v>
      </c>
      <c r="C369">
        <v>27.99</v>
      </c>
      <c r="D369">
        <v>67.92</v>
      </c>
      <c r="E369" t="s">
        <v>416</v>
      </c>
      <c r="F369" t="s">
        <v>1726</v>
      </c>
      <c r="G369" t="s">
        <v>16</v>
      </c>
      <c r="H369">
        <v>3</v>
      </c>
      <c r="I369" t="s">
        <v>17</v>
      </c>
      <c r="J369" t="s">
        <v>31</v>
      </c>
      <c r="K369">
        <v>9</v>
      </c>
      <c r="O369">
        <v>84.73</v>
      </c>
    </row>
    <row r="370" spans="1:15" x14ac:dyDescent="0.35">
      <c r="A370" t="s">
        <v>492</v>
      </c>
      <c r="B370">
        <v>2</v>
      </c>
      <c r="C370">
        <v>34.99</v>
      </c>
      <c r="D370">
        <v>60.06</v>
      </c>
      <c r="E370" t="s">
        <v>493</v>
      </c>
      <c r="F370" t="s">
        <v>1727</v>
      </c>
      <c r="G370" t="s">
        <v>11</v>
      </c>
      <c r="H370">
        <v>8</v>
      </c>
      <c r="I370" t="s">
        <v>41</v>
      </c>
      <c r="J370" t="s">
        <v>36</v>
      </c>
      <c r="K370">
        <v>12.5</v>
      </c>
      <c r="O370">
        <v>37.979999999999997</v>
      </c>
    </row>
    <row r="371" spans="1:15" x14ac:dyDescent="0.35">
      <c r="A371" t="s">
        <v>494</v>
      </c>
      <c r="B371">
        <v>1</v>
      </c>
      <c r="C371">
        <v>27.99</v>
      </c>
      <c r="D371">
        <v>27.99</v>
      </c>
      <c r="E371" t="s">
        <v>54</v>
      </c>
      <c r="F371" t="s">
        <v>1728</v>
      </c>
      <c r="G371" t="s">
        <v>16</v>
      </c>
      <c r="H371">
        <v>2</v>
      </c>
      <c r="I371" t="s">
        <v>41</v>
      </c>
      <c r="J371" t="s">
        <v>31</v>
      </c>
      <c r="K371">
        <v>9</v>
      </c>
      <c r="O371">
        <v>21.99</v>
      </c>
    </row>
    <row r="372" spans="1:15" x14ac:dyDescent="0.35">
      <c r="A372" t="s">
        <v>495</v>
      </c>
      <c r="B372">
        <v>1</v>
      </c>
      <c r="C372">
        <v>30.99</v>
      </c>
      <c r="D372">
        <v>30.99</v>
      </c>
      <c r="E372" t="s">
        <v>496</v>
      </c>
      <c r="F372" t="s">
        <v>1717</v>
      </c>
      <c r="G372" t="s">
        <v>16</v>
      </c>
      <c r="H372">
        <v>3</v>
      </c>
      <c r="I372" t="s">
        <v>24</v>
      </c>
      <c r="J372" t="s">
        <v>18</v>
      </c>
      <c r="K372">
        <v>10.5</v>
      </c>
      <c r="O372">
        <v>21.99</v>
      </c>
    </row>
    <row r="373" spans="1:15" x14ac:dyDescent="0.35">
      <c r="A373" t="s">
        <v>497</v>
      </c>
      <c r="B373">
        <v>2</v>
      </c>
      <c r="C373">
        <v>18.989999999999998</v>
      </c>
      <c r="D373">
        <v>32.83</v>
      </c>
      <c r="E373" t="s">
        <v>498</v>
      </c>
      <c r="F373" t="s">
        <v>1718</v>
      </c>
      <c r="G373" t="s">
        <v>87</v>
      </c>
      <c r="H373">
        <v>0</v>
      </c>
      <c r="I373" t="s">
        <v>24</v>
      </c>
      <c r="J373" t="s">
        <v>42</v>
      </c>
      <c r="K373">
        <v>6</v>
      </c>
      <c r="O373">
        <v>37.979999999999997</v>
      </c>
    </row>
    <row r="374" spans="1:15" x14ac:dyDescent="0.35">
      <c r="A374" t="s">
        <v>499</v>
      </c>
      <c r="B374">
        <v>1</v>
      </c>
      <c r="C374">
        <v>21.99</v>
      </c>
      <c r="D374">
        <v>21.99</v>
      </c>
      <c r="E374" t="s">
        <v>500</v>
      </c>
      <c r="F374" t="s">
        <v>1719</v>
      </c>
      <c r="G374" t="s">
        <v>16</v>
      </c>
      <c r="H374">
        <v>2</v>
      </c>
      <c r="I374" t="s">
        <v>12</v>
      </c>
      <c r="J374" t="s">
        <v>13</v>
      </c>
      <c r="K374">
        <v>7</v>
      </c>
      <c r="O374">
        <v>21.99</v>
      </c>
    </row>
    <row r="375" spans="1:15" x14ac:dyDescent="0.35">
      <c r="A375" t="s">
        <v>501</v>
      </c>
      <c r="B375">
        <v>1</v>
      </c>
      <c r="C375">
        <v>18.989999999999998</v>
      </c>
      <c r="D375">
        <v>18.989999999999998</v>
      </c>
      <c r="E375" t="s">
        <v>502</v>
      </c>
      <c r="F375" t="s">
        <v>1720</v>
      </c>
      <c r="G375" t="s">
        <v>16</v>
      </c>
      <c r="H375">
        <v>10</v>
      </c>
      <c r="I375" t="s">
        <v>17</v>
      </c>
      <c r="J375" t="s">
        <v>42</v>
      </c>
      <c r="K375">
        <v>6</v>
      </c>
      <c r="O375">
        <v>21.99</v>
      </c>
    </row>
    <row r="376" spans="1:15" x14ac:dyDescent="0.35">
      <c r="A376" t="s">
        <v>503</v>
      </c>
      <c r="B376">
        <v>1</v>
      </c>
      <c r="C376">
        <v>27.99</v>
      </c>
      <c r="D376">
        <v>27.99</v>
      </c>
      <c r="E376" t="s">
        <v>504</v>
      </c>
      <c r="F376" t="s">
        <v>1721</v>
      </c>
      <c r="G376" t="s">
        <v>21</v>
      </c>
      <c r="H376">
        <v>0</v>
      </c>
      <c r="I376" t="s">
        <v>17</v>
      </c>
      <c r="J376" t="s">
        <v>31</v>
      </c>
      <c r="K376">
        <v>9</v>
      </c>
      <c r="O376">
        <v>21.99</v>
      </c>
    </row>
    <row r="377" spans="1:15" x14ac:dyDescent="0.35">
      <c r="A377" t="s">
        <v>505</v>
      </c>
      <c r="B377">
        <v>1</v>
      </c>
      <c r="C377">
        <v>30.99</v>
      </c>
      <c r="D377">
        <v>30.99</v>
      </c>
      <c r="E377" t="s">
        <v>506</v>
      </c>
      <c r="F377" t="s">
        <v>1722</v>
      </c>
      <c r="G377" t="s">
        <v>28</v>
      </c>
      <c r="H377">
        <v>0</v>
      </c>
      <c r="I377" t="s">
        <v>41</v>
      </c>
      <c r="J377" t="s">
        <v>18</v>
      </c>
      <c r="K377">
        <v>10.5</v>
      </c>
      <c r="O377">
        <v>21.99</v>
      </c>
    </row>
    <row r="378" spans="1:15" x14ac:dyDescent="0.35">
      <c r="A378" t="s">
        <v>507</v>
      </c>
      <c r="B378">
        <v>1</v>
      </c>
      <c r="C378">
        <v>18.989999999999998</v>
      </c>
      <c r="D378">
        <v>18.989999999999998</v>
      </c>
      <c r="E378" t="s">
        <v>433</v>
      </c>
      <c r="F378" t="s">
        <v>1723</v>
      </c>
      <c r="G378" t="s">
        <v>87</v>
      </c>
      <c r="H378">
        <v>0</v>
      </c>
      <c r="I378" t="s">
        <v>12</v>
      </c>
      <c r="J378" t="s">
        <v>42</v>
      </c>
      <c r="K378">
        <v>6</v>
      </c>
      <c r="O378">
        <v>21.99</v>
      </c>
    </row>
    <row r="379" spans="1:15" x14ac:dyDescent="0.35">
      <c r="A379" t="s">
        <v>508</v>
      </c>
      <c r="B379">
        <v>1</v>
      </c>
      <c r="C379">
        <v>21.99</v>
      </c>
      <c r="D379">
        <v>21.99</v>
      </c>
      <c r="E379" t="s">
        <v>122</v>
      </c>
      <c r="F379" t="s">
        <v>1724</v>
      </c>
      <c r="G379" t="s">
        <v>21</v>
      </c>
      <c r="H379">
        <v>0</v>
      </c>
      <c r="I379" t="s">
        <v>41</v>
      </c>
      <c r="J379" t="s">
        <v>13</v>
      </c>
      <c r="K379">
        <v>7</v>
      </c>
      <c r="O379">
        <v>21.99</v>
      </c>
    </row>
    <row r="380" spans="1:15" x14ac:dyDescent="0.35">
      <c r="A380" t="s">
        <v>509</v>
      </c>
      <c r="B380">
        <v>1</v>
      </c>
      <c r="C380">
        <v>21.99</v>
      </c>
      <c r="D380">
        <v>21.99</v>
      </c>
      <c r="E380" t="s">
        <v>169</v>
      </c>
      <c r="F380" t="s">
        <v>1725</v>
      </c>
      <c r="G380" t="s">
        <v>16</v>
      </c>
      <c r="H380">
        <v>2</v>
      </c>
      <c r="I380" t="s">
        <v>41</v>
      </c>
      <c r="J380" t="s">
        <v>13</v>
      </c>
      <c r="K380">
        <v>7</v>
      </c>
      <c r="O380">
        <v>21.99</v>
      </c>
    </row>
    <row r="381" spans="1:15" x14ac:dyDescent="0.35">
      <c r="A381" t="s">
        <v>510</v>
      </c>
      <c r="B381">
        <v>3</v>
      </c>
      <c r="C381">
        <v>21.99</v>
      </c>
      <c r="D381">
        <v>52.09</v>
      </c>
      <c r="E381" t="s">
        <v>511</v>
      </c>
      <c r="F381" t="s">
        <v>1726</v>
      </c>
      <c r="G381" t="s">
        <v>16</v>
      </c>
      <c r="H381">
        <v>3</v>
      </c>
      <c r="I381" t="s">
        <v>24</v>
      </c>
      <c r="J381" t="s">
        <v>13</v>
      </c>
      <c r="K381">
        <v>7</v>
      </c>
      <c r="O381">
        <v>84.73</v>
      </c>
    </row>
    <row r="382" spans="1:15" x14ac:dyDescent="0.35">
      <c r="A382" t="s">
        <v>512</v>
      </c>
      <c r="B382">
        <v>1</v>
      </c>
      <c r="C382">
        <v>21.99</v>
      </c>
      <c r="D382">
        <v>21.99</v>
      </c>
      <c r="E382" t="s">
        <v>513</v>
      </c>
      <c r="F382" t="s">
        <v>1727</v>
      </c>
      <c r="G382" t="s">
        <v>28</v>
      </c>
      <c r="H382">
        <v>0</v>
      </c>
      <c r="I382" t="s">
        <v>41</v>
      </c>
      <c r="J382" t="s">
        <v>13</v>
      </c>
      <c r="K382">
        <v>7</v>
      </c>
      <c r="O382">
        <v>21.99</v>
      </c>
    </row>
    <row r="383" spans="1:15" x14ac:dyDescent="0.35">
      <c r="A383" t="s">
        <v>514</v>
      </c>
      <c r="B383">
        <v>1</v>
      </c>
      <c r="C383">
        <v>18.989999999999998</v>
      </c>
      <c r="D383">
        <v>18.989999999999998</v>
      </c>
      <c r="E383" t="s">
        <v>515</v>
      </c>
      <c r="F383" t="s">
        <v>1728</v>
      </c>
      <c r="G383" t="s">
        <v>21</v>
      </c>
      <c r="H383">
        <v>0</v>
      </c>
      <c r="I383" t="s">
        <v>41</v>
      </c>
      <c r="J383" t="s">
        <v>42</v>
      </c>
      <c r="K383">
        <v>6</v>
      </c>
      <c r="O383">
        <v>21.99</v>
      </c>
    </row>
    <row r="384" spans="1:15" x14ac:dyDescent="0.35">
      <c r="A384" t="s">
        <v>516</v>
      </c>
      <c r="B384">
        <v>2</v>
      </c>
      <c r="C384">
        <v>16.989999999999998</v>
      </c>
      <c r="D384">
        <v>29.64</v>
      </c>
      <c r="E384" t="s">
        <v>427</v>
      </c>
      <c r="F384" t="s">
        <v>1717</v>
      </c>
      <c r="G384" t="s">
        <v>16</v>
      </c>
      <c r="H384">
        <v>18</v>
      </c>
      <c r="I384" t="s">
        <v>12</v>
      </c>
      <c r="J384" t="s">
        <v>25</v>
      </c>
      <c r="K384">
        <v>5</v>
      </c>
      <c r="O384">
        <v>37.979999999999997</v>
      </c>
    </row>
    <row r="385" spans="1:15" x14ac:dyDescent="0.35">
      <c r="A385" t="s">
        <v>517</v>
      </c>
      <c r="B385">
        <v>1</v>
      </c>
      <c r="C385">
        <v>18.989999999999998</v>
      </c>
      <c r="D385">
        <v>18.989999999999998</v>
      </c>
      <c r="E385" t="s">
        <v>76</v>
      </c>
      <c r="F385" t="s">
        <v>1718</v>
      </c>
      <c r="G385" t="s">
        <v>28</v>
      </c>
      <c r="H385">
        <v>0</v>
      </c>
      <c r="I385" t="s">
        <v>12</v>
      </c>
      <c r="J385" t="s">
        <v>42</v>
      </c>
      <c r="K385">
        <v>6</v>
      </c>
      <c r="O385">
        <v>21.99</v>
      </c>
    </row>
    <row r="386" spans="1:15" x14ac:dyDescent="0.35">
      <c r="A386" t="s">
        <v>518</v>
      </c>
      <c r="B386">
        <v>1</v>
      </c>
      <c r="C386">
        <v>27.99</v>
      </c>
      <c r="D386">
        <v>27.99</v>
      </c>
      <c r="E386" t="s">
        <v>164</v>
      </c>
      <c r="F386" t="s">
        <v>1719</v>
      </c>
      <c r="G386" t="s">
        <v>16</v>
      </c>
      <c r="H386">
        <v>3</v>
      </c>
      <c r="I386" t="s">
        <v>24</v>
      </c>
      <c r="J386" t="s">
        <v>31</v>
      </c>
      <c r="K386">
        <v>9</v>
      </c>
      <c r="O386">
        <v>21.99</v>
      </c>
    </row>
    <row r="387" spans="1:15" x14ac:dyDescent="0.35">
      <c r="A387" t="s">
        <v>519</v>
      </c>
      <c r="B387">
        <v>3</v>
      </c>
      <c r="C387">
        <v>34.99</v>
      </c>
      <c r="D387">
        <v>82.45</v>
      </c>
      <c r="E387" t="s">
        <v>461</v>
      </c>
      <c r="F387" t="s">
        <v>1720</v>
      </c>
      <c r="G387" t="s">
        <v>16</v>
      </c>
      <c r="H387">
        <v>11</v>
      </c>
      <c r="I387" t="s">
        <v>17</v>
      </c>
      <c r="J387" t="s">
        <v>36</v>
      </c>
      <c r="K387">
        <v>12.5</v>
      </c>
      <c r="O387">
        <v>84.73</v>
      </c>
    </row>
    <row r="388" spans="1:15" x14ac:dyDescent="0.35">
      <c r="A388" t="s">
        <v>520</v>
      </c>
      <c r="B388">
        <v>1</v>
      </c>
      <c r="C388">
        <v>34.99</v>
      </c>
      <c r="D388">
        <v>34.99</v>
      </c>
      <c r="E388" t="s">
        <v>435</v>
      </c>
      <c r="F388" t="s">
        <v>1721</v>
      </c>
      <c r="G388" t="s">
        <v>28</v>
      </c>
      <c r="H388">
        <v>0</v>
      </c>
      <c r="I388" t="s">
        <v>12</v>
      </c>
      <c r="J388" t="s">
        <v>36</v>
      </c>
      <c r="K388">
        <v>12.5</v>
      </c>
      <c r="O388">
        <v>21.99</v>
      </c>
    </row>
    <row r="389" spans="1:15" x14ac:dyDescent="0.35">
      <c r="A389" t="s">
        <v>521</v>
      </c>
      <c r="B389">
        <v>2</v>
      </c>
      <c r="C389">
        <v>21.99</v>
      </c>
      <c r="D389">
        <v>38.020000000000003</v>
      </c>
      <c r="E389" t="s">
        <v>522</v>
      </c>
      <c r="F389" t="s">
        <v>1722</v>
      </c>
      <c r="G389" t="s">
        <v>21</v>
      </c>
      <c r="H389">
        <v>0</v>
      </c>
      <c r="I389" t="s">
        <v>24</v>
      </c>
      <c r="J389" t="s">
        <v>13</v>
      </c>
      <c r="K389">
        <v>7</v>
      </c>
      <c r="O389">
        <v>37.979999999999997</v>
      </c>
    </row>
    <row r="390" spans="1:15" x14ac:dyDescent="0.35">
      <c r="A390" t="s">
        <v>523</v>
      </c>
      <c r="B390">
        <v>1</v>
      </c>
      <c r="C390">
        <v>34.99</v>
      </c>
      <c r="D390">
        <v>34.99</v>
      </c>
      <c r="E390" t="s">
        <v>524</v>
      </c>
      <c r="F390" t="s">
        <v>1723</v>
      </c>
      <c r="G390" t="s">
        <v>16</v>
      </c>
      <c r="H390">
        <v>12</v>
      </c>
      <c r="I390" t="s">
        <v>24</v>
      </c>
      <c r="J390" t="s">
        <v>36</v>
      </c>
      <c r="K390">
        <v>12.5</v>
      </c>
      <c r="O390">
        <v>21.99</v>
      </c>
    </row>
    <row r="391" spans="1:15" x14ac:dyDescent="0.35">
      <c r="A391" t="s">
        <v>525</v>
      </c>
      <c r="B391">
        <v>1</v>
      </c>
      <c r="C391">
        <v>16.989999999999998</v>
      </c>
      <c r="D391">
        <v>16.989999999999998</v>
      </c>
      <c r="E391" t="s">
        <v>72</v>
      </c>
      <c r="F391" t="s">
        <v>1724</v>
      </c>
      <c r="G391" t="s">
        <v>21</v>
      </c>
      <c r="H391">
        <v>0</v>
      </c>
      <c r="I391" t="s">
        <v>12</v>
      </c>
      <c r="J391" t="s">
        <v>25</v>
      </c>
      <c r="K391">
        <v>5</v>
      </c>
      <c r="O391">
        <v>21.99</v>
      </c>
    </row>
    <row r="392" spans="1:15" x14ac:dyDescent="0.35">
      <c r="A392" t="s">
        <v>526</v>
      </c>
      <c r="B392">
        <v>1</v>
      </c>
      <c r="C392">
        <v>16.989999999999998</v>
      </c>
      <c r="D392">
        <v>16.989999999999998</v>
      </c>
      <c r="E392" t="s">
        <v>527</v>
      </c>
      <c r="F392" t="s">
        <v>1725</v>
      </c>
      <c r="G392" t="s">
        <v>16</v>
      </c>
      <c r="H392">
        <v>20</v>
      </c>
      <c r="I392" t="s">
        <v>12</v>
      </c>
      <c r="J392" t="s">
        <v>25</v>
      </c>
      <c r="K392">
        <v>5</v>
      </c>
      <c r="O392">
        <v>21.99</v>
      </c>
    </row>
    <row r="393" spans="1:15" x14ac:dyDescent="0.35">
      <c r="A393" t="s">
        <v>528</v>
      </c>
      <c r="B393">
        <v>1</v>
      </c>
      <c r="C393">
        <v>21.99</v>
      </c>
      <c r="D393">
        <v>21.99</v>
      </c>
      <c r="E393" t="s">
        <v>529</v>
      </c>
      <c r="F393" t="s">
        <v>1726</v>
      </c>
      <c r="G393" t="s">
        <v>16</v>
      </c>
      <c r="H393">
        <v>3</v>
      </c>
      <c r="I393" t="s">
        <v>41</v>
      </c>
      <c r="J393" t="s">
        <v>13</v>
      </c>
      <c r="K393">
        <v>7</v>
      </c>
      <c r="O393">
        <v>21.99</v>
      </c>
    </row>
    <row r="394" spans="1:15" x14ac:dyDescent="0.35">
      <c r="A394" t="s">
        <v>530</v>
      </c>
      <c r="B394">
        <v>1</v>
      </c>
      <c r="C394">
        <v>18.989999999999998</v>
      </c>
      <c r="D394">
        <v>18.989999999999998</v>
      </c>
      <c r="E394" t="s">
        <v>531</v>
      </c>
      <c r="F394" t="s">
        <v>1727</v>
      </c>
      <c r="G394" t="s">
        <v>16</v>
      </c>
      <c r="H394">
        <v>15</v>
      </c>
      <c r="I394" t="s">
        <v>17</v>
      </c>
      <c r="J394" t="s">
        <v>42</v>
      </c>
      <c r="K394">
        <v>6</v>
      </c>
      <c r="O394">
        <v>21.99</v>
      </c>
    </row>
    <row r="395" spans="1:15" x14ac:dyDescent="0.35">
      <c r="A395" t="s">
        <v>532</v>
      </c>
      <c r="B395">
        <v>1</v>
      </c>
      <c r="C395">
        <v>27.99</v>
      </c>
      <c r="D395">
        <v>27.99</v>
      </c>
      <c r="E395" t="s">
        <v>433</v>
      </c>
      <c r="F395" t="s">
        <v>1728</v>
      </c>
      <c r="G395" t="s">
        <v>16</v>
      </c>
      <c r="H395">
        <v>6</v>
      </c>
      <c r="I395" t="s">
        <v>12</v>
      </c>
      <c r="J395" t="s">
        <v>31</v>
      </c>
      <c r="K395">
        <v>9</v>
      </c>
      <c r="O395">
        <v>21.99</v>
      </c>
    </row>
    <row r="396" spans="1:15" x14ac:dyDescent="0.35">
      <c r="A396" t="s">
        <v>533</v>
      </c>
      <c r="B396">
        <v>1</v>
      </c>
      <c r="C396">
        <v>34.99</v>
      </c>
      <c r="D396">
        <v>34.99</v>
      </c>
      <c r="E396" t="s">
        <v>534</v>
      </c>
      <c r="F396" t="s">
        <v>1717</v>
      </c>
      <c r="G396" t="s">
        <v>16</v>
      </c>
      <c r="H396">
        <v>8</v>
      </c>
      <c r="I396" t="s">
        <v>24</v>
      </c>
      <c r="J396" t="s">
        <v>36</v>
      </c>
      <c r="K396">
        <v>12.5</v>
      </c>
      <c r="O396">
        <v>21.99</v>
      </c>
    </row>
    <row r="397" spans="1:15" x14ac:dyDescent="0.35">
      <c r="A397" t="s">
        <v>535</v>
      </c>
      <c r="B397">
        <v>1</v>
      </c>
      <c r="C397">
        <v>34.99</v>
      </c>
      <c r="D397">
        <v>34.99</v>
      </c>
      <c r="E397" t="s">
        <v>536</v>
      </c>
      <c r="F397" t="s">
        <v>1718</v>
      </c>
      <c r="G397" t="s">
        <v>21</v>
      </c>
      <c r="H397">
        <v>0</v>
      </c>
      <c r="I397" t="s">
        <v>41</v>
      </c>
      <c r="J397" t="s">
        <v>36</v>
      </c>
      <c r="K397">
        <v>12.5</v>
      </c>
      <c r="O397">
        <v>21.99</v>
      </c>
    </row>
    <row r="398" spans="1:15" x14ac:dyDescent="0.35">
      <c r="A398" t="s">
        <v>537</v>
      </c>
      <c r="B398">
        <v>1</v>
      </c>
      <c r="C398">
        <v>21.99</v>
      </c>
      <c r="D398">
        <v>21.99</v>
      </c>
      <c r="E398" t="s">
        <v>449</v>
      </c>
      <c r="F398" t="s">
        <v>1719</v>
      </c>
      <c r="G398" t="s">
        <v>16</v>
      </c>
      <c r="H398">
        <v>3</v>
      </c>
      <c r="I398" t="s">
        <v>17</v>
      </c>
      <c r="J398" t="s">
        <v>13</v>
      </c>
      <c r="K398">
        <v>7</v>
      </c>
      <c r="O398">
        <v>21.99</v>
      </c>
    </row>
    <row r="399" spans="1:15" x14ac:dyDescent="0.35">
      <c r="A399" t="s">
        <v>538</v>
      </c>
      <c r="B399">
        <v>1</v>
      </c>
      <c r="C399">
        <v>34.99</v>
      </c>
      <c r="D399">
        <v>34.99</v>
      </c>
      <c r="E399" t="s">
        <v>539</v>
      </c>
      <c r="F399" t="s">
        <v>1720</v>
      </c>
      <c r="G399" t="s">
        <v>87</v>
      </c>
      <c r="H399">
        <v>0</v>
      </c>
      <c r="I399" t="s">
        <v>24</v>
      </c>
      <c r="J399" t="s">
        <v>36</v>
      </c>
      <c r="K399">
        <v>12.5</v>
      </c>
      <c r="O399">
        <v>21.99</v>
      </c>
    </row>
    <row r="400" spans="1:15" x14ac:dyDescent="0.35">
      <c r="A400" t="s">
        <v>540</v>
      </c>
      <c r="B400">
        <v>3</v>
      </c>
      <c r="C400">
        <v>18.989999999999998</v>
      </c>
      <c r="D400">
        <v>44.82</v>
      </c>
      <c r="E400" t="s">
        <v>541</v>
      </c>
      <c r="F400" t="s">
        <v>1721</v>
      </c>
      <c r="G400" t="s">
        <v>28</v>
      </c>
      <c r="H400">
        <v>0</v>
      </c>
      <c r="I400" t="s">
        <v>24</v>
      </c>
      <c r="J400" t="s">
        <v>42</v>
      </c>
      <c r="K400">
        <v>6</v>
      </c>
      <c r="O400">
        <v>84.73</v>
      </c>
    </row>
    <row r="401" spans="1:15" x14ac:dyDescent="0.35">
      <c r="A401" t="s">
        <v>542</v>
      </c>
      <c r="B401">
        <v>1</v>
      </c>
      <c r="C401">
        <v>27.99</v>
      </c>
      <c r="D401">
        <v>27.99</v>
      </c>
      <c r="E401" t="s">
        <v>543</v>
      </c>
      <c r="F401" t="s">
        <v>1722</v>
      </c>
      <c r="G401" t="s">
        <v>21</v>
      </c>
      <c r="H401">
        <v>0</v>
      </c>
      <c r="I401" t="s">
        <v>17</v>
      </c>
      <c r="J401" t="s">
        <v>31</v>
      </c>
      <c r="K401">
        <v>9</v>
      </c>
      <c r="O401">
        <v>21.99</v>
      </c>
    </row>
    <row r="402" spans="1:15" x14ac:dyDescent="0.35">
      <c r="A402" t="s">
        <v>544</v>
      </c>
      <c r="B402">
        <v>1</v>
      </c>
      <c r="C402">
        <v>18.989999999999998</v>
      </c>
      <c r="D402">
        <v>18.989999999999998</v>
      </c>
      <c r="E402" t="s">
        <v>33</v>
      </c>
      <c r="F402" t="s">
        <v>1723</v>
      </c>
      <c r="G402" t="s">
        <v>87</v>
      </c>
      <c r="H402">
        <v>0</v>
      </c>
      <c r="I402" t="s">
        <v>12</v>
      </c>
      <c r="J402" t="s">
        <v>42</v>
      </c>
      <c r="K402">
        <v>6</v>
      </c>
      <c r="O402">
        <v>21.99</v>
      </c>
    </row>
    <row r="403" spans="1:15" x14ac:dyDescent="0.35">
      <c r="A403" t="s">
        <v>545</v>
      </c>
      <c r="B403">
        <v>1</v>
      </c>
      <c r="C403">
        <v>27.99</v>
      </c>
      <c r="D403">
        <v>27.99</v>
      </c>
      <c r="E403" t="s">
        <v>122</v>
      </c>
      <c r="F403" t="s">
        <v>1724</v>
      </c>
      <c r="G403" t="s">
        <v>16</v>
      </c>
      <c r="H403">
        <v>8</v>
      </c>
      <c r="I403" t="s">
        <v>12</v>
      </c>
      <c r="J403" t="s">
        <v>31</v>
      </c>
      <c r="K403">
        <v>9</v>
      </c>
      <c r="O403">
        <v>21.99</v>
      </c>
    </row>
    <row r="404" spans="1:15" x14ac:dyDescent="0.35">
      <c r="A404" t="s">
        <v>546</v>
      </c>
      <c r="B404">
        <v>1</v>
      </c>
      <c r="C404">
        <v>27.99</v>
      </c>
      <c r="D404">
        <v>27.99</v>
      </c>
      <c r="E404" t="s">
        <v>547</v>
      </c>
      <c r="F404" t="s">
        <v>1725</v>
      </c>
      <c r="G404" t="s">
        <v>21</v>
      </c>
      <c r="H404">
        <v>0</v>
      </c>
      <c r="I404" t="s">
        <v>17</v>
      </c>
      <c r="J404" t="s">
        <v>31</v>
      </c>
      <c r="K404">
        <v>9</v>
      </c>
      <c r="O404">
        <v>21.99</v>
      </c>
    </row>
    <row r="405" spans="1:15" x14ac:dyDescent="0.35">
      <c r="A405" t="s">
        <v>548</v>
      </c>
      <c r="B405">
        <v>3</v>
      </c>
      <c r="C405">
        <v>30.99</v>
      </c>
      <c r="D405">
        <v>74.33</v>
      </c>
      <c r="E405" t="s">
        <v>549</v>
      </c>
      <c r="F405" t="s">
        <v>1726</v>
      </c>
      <c r="G405" t="s">
        <v>28</v>
      </c>
      <c r="H405">
        <v>0</v>
      </c>
      <c r="I405" t="s">
        <v>12</v>
      </c>
      <c r="J405" t="s">
        <v>18</v>
      </c>
      <c r="K405">
        <v>10.5</v>
      </c>
      <c r="O405">
        <v>84.73</v>
      </c>
    </row>
    <row r="406" spans="1:15" x14ac:dyDescent="0.35">
      <c r="A406" t="s">
        <v>550</v>
      </c>
      <c r="B406">
        <v>1</v>
      </c>
      <c r="C406">
        <v>34.99</v>
      </c>
      <c r="D406">
        <v>34.99</v>
      </c>
      <c r="E406" t="s">
        <v>551</v>
      </c>
      <c r="F406" t="s">
        <v>1727</v>
      </c>
      <c r="G406" t="s">
        <v>16</v>
      </c>
      <c r="H406">
        <v>8</v>
      </c>
      <c r="I406" t="s">
        <v>17</v>
      </c>
      <c r="J406" t="s">
        <v>36</v>
      </c>
      <c r="K406">
        <v>12.5</v>
      </c>
      <c r="O406">
        <v>21.99</v>
      </c>
    </row>
    <row r="407" spans="1:15" x14ac:dyDescent="0.35">
      <c r="A407" t="s">
        <v>552</v>
      </c>
      <c r="B407">
        <v>1</v>
      </c>
      <c r="C407">
        <v>30.99</v>
      </c>
      <c r="D407">
        <v>30.99</v>
      </c>
      <c r="E407" t="s">
        <v>94</v>
      </c>
      <c r="F407" t="s">
        <v>1728</v>
      </c>
      <c r="G407" t="s">
        <v>16</v>
      </c>
      <c r="H407">
        <v>3</v>
      </c>
      <c r="I407" t="s">
        <v>12</v>
      </c>
      <c r="J407" t="s">
        <v>18</v>
      </c>
      <c r="K407">
        <v>10.5</v>
      </c>
      <c r="O407">
        <v>21.99</v>
      </c>
    </row>
    <row r="408" spans="1:15" x14ac:dyDescent="0.35">
      <c r="A408" t="s">
        <v>553</v>
      </c>
      <c r="B408">
        <v>1</v>
      </c>
      <c r="C408">
        <v>30.99</v>
      </c>
      <c r="D408">
        <v>30.99</v>
      </c>
      <c r="E408" t="s">
        <v>176</v>
      </c>
      <c r="F408" t="s">
        <v>1717</v>
      </c>
      <c r="G408" t="s">
        <v>21</v>
      </c>
      <c r="H408">
        <v>0</v>
      </c>
      <c r="I408" t="s">
        <v>24</v>
      </c>
      <c r="J408" t="s">
        <v>18</v>
      </c>
      <c r="K408">
        <v>10.5</v>
      </c>
      <c r="O408">
        <v>21.99</v>
      </c>
    </row>
    <row r="409" spans="1:15" x14ac:dyDescent="0.35">
      <c r="A409" t="s">
        <v>554</v>
      </c>
      <c r="B409">
        <v>1</v>
      </c>
      <c r="C409">
        <v>27.99</v>
      </c>
      <c r="D409">
        <v>27.99</v>
      </c>
      <c r="E409" t="s">
        <v>54</v>
      </c>
      <c r="F409" t="s">
        <v>1718</v>
      </c>
      <c r="G409" t="s">
        <v>16</v>
      </c>
      <c r="H409">
        <v>3</v>
      </c>
      <c r="I409" t="s">
        <v>17</v>
      </c>
      <c r="J409" t="s">
        <v>31</v>
      </c>
      <c r="K409">
        <v>9</v>
      </c>
      <c r="O409">
        <v>21.99</v>
      </c>
    </row>
    <row r="410" spans="1:15" x14ac:dyDescent="0.35">
      <c r="A410" t="s">
        <v>555</v>
      </c>
      <c r="B410">
        <v>1</v>
      </c>
      <c r="C410">
        <v>18.989999999999998</v>
      </c>
      <c r="D410">
        <v>18.989999999999998</v>
      </c>
      <c r="E410" t="s">
        <v>556</v>
      </c>
      <c r="F410" t="s">
        <v>1719</v>
      </c>
      <c r="G410" t="s">
        <v>11</v>
      </c>
      <c r="H410">
        <v>13</v>
      </c>
      <c r="I410" t="s">
        <v>41</v>
      </c>
      <c r="J410" t="s">
        <v>42</v>
      </c>
      <c r="K410">
        <v>6</v>
      </c>
      <c r="O410">
        <v>21.99</v>
      </c>
    </row>
    <row r="411" spans="1:15" x14ac:dyDescent="0.35">
      <c r="A411" t="s">
        <v>557</v>
      </c>
      <c r="B411">
        <v>1</v>
      </c>
      <c r="C411">
        <v>18.989999999999998</v>
      </c>
      <c r="D411">
        <v>18.989999999999998</v>
      </c>
      <c r="E411" t="s">
        <v>558</v>
      </c>
      <c r="F411" t="s">
        <v>1720</v>
      </c>
      <c r="G411" t="s">
        <v>16</v>
      </c>
      <c r="H411">
        <v>13</v>
      </c>
      <c r="I411" t="s">
        <v>24</v>
      </c>
      <c r="J411" t="s">
        <v>42</v>
      </c>
      <c r="K411">
        <v>6</v>
      </c>
      <c r="O411">
        <v>21.99</v>
      </c>
    </row>
    <row r="412" spans="1:15" x14ac:dyDescent="0.35">
      <c r="A412" t="s">
        <v>559</v>
      </c>
      <c r="B412">
        <v>1</v>
      </c>
      <c r="C412">
        <v>34.99</v>
      </c>
      <c r="D412">
        <v>34.99</v>
      </c>
      <c r="E412" t="s">
        <v>35</v>
      </c>
      <c r="F412" t="s">
        <v>1721</v>
      </c>
      <c r="G412" t="s">
        <v>21</v>
      </c>
      <c r="H412">
        <v>0</v>
      </c>
      <c r="I412" t="s">
        <v>41</v>
      </c>
      <c r="J412" t="s">
        <v>36</v>
      </c>
      <c r="K412">
        <v>12.5</v>
      </c>
      <c r="O412">
        <v>21.99</v>
      </c>
    </row>
    <row r="413" spans="1:15" x14ac:dyDescent="0.35">
      <c r="A413" t="s">
        <v>560</v>
      </c>
      <c r="B413">
        <v>3</v>
      </c>
      <c r="C413">
        <v>27.99</v>
      </c>
      <c r="D413">
        <v>67.569999999999993</v>
      </c>
      <c r="E413" t="s">
        <v>214</v>
      </c>
      <c r="F413" t="s">
        <v>1722</v>
      </c>
      <c r="G413" t="s">
        <v>16</v>
      </c>
      <c r="H413">
        <v>2</v>
      </c>
      <c r="I413" t="s">
        <v>24</v>
      </c>
      <c r="J413" t="s">
        <v>31</v>
      </c>
      <c r="K413">
        <v>9</v>
      </c>
      <c r="O413">
        <v>84.73</v>
      </c>
    </row>
    <row r="414" spans="1:15" x14ac:dyDescent="0.35">
      <c r="A414" t="s">
        <v>561</v>
      </c>
      <c r="B414">
        <v>3</v>
      </c>
      <c r="C414">
        <v>30.99</v>
      </c>
      <c r="D414">
        <v>73.459999999999994</v>
      </c>
      <c r="E414" t="s">
        <v>562</v>
      </c>
      <c r="F414" t="s">
        <v>1723</v>
      </c>
      <c r="G414" t="s">
        <v>16</v>
      </c>
      <c r="H414">
        <v>3</v>
      </c>
      <c r="I414" t="s">
        <v>24</v>
      </c>
      <c r="J414" t="s">
        <v>18</v>
      </c>
      <c r="K414">
        <v>10.5</v>
      </c>
      <c r="O414">
        <v>84.73</v>
      </c>
    </row>
    <row r="415" spans="1:15" x14ac:dyDescent="0.35">
      <c r="A415" t="s">
        <v>563</v>
      </c>
      <c r="B415">
        <v>1</v>
      </c>
      <c r="C415">
        <v>21.99</v>
      </c>
      <c r="D415">
        <v>21.99</v>
      </c>
      <c r="E415" s="6">
        <v>46323</v>
      </c>
      <c r="F415" t="s">
        <v>1724</v>
      </c>
      <c r="G415" t="s">
        <v>16</v>
      </c>
      <c r="H415">
        <v>3</v>
      </c>
      <c r="I415" t="s">
        <v>24</v>
      </c>
      <c r="J415" t="s">
        <v>13</v>
      </c>
      <c r="K415">
        <v>7</v>
      </c>
      <c r="O415">
        <v>21.99</v>
      </c>
    </row>
    <row r="416" spans="1:15" x14ac:dyDescent="0.35">
      <c r="A416" t="s">
        <v>564</v>
      </c>
      <c r="B416">
        <v>2</v>
      </c>
      <c r="C416">
        <v>27.99</v>
      </c>
      <c r="D416">
        <v>48.29</v>
      </c>
      <c r="E416" t="s">
        <v>565</v>
      </c>
      <c r="F416" t="s">
        <v>1725</v>
      </c>
      <c r="G416" t="s">
        <v>16</v>
      </c>
      <c r="H416">
        <v>8</v>
      </c>
      <c r="I416" t="s">
        <v>24</v>
      </c>
      <c r="J416" t="s">
        <v>31</v>
      </c>
      <c r="K416">
        <v>9</v>
      </c>
      <c r="O416">
        <v>37.979999999999997</v>
      </c>
    </row>
    <row r="417" spans="1:15" x14ac:dyDescent="0.35">
      <c r="A417" t="s">
        <v>566</v>
      </c>
      <c r="B417">
        <v>1</v>
      </c>
      <c r="C417">
        <v>34.99</v>
      </c>
      <c r="D417">
        <v>34.99</v>
      </c>
      <c r="E417" t="s">
        <v>567</v>
      </c>
      <c r="F417" t="s">
        <v>1726</v>
      </c>
      <c r="G417" t="s">
        <v>16</v>
      </c>
      <c r="H417">
        <v>8</v>
      </c>
      <c r="I417" t="s">
        <v>12</v>
      </c>
      <c r="J417" t="s">
        <v>36</v>
      </c>
      <c r="K417">
        <v>12.5</v>
      </c>
      <c r="O417">
        <v>21.99</v>
      </c>
    </row>
    <row r="418" spans="1:15" x14ac:dyDescent="0.35">
      <c r="A418" t="s">
        <v>568</v>
      </c>
      <c r="B418">
        <v>1</v>
      </c>
      <c r="C418">
        <v>21.99</v>
      </c>
      <c r="D418">
        <v>21.99</v>
      </c>
      <c r="E418" t="s">
        <v>118</v>
      </c>
      <c r="F418" t="s">
        <v>1727</v>
      </c>
      <c r="G418" t="s">
        <v>16</v>
      </c>
      <c r="H418">
        <v>7</v>
      </c>
      <c r="I418" t="s">
        <v>17</v>
      </c>
      <c r="J418" t="s">
        <v>13</v>
      </c>
      <c r="K418">
        <v>7</v>
      </c>
      <c r="O418">
        <v>21.99</v>
      </c>
    </row>
    <row r="419" spans="1:15" x14ac:dyDescent="0.35">
      <c r="A419" t="s">
        <v>569</v>
      </c>
      <c r="B419">
        <v>1</v>
      </c>
      <c r="C419">
        <v>30.99</v>
      </c>
      <c r="D419">
        <v>30.99</v>
      </c>
      <c r="E419" t="s">
        <v>570</v>
      </c>
      <c r="F419" t="s">
        <v>1728</v>
      </c>
      <c r="G419" t="s">
        <v>16</v>
      </c>
      <c r="H419">
        <v>4</v>
      </c>
      <c r="I419" t="s">
        <v>12</v>
      </c>
      <c r="J419" t="s">
        <v>18</v>
      </c>
      <c r="K419">
        <v>10.5</v>
      </c>
      <c r="O419">
        <v>21.99</v>
      </c>
    </row>
    <row r="420" spans="1:15" x14ac:dyDescent="0.35">
      <c r="A420" t="s">
        <v>571</v>
      </c>
      <c r="B420">
        <v>1</v>
      </c>
      <c r="C420">
        <v>16.989999999999998</v>
      </c>
      <c r="D420">
        <v>16.989999999999998</v>
      </c>
      <c r="E420" t="s">
        <v>166</v>
      </c>
      <c r="F420" t="s">
        <v>1717</v>
      </c>
      <c r="G420" t="s">
        <v>16</v>
      </c>
      <c r="H420">
        <v>19</v>
      </c>
      <c r="I420" t="s">
        <v>12</v>
      </c>
      <c r="J420" t="s">
        <v>25</v>
      </c>
      <c r="K420">
        <v>5</v>
      </c>
      <c r="O420">
        <v>21.99</v>
      </c>
    </row>
    <row r="421" spans="1:15" x14ac:dyDescent="0.35">
      <c r="A421" t="s">
        <v>572</v>
      </c>
      <c r="B421">
        <v>1</v>
      </c>
      <c r="C421">
        <v>16.989999999999998</v>
      </c>
      <c r="D421">
        <v>16.989999999999998</v>
      </c>
      <c r="E421" t="s">
        <v>573</v>
      </c>
      <c r="F421" t="s">
        <v>1718</v>
      </c>
      <c r="G421" t="s">
        <v>16</v>
      </c>
      <c r="H421">
        <v>18</v>
      </c>
      <c r="I421" t="s">
        <v>17</v>
      </c>
      <c r="J421" t="s">
        <v>25</v>
      </c>
      <c r="K421">
        <v>5</v>
      </c>
      <c r="O421">
        <v>21.99</v>
      </c>
    </row>
    <row r="422" spans="1:15" x14ac:dyDescent="0.35">
      <c r="A422" t="s">
        <v>574</v>
      </c>
      <c r="B422">
        <v>3</v>
      </c>
      <c r="C422">
        <v>21.99</v>
      </c>
      <c r="D422">
        <v>52.35</v>
      </c>
      <c r="E422" t="s">
        <v>575</v>
      </c>
      <c r="F422" t="s">
        <v>1719</v>
      </c>
      <c r="G422" t="s">
        <v>21</v>
      </c>
      <c r="H422">
        <v>0</v>
      </c>
      <c r="I422" t="s">
        <v>17</v>
      </c>
      <c r="J422" t="s">
        <v>13</v>
      </c>
      <c r="K422">
        <v>7</v>
      </c>
      <c r="O422">
        <v>84.73</v>
      </c>
    </row>
    <row r="423" spans="1:15" x14ac:dyDescent="0.35">
      <c r="A423" t="s">
        <v>576</v>
      </c>
      <c r="B423">
        <v>1</v>
      </c>
      <c r="C423">
        <v>21.99</v>
      </c>
      <c r="D423">
        <v>21.99</v>
      </c>
      <c r="E423" t="s">
        <v>577</v>
      </c>
      <c r="F423" t="s">
        <v>1720</v>
      </c>
      <c r="G423" t="s">
        <v>16</v>
      </c>
      <c r="H423">
        <v>3</v>
      </c>
      <c r="I423" t="s">
        <v>12</v>
      </c>
      <c r="J423" t="s">
        <v>13</v>
      </c>
      <c r="K423">
        <v>7</v>
      </c>
      <c r="O423">
        <v>21.99</v>
      </c>
    </row>
    <row r="424" spans="1:15" x14ac:dyDescent="0.35">
      <c r="A424" t="s">
        <v>578</v>
      </c>
      <c r="B424">
        <v>1</v>
      </c>
      <c r="C424">
        <v>18.989999999999998</v>
      </c>
      <c r="D424">
        <v>18.989999999999998</v>
      </c>
      <c r="E424" t="s">
        <v>579</v>
      </c>
      <c r="F424" t="s">
        <v>1721</v>
      </c>
      <c r="G424" t="s">
        <v>16</v>
      </c>
      <c r="H424">
        <v>11</v>
      </c>
      <c r="I424" t="s">
        <v>17</v>
      </c>
      <c r="J424" t="s">
        <v>42</v>
      </c>
      <c r="K424">
        <v>6</v>
      </c>
      <c r="O424">
        <v>21.99</v>
      </c>
    </row>
    <row r="425" spans="1:15" x14ac:dyDescent="0.35">
      <c r="A425" t="s">
        <v>580</v>
      </c>
      <c r="B425">
        <v>1</v>
      </c>
      <c r="C425">
        <v>27.99</v>
      </c>
      <c r="D425">
        <v>27.99</v>
      </c>
      <c r="E425" t="s">
        <v>44</v>
      </c>
      <c r="F425" t="s">
        <v>1722</v>
      </c>
      <c r="G425" t="s">
        <v>16</v>
      </c>
      <c r="H425">
        <v>2</v>
      </c>
      <c r="I425" t="s">
        <v>17</v>
      </c>
      <c r="J425" t="s">
        <v>31</v>
      </c>
      <c r="K425">
        <v>9</v>
      </c>
      <c r="O425">
        <v>21.99</v>
      </c>
    </row>
    <row r="426" spans="1:15" x14ac:dyDescent="0.35">
      <c r="A426" t="s">
        <v>581</v>
      </c>
      <c r="B426">
        <v>2</v>
      </c>
      <c r="C426">
        <v>30.99</v>
      </c>
      <c r="D426">
        <v>53.58</v>
      </c>
      <c r="E426" t="s">
        <v>582</v>
      </c>
      <c r="F426" t="s">
        <v>1723</v>
      </c>
      <c r="G426" t="s">
        <v>21</v>
      </c>
      <c r="H426">
        <v>0</v>
      </c>
      <c r="I426" t="s">
        <v>17</v>
      </c>
      <c r="J426" t="s">
        <v>18</v>
      </c>
      <c r="K426">
        <v>10.5</v>
      </c>
      <c r="O426">
        <v>37.979999999999997</v>
      </c>
    </row>
    <row r="427" spans="1:15" x14ac:dyDescent="0.35">
      <c r="A427" t="s">
        <v>583</v>
      </c>
      <c r="B427">
        <v>1</v>
      </c>
      <c r="C427">
        <v>30.99</v>
      </c>
      <c r="D427">
        <v>30.99</v>
      </c>
      <c r="E427" t="s">
        <v>536</v>
      </c>
      <c r="F427" t="s">
        <v>1724</v>
      </c>
      <c r="G427" t="s">
        <v>11</v>
      </c>
      <c r="H427">
        <v>2</v>
      </c>
      <c r="I427" t="s">
        <v>41</v>
      </c>
      <c r="J427" t="s">
        <v>18</v>
      </c>
      <c r="K427">
        <v>10.5</v>
      </c>
      <c r="O427">
        <v>21.99</v>
      </c>
    </row>
    <row r="428" spans="1:15" x14ac:dyDescent="0.35">
      <c r="A428" t="s">
        <v>584</v>
      </c>
      <c r="B428">
        <v>1</v>
      </c>
      <c r="C428">
        <v>27.99</v>
      </c>
      <c r="D428">
        <v>27.99</v>
      </c>
      <c r="E428" t="s">
        <v>433</v>
      </c>
      <c r="F428" t="s">
        <v>1725</v>
      </c>
      <c r="G428" t="s">
        <v>16</v>
      </c>
      <c r="H428">
        <v>2</v>
      </c>
      <c r="I428" t="s">
        <v>41</v>
      </c>
      <c r="J428" t="s">
        <v>31</v>
      </c>
      <c r="K428">
        <v>9</v>
      </c>
      <c r="O428">
        <v>21.99</v>
      </c>
    </row>
    <row r="429" spans="1:15" x14ac:dyDescent="0.35">
      <c r="A429" t="s">
        <v>585</v>
      </c>
      <c r="B429">
        <v>1</v>
      </c>
      <c r="C429">
        <v>21.99</v>
      </c>
      <c r="D429">
        <v>21.99</v>
      </c>
      <c r="E429" t="s">
        <v>511</v>
      </c>
      <c r="F429" t="s">
        <v>1726</v>
      </c>
      <c r="G429" t="s">
        <v>16</v>
      </c>
      <c r="H429">
        <v>2</v>
      </c>
      <c r="I429" t="s">
        <v>17</v>
      </c>
      <c r="J429" t="s">
        <v>13</v>
      </c>
      <c r="K429">
        <v>7</v>
      </c>
      <c r="O429">
        <v>21.99</v>
      </c>
    </row>
    <row r="430" spans="1:15" x14ac:dyDescent="0.35">
      <c r="A430" t="s">
        <v>586</v>
      </c>
      <c r="B430">
        <v>1</v>
      </c>
      <c r="C430">
        <v>18.989999999999998</v>
      </c>
      <c r="D430">
        <v>18.989999999999998</v>
      </c>
      <c r="E430" t="s">
        <v>587</v>
      </c>
      <c r="F430" t="s">
        <v>1727</v>
      </c>
      <c r="G430" t="s">
        <v>21</v>
      </c>
      <c r="H430">
        <v>0</v>
      </c>
      <c r="I430" t="s">
        <v>12</v>
      </c>
      <c r="J430" t="s">
        <v>42</v>
      </c>
      <c r="K430">
        <v>6</v>
      </c>
      <c r="O430">
        <v>21.99</v>
      </c>
    </row>
    <row r="431" spans="1:15" x14ac:dyDescent="0.35">
      <c r="A431" t="s">
        <v>588</v>
      </c>
      <c r="B431">
        <v>3</v>
      </c>
      <c r="C431">
        <v>30.99</v>
      </c>
      <c r="D431">
        <v>73.31</v>
      </c>
      <c r="E431" t="s">
        <v>589</v>
      </c>
      <c r="F431" t="s">
        <v>1728</v>
      </c>
      <c r="G431" t="s">
        <v>28</v>
      </c>
      <c r="H431">
        <v>0</v>
      </c>
      <c r="I431" t="s">
        <v>41</v>
      </c>
      <c r="J431" t="s">
        <v>18</v>
      </c>
      <c r="K431">
        <v>10.5</v>
      </c>
      <c r="O431">
        <v>84.73</v>
      </c>
    </row>
    <row r="432" spans="1:15" x14ac:dyDescent="0.35">
      <c r="A432" t="s">
        <v>590</v>
      </c>
      <c r="B432">
        <v>1</v>
      </c>
      <c r="C432">
        <v>16.989999999999998</v>
      </c>
      <c r="D432">
        <v>16.989999999999998</v>
      </c>
      <c r="E432" t="s">
        <v>82</v>
      </c>
      <c r="F432" t="s">
        <v>1717</v>
      </c>
      <c r="G432" t="s">
        <v>21</v>
      </c>
      <c r="H432">
        <v>0</v>
      </c>
      <c r="I432" t="s">
        <v>12</v>
      </c>
      <c r="J432" t="s">
        <v>25</v>
      </c>
      <c r="K432">
        <v>5</v>
      </c>
      <c r="O432">
        <v>21.99</v>
      </c>
    </row>
    <row r="433" spans="1:15" x14ac:dyDescent="0.35">
      <c r="A433" t="s">
        <v>591</v>
      </c>
      <c r="B433">
        <v>1</v>
      </c>
      <c r="C433">
        <v>30.99</v>
      </c>
      <c r="D433">
        <v>30.99</v>
      </c>
      <c r="E433" t="s">
        <v>120</v>
      </c>
      <c r="F433" t="s">
        <v>1718</v>
      </c>
      <c r="G433" t="s">
        <v>21</v>
      </c>
      <c r="H433">
        <v>0</v>
      </c>
      <c r="I433" t="s">
        <v>41</v>
      </c>
      <c r="J433" t="s">
        <v>18</v>
      </c>
      <c r="K433">
        <v>10.5</v>
      </c>
      <c r="O433">
        <v>21.99</v>
      </c>
    </row>
    <row r="434" spans="1:15" x14ac:dyDescent="0.35">
      <c r="A434" t="s">
        <v>592</v>
      </c>
      <c r="B434">
        <v>1</v>
      </c>
      <c r="C434">
        <v>18.989999999999998</v>
      </c>
      <c r="D434">
        <v>18.989999999999998</v>
      </c>
      <c r="E434" t="s">
        <v>593</v>
      </c>
      <c r="F434" t="s">
        <v>1719</v>
      </c>
      <c r="G434" t="s">
        <v>16</v>
      </c>
      <c r="H434">
        <v>17</v>
      </c>
      <c r="I434" t="s">
        <v>17</v>
      </c>
      <c r="J434" t="s">
        <v>42</v>
      </c>
      <c r="K434">
        <v>6</v>
      </c>
      <c r="O434">
        <v>21.99</v>
      </c>
    </row>
    <row r="435" spans="1:15" x14ac:dyDescent="0.35">
      <c r="A435" t="s">
        <v>594</v>
      </c>
      <c r="B435">
        <v>1</v>
      </c>
      <c r="C435">
        <v>18.989999999999998</v>
      </c>
      <c r="D435">
        <v>18.989999999999998</v>
      </c>
      <c r="E435" t="s">
        <v>595</v>
      </c>
      <c r="F435" t="s">
        <v>1720</v>
      </c>
      <c r="G435" t="s">
        <v>21</v>
      </c>
      <c r="H435">
        <v>0</v>
      </c>
      <c r="I435" t="s">
        <v>41</v>
      </c>
      <c r="J435" t="s">
        <v>42</v>
      </c>
      <c r="K435">
        <v>6</v>
      </c>
      <c r="O435">
        <v>21.99</v>
      </c>
    </row>
    <row r="436" spans="1:15" x14ac:dyDescent="0.35">
      <c r="A436" t="s">
        <v>596</v>
      </c>
      <c r="B436">
        <v>2</v>
      </c>
      <c r="C436">
        <v>21.99</v>
      </c>
      <c r="D436">
        <v>37.85</v>
      </c>
      <c r="E436" t="s">
        <v>118</v>
      </c>
      <c r="F436" t="s">
        <v>1721</v>
      </c>
      <c r="G436" t="s">
        <v>21</v>
      </c>
      <c r="H436">
        <v>0</v>
      </c>
      <c r="I436" t="s">
        <v>41</v>
      </c>
      <c r="J436" t="s">
        <v>13</v>
      </c>
      <c r="K436">
        <v>7</v>
      </c>
      <c r="O436">
        <v>37.979999999999997</v>
      </c>
    </row>
    <row r="437" spans="1:15" x14ac:dyDescent="0.35">
      <c r="A437" t="s">
        <v>597</v>
      </c>
      <c r="B437">
        <v>1</v>
      </c>
      <c r="C437">
        <v>16.989999999999998</v>
      </c>
      <c r="D437">
        <v>16.989999999999998</v>
      </c>
      <c r="E437" t="s">
        <v>598</v>
      </c>
      <c r="F437" t="s">
        <v>1722</v>
      </c>
      <c r="G437" t="s">
        <v>11</v>
      </c>
      <c r="H437">
        <v>19</v>
      </c>
      <c r="I437" t="s">
        <v>41</v>
      </c>
      <c r="J437" t="s">
        <v>25</v>
      </c>
      <c r="K437">
        <v>5</v>
      </c>
      <c r="O437">
        <v>21.99</v>
      </c>
    </row>
    <row r="438" spans="1:15" x14ac:dyDescent="0.35">
      <c r="A438" t="s">
        <v>599</v>
      </c>
      <c r="B438">
        <v>1</v>
      </c>
      <c r="C438">
        <v>21.99</v>
      </c>
      <c r="D438">
        <v>21.99</v>
      </c>
      <c r="E438" t="s">
        <v>600</v>
      </c>
      <c r="F438" t="s">
        <v>1723</v>
      </c>
      <c r="G438" t="s">
        <v>16</v>
      </c>
      <c r="H438">
        <v>3</v>
      </c>
      <c r="I438" t="s">
        <v>41</v>
      </c>
      <c r="J438" t="s">
        <v>13</v>
      </c>
      <c r="K438">
        <v>7</v>
      </c>
      <c r="O438">
        <v>21.99</v>
      </c>
    </row>
    <row r="439" spans="1:15" x14ac:dyDescent="0.35">
      <c r="A439" t="s">
        <v>601</v>
      </c>
      <c r="B439">
        <v>1</v>
      </c>
      <c r="C439">
        <v>34.99</v>
      </c>
      <c r="D439">
        <v>34.99</v>
      </c>
      <c r="E439" t="s">
        <v>602</v>
      </c>
      <c r="F439" t="s">
        <v>1724</v>
      </c>
      <c r="G439" t="s">
        <v>16</v>
      </c>
      <c r="H439">
        <v>11</v>
      </c>
      <c r="I439" t="s">
        <v>24</v>
      </c>
      <c r="J439" t="s">
        <v>36</v>
      </c>
      <c r="K439">
        <v>12.5</v>
      </c>
      <c r="O439">
        <v>21.99</v>
      </c>
    </row>
    <row r="440" spans="1:15" x14ac:dyDescent="0.35">
      <c r="A440" t="s">
        <v>603</v>
      </c>
      <c r="B440">
        <v>1</v>
      </c>
      <c r="C440">
        <v>21.99</v>
      </c>
      <c r="D440">
        <v>21.99</v>
      </c>
      <c r="E440" t="s">
        <v>551</v>
      </c>
      <c r="F440" t="s">
        <v>1725</v>
      </c>
      <c r="G440" t="s">
        <v>16</v>
      </c>
      <c r="H440">
        <v>2</v>
      </c>
      <c r="I440" t="s">
        <v>24</v>
      </c>
      <c r="J440" t="s">
        <v>13</v>
      </c>
      <c r="K440">
        <v>7</v>
      </c>
      <c r="O440">
        <v>21.99</v>
      </c>
    </row>
    <row r="441" spans="1:15" x14ac:dyDescent="0.35">
      <c r="A441" t="s">
        <v>604</v>
      </c>
      <c r="B441">
        <v>1</v>
      </c>
      <c r="C441">
        <v>27.99</v>
      </c>
      <c r="D441">
        <v>27.99</v>
      </c>
      <c r="E441" t="s">
        <v>467</v>
      </c>
      <c r="F441" t="s">
        <v>1726</v>
      </c>
      <c r="G441" t="s">
        <v>87</v>
      </c>
      <c r="H441">
        <v>0</v>
      </c>
      <c r="I441" t="s">
        <v>24</v>
      </c>
      <c r="J441" t="s">
        <v>31</v>
      </c>
      <c r="K441">
        <v>9</v>
      </c>
      <c r="O441">
        <v>21.99</v>
      </c>
    </row>
    <row r="442" spans="1:15" x14ac:dyDescent="0.35">
      <c r="A442" t="s">
        <v>605</v>
      </c>
      <c r="B442">
        <v>1</v>
      </c>
      <c r="C442">
        <v>21.99</v>
      </c>
      <c r="D442">
        <v>21.99</v>
      </c>
      <c r="E442" t="s">
        <v>606</v>
      </c>
      <c r="F442" t="s">
        <v>1727</v>
      </c>
      <c r="G442" t="s">
        <v>16</v>
      </c>
      <c r="H442">
        <v>2</v>
      </c>
      <c r="I442" t="s">
        <v>12</v>
      </c>
      <c r="J442" t="s">
        <v>13</v>
      </c>
      <c r="K442">
        <v>7</v>
      </c>
      <c r="O442">
        <v>21.99</v>
      </c>
    </row>
    <row r="443" spans="1:15" x14ac:dyDescent="0.35">
      <c r="A443" t="s">
        <v>607</v>
      </c>
      <c r="B443">
        <v>2</v>
      </c>
      <c r="C443">
        <v>16.989999999999998</v>
      </c>
      <c r="D443">
        <v>29.24</v>
      </c>
      <c r="E443" t="s">
        <v>608</v>
      </c>
      <c r="F443" t="s">
        <v>1728</v>
      </c>
      <c r="G443" t="s">
        <v>16</v>
      </c>
      <c r="H443">
        <v>25</v>
      </c>
      <c r="I443" t="s">
        <v>24</v>
      </c>
      <c r="J443" t="s">
        <v>25</v>
      </c>
      <c r="K443">
        <v>5</v>
      </c>
      <c r="O443">
        <v>37.979999999999997</v>
      </c>
    </row>
    <row r="444" spans="1:15" x14ac:dyDescent="0.35">
      <c r="A444" t="s">
        <v>609</v>
      </c>
      <c r="B444">
        <v>1</v>
      </c>
      <c r="C444">
        <v>21.99</v>
      </c>
      <c r="D444">
        <v>21.99</v>
      </c>
      <c r="E444" t="s">
        <v>610</v>
      </c>
      <c r="F444" t="s">
        <v>1717</v>
      </c>
      <c r="G444" t="s">
        <v>16</v>
      </c>
      <c r="H444">
        <v>2</v>
      </c>
      <c r="I444" t="s">
        <v>12</v>
      </c>
      <c r="J444" t="s">
        <v>13</v>
      </c>
      <c r="K444">
        <v>7</v>
      </c>
      <c r="O444">
        <v>21.99</v>
      </c>
    </row>
    <row r="445" spans="1:15" x14ac:dyDescent="0.35">
      <c r="A445" t="s">
        <v>611</v>
      </c>
      <c r="B445">
        <v>1</v>
      </c>
      <c r="C445">
        <v>21.99</v>
      </c>
      <c r="D445">
        <v>21.99</v>
      </c>
      <c r="E445" t="s">
        <v>79</v>
      </c>
      <c r="F445" t="s">
        <v>1718</v>
      </c>
      <c r="G445" t="s">
        <v>16</v>
      </c>
      <c r="H445">
        <v>2</v>
      </c>
      <c r="I445" t="s">
        <v>24</v>
      </c>
      <c r="J445" t="s">
        <v>13</v>
      </c>
      <c r="K445">
        <v>7</v>
      </c>
      <c r="O445">
        <v>21.99</v>
      </c>
    </row>
    <row r="446" spans="1:15" x14ac:dyDescent="0.35">
      <c r="A446" t="s">
        <v>612</v>
      </c>
      <c r="B446">
        <v>1</v>
      </c>
      <c r="C446">
        <v>16.989999999999998</v>
      </c>
      <c r="D446">
        <v>16.989999999999998</v>
      </c>
      <c r="E446" t="s">
        <v>84</v>
      </c>
      <c r="F446" t="s">
        <v>1719</v>
      </c>
      <c r="G446" t="s">
        <v>11</v>
      </c>
      <c r="H446">
        <v>16</v>
      </c>
      <c r="I446" t="s">
        <v>41</v>
      </c>
      <c r="J446" t="s">
        <v>25</v>
      </c>
      <c r="K446">
        <v>5</v>
      </c>
      <c r="O446">
        <v>21.99</v>
      </c>
    </row>
    <row r="447" spans="1:15" x14ac:dyDescent="0.35">
      <c r="A447" t="s">
        <v>613</v>
      </c>
      <c r="B447">
        <v>2</v>
      </c>
      <c r="C447">
        <v>34.99</v>
      </c>
      <c r="D447">
        <v>60.08</v>
      </c>
      <c r="E447" t="s">
        <v>614</v>
      </c>
      <c r="F447" t="s">
        <v>1720</v>
      </c>
      <c r="G447" t="s">
        <v>16</v>
      </c>
      <c r="H447">
        <v>11</v>
      </c>
      <c r="I447" t="s">
        <v>17</v>
      </c>
      <c r="J447" t="s">
        <v>36</v>
      </c>
      <c r="K447">
        <v>12.5</v>
      </c>
      <c r="O447">
        <v>37.979999999999997</v>
      </c>
    </row>
    <row r="448" spans="1:15" x14ac:dyDescent="0.35">
      <c r="A448" t="s">
        <v>615</v>
      </c>
      <c r="B448">
        <v>1</v>
      </c>
      <c r="C448">
        <v>18.989999999999998</v>
      </c>
      <c r="D448">
        <v>18.989999999999998</v>
      </c>
      <c r="E448" t="s">
        <v>616</v>
      </c>
      <c r="F448" t="s">
        <v>1721</v>
      </c>
      <c r="G448" t="s">
        <v>21</v>
      </c>
      <c r="H448">
        <v>0</v>
      </c>
      <c r="I448" t="s">
        <v>17</v>
      </c>
      <c r="J448" t="s">
        <v>42</v>
      </c>
      <c r="K448">
        <v>6</v>
      </c>
      <c r="O448">
        <v>21.99</v>
      </c>
    </row>
    <row r="449" spans="1:15" x14ac:dyDescent="0.35">
      <c r="A449" t="s">
        <v>617</v>
      </c>
      <c r="B449">
        <v>1</v>
      </c>
      <c r="C449">
        <v>21.99</v>
      </c>
      <c r="D449">
        <v>21.99</v>
      </c>
      <c r="E449" t="s">
        <v>618</v>
      </c>
      <c r="F449" t="s">
        <v>1722</v>
      </c>
      <c r="G449" t="s">
        <v>21</v>
      </c>
      <c r="H449">
        <v>0</v>
      </c>
      <c r="I449" t="s">
        <v>17</v>
      </c>
      <c r="J449" t="s">
        <v>13</v>
      </c>
      <c r="K449">
        <v>7</v>
      </c>
      <c r="O449">
        <v>21.99</v>
      </c>
    </row>
    <row r="450" spans="1:15" x14ac:dyDescent="0.35">
      <c r="A450" t="s">
        <v>619</v>
      </c>
      <c r="B450">
        <v>2</v>
      </c>
      <c r="C450">
        <v>16.989999999999998</v>
      </c>
      <c r="D450">
        <v>29.59</v>
      </c>
      <c r="E450" t="s">
        <v>264</v>
      </c>
      <c r="F450" t="s">
        <v>1723</v>
      </c>
      <c r="G450" t="s">
        <v>16</v>
      </c>
      <c r="H450">
        <v>18</v>
      </c>
      <c r="I450" t="s">
        <v>41</v>
      </c>
      <c r="J450" t="s">
        <v>25</v>
      </c>
      <c r="K450">
        <v>5</v>
      </c>
      <c r="O450">
        <v>37.979999999999997</v>
      </c>
    </row>
    <row r="451" spans="1:15" x14ac:dyDescent="0.35">
      <c r="A451" t="s">
        <v>620</v>
      </c>
      <c r="B451">
        <v>1</v>
      </c>
      <c r="C451">
        <v>18.989999999999998</v>
      </c>
      <c r="D451">
        <v>18.989999999999998</v>
      </c>
      <c r="E451" t="s">
        <v>621</v>
      </c>
      <c r="F451" t="s">
        <v>1724</v>
      </c>
      <c r="G451" t="s">
        <v>21</v>
      </c>
      <c r="H451">
        <v>0</v>
      </c>
      <c r="I451" t="s">
        <v>24</v>
      </c>
      <c r="J451" t="s">
        <v>42</v>
      </c>
      <c r="K451">
        <v>6</v>
      </c>
      <c r="O451">
        <v>21.99</v>
      </c>
    </row>
    <row r="452" spans="1:15" x14ac:dyDescent="0.35">
      <c r="A452" t="s">
        <v>622</v>
      </c>
      <c r="B452">
        <v>1</v>
      </c>
      <c r="C452">
        <v>27.99</v>
      </c>
      <c r="D452">
        <v>27.99</v>
      </c>
      <c r="E452" t="s">
        <v>623</v>
      </c>
      <c r="F452" t="s">
        <v>1725</v>
      </c>
      <c r="G452" t="s">
        <v>16</v>
      </c>
      <c r="H452">
        <v>2</v>
      </c>
      <c r="I452" t="s">
        <v>17</v>
      </c>
      <c r="J452" t="s">
        <v>31</v>
      </c>
      <c r="K452">
        <v>9</v>
      </c>
      <c r="O452">
        <v>21.99</v>
      </c>
    </row>
    <row r="453" spans="1:15" x14ac:dyDescent="0.35">
      <c r="A453" t="s">
        <v>624</v>
      </c>
      <c r="B453">
        <v>2</v>
      </c>
      <c r="C453">
        <v>30.99</v>
      </c>
      <c r="D453">
        <v>54.2</v>
      </c>
      <c r="E453" t="s">
        <v>625</v>
      </c>
      <c r="F453" t="s">
        <v>1726</v>
      </c>
      <c r="G453" t="s">
        <v>28</v>
      </c>
      <c r="H453">
        <v>0</v>
      </c>
      <c r="I453" t="s">
        <v>41</v>
      </c>
      <c r="J453" t="s">
        <v>18</v>
      </c>
      <c r="K453">
        <v>10.5</v>
      </c>
      <c r="O453">
        <v>37.979999999999997</v>
      </c>
    </row>
    <row r="454" spans="1:15" x14ac:dyDescent="0.35">
      <c r="A454" t="s">
        <v>626</v>
      </c>
      <c r="B454">
        <v>1</v>
      </c>
      <c r="C454">
        <v>18.989999999999998</v>
      </c>
      <c r="D454">
        <v>18.989999999999998</v>
      </c>
      <c r="E454" t="s">
        <v>627</v>
      </c>
      <c r="F454" t="s">
        <v>1727</v>
      </c>
      <c r="G454" t="s">
        <v>16</v>
      </c>
      <c r="H454">
        <v>14</v>
      </c>
      <c r="I454" t="s">
        <v>41</v>
      </c>
      <c r="J454" t="s">
        <v>42</v>
      </c>
      <c r="K454">
        <v>6</v>
      </c>
      <c r="O454">
        <v>21.99</v>
      </c>
    </row>
    <row r="455" spans="1:15" x14ac:dyDescent="0.35">
      <c r="A455" t="s">
        <v>628</v>
      </c>
      <c r="B455">
        <v>1</v>
      </c>
      <c r="C455">
        <v>18.989999999999998</v>
      </c>
      <c r="D455">
        <v>18.989999999999998</v>
      </c>
      <c r="E455" t="s">
        <v>158</v>
      </c>
      <c r="F455" t="s">
        <v>1728</v>
      </c>
      <c r="G455" t="s">
        <v>11</v>
      </c>
      <c r="H455">
        <v>13</v>
      </c>
      <c r="I455" t="s">
        <v>41</v>
      </c>
      <c r="J455" t="s">
        <v>42</v>
      </c>
      <c r="K455">
        <v>6</v>
      </c>
      <c r="O455">
        <v>21.99</v>
      </c>
    </row>
    <row r="456" spans="1:15" x14ac:dyDescent="0.35">
      <c r="A456" t="s">
        <v>629</v>
      </c>
      <c r="B456">
        <v>3</v>
      </c>
      <c r="C456">
        <v>21.99</v>
      </c>
      <c r="D456">
        <v>52.48</v>
      </c>
      <c r="E456" t="s">
        <v>630</v>
      </c>
      <c r="F456" t="s">
        <v>1717</v>
      </c>
      <c r="G456" t="s">
        <v>16</v>
      </c>
      <c r="H456">
        <v>3</v>
      </c>
      <c r="I456" t="s">
        <v>17</v>
      </c>
      <c r="J456" t="s">
        <v>13</v>
      </c>
      <c r="K456">
        <v>7</v>
      </c>
      <c r="O456">
        <v>84.73</v>
      </c>
    </row>
    <row r="457" spans="1:15" x14ac:dyDescent="0.35">
      <c r="A457" t="s">
        <v>631</v>
      </c>
      <c r="B457">
        <v>1</v>
      </c>
      <c r="C457">
        <v>16.989999999999998</v>
      </c>
      <c r="D457">
        <v>16.989999999999998</v>
      </c>
      <c r="E457" t="s">
        <v>632</v>
      </c>
      <c r="F457" t="s">
        <v>1718</v>
      </c>
      <c r="G457" t="s">
        <v>21</v>
      </c>
      <c r="H457">
        <v>0</v>
      </c>
      <c r="I457" t="s">
        <v>12</v>
      </c>
      <c r="J457" t="s">
        <v>25</v>
      </c>
      <c r="K457">
        <v>5</v>
      </c>
      <c r="O457">
        <v>21.99</v>
      </c>
    </row>
    <row r="458" spans="1:15" x14ac:dyDescent="0.35">
      <c r="A458" t="s">
        <v>633</v>
      </c>
      <c r="B458">
        <v>1</v>
      </c>
      <c r="C458">
        <v>16.989999999999998</v>
      </c>
      <c r="D458">
        <v>16.989999999999998</v>
      </c>
      <c r="E458" t="s">
        <v>634</v>
      </c>
      <c r="F458" t="s">
        <v>1719</v>
      </c>
      <c r="G458" t="s">
        <v>16</v>
      </c>
      <c r="H458">
        <v>16</v>
      </c>
      <c r="I458" t="s">
        <v>41</v>
      </c>
      <c r="J458" t="s">
        <v>25</v>
      </c>
      <c r="K458">
        <v>5</v>
      </c>
      <c r="O458">
        <v>21.99</v>
      </c>
    </row>
    <row r="459" spans="1:15" x14ac:dyDescent="0.35">
      <c r="A459" t="s">
        <v>635</v>
      </c>
      <c r="B459">
        <v>1</v>
      </c>
      <c r="C459">
        <v>34.99</v>
      </c>
      <c r="D459">
        <v>34.99</v>
      </c>
      <c r="E459" t="s">
        <v>636</v>
      </c>
      <c r="F459" t="s">
        <v>1720</v>
      </c>
      <c r="G459" t="s">
        <v>16</v>
      </c>
      <c r="H459">
        <v>7</v>
      </c>
      <c r="I459" t="s">
        <v>24</v>
      </c>
      <c r="J459" t="s">
        <v>36</v>
      </c>
      <c r="K459">
        <v>12.5</v>
      </c>
      <c r="O459">
        <v>21.99</v>
      </c>
    </row>
    <row r="460" spans="1:15" x14ac:dyDescent="0.35">
      <c r="A460" t="s">
        <v>637</v>
      </c>
      <c r="B460">
        <v>1</v>
      </c>
      <c r="C460">
        <v>16.989999999999998</v>
      </c>
      <c r="D460">
        <v>16.989999999999998</v>
      </c>
      <c r="E460" t="s">
        <v>96</v>
      </c>
      <c r="F460" t="s">
        <v>1721</v>
      </c>
      <c r="G460" t="s">
        <v>16</v>
      </c>
      <c r="H460">
        <v>17</v>
      </c>
      <c r="I460" t="s">
        <v>17</v>
      </c>
      <c r="J460" t="s">
        <v>25</v>
      </c>
      <c r="K460">
        <v>5</v>
      </c>
      <c r="O460">
        <v>21.99</v>
      </c>
    </row>
    <row r="461" spans="1:15" x14ac:dyDescent="0.35">
      <c r="A461" t="s">
        <v>638</v>
      </c>
      <c r="B461">
        <v>1</v>
      </c>
      <c r="C461">
        <v>34.99</v>
      </c>
      <c r="D461">
        <v>34.99</v>
      </c>
      <c r="E461" t="s">
        <v>639</v>
      </c>
      <c r="F461" t="s">
        <v>1722</v>
      </c>
      <c r="G461" t="s">
        <v>21</v>
      </c>
      <c r="H461">
        <v>0</v>
      </c>
      <c r="I461" t="s">
        <v>41</v>
      </c>
      <c r="J461" t="s">
        <v>36</v>
      </c>
      <c r="K461">
        <v>12.5</v>
      </c>
      <c r="O461">
        <v>21.99</v>
      </c>
    </row>
    <row r="462" spans="1:15" x14ac:dyDescent="0.35">
      <c r="A462" t="s">
        <v>640</v>
      </c>
      <c r="B462">
        <v>1</v>
      </c>
      <c r="C462">
        <v>30.99</v>
      </c>
      <c r="D462">
        <v>30.99</v>
      </c>
      <c r="E462" t="s">
        <v>465</v>
      </c>
      <c r="F462" t="s">
        <v>1723</v>
      </c>
      <c r="G462" t="s">
        <v>16</v>
      </c>
      <c r="H462">
        <v>3</v>
      </c>
      <c r="I462" t="s">
        <v>41</v>
      </c>
      <c r="J462" t="s">
        <v>18</v>
      </c>
      <c r="K462">
        <v>10.5</v>
      </c>
      <c r="O462">
        <v>21.99</v>
      </c>
    </row>
    <row r="463" spans="1:15" x14ac:dyDescent="0.35">
      <c r="A463" t="s">
        <v>641</v>
      </c>
      <c r="B463">
        <v>1</v>
      </c>
      <c r="C463">
        <v>16.989999999999998</v>
      </c>
      <c r="D463">
        <v>16.989999999999998</v>
      </c>
      <c r="E463" t="s">
        <v>642</v>
      </c>
      <c r="F463" t="s">
        <v>1724</v>
      </c>
      <c r="G463" t="s">
        <v>87</v>
      </c>
      <c r="H463">
        <v>0</v>
      </c>
      <c r="I463" t="s">
        <v>41</v>
      </c>
      <c r="J463" t="s">
        <v>25</v>
      </c>
      <c r="K463">
        <v>5</v>
      </c>
      <c r="O463">
        <v>21.99</v>
      </c>
    </row>
    <row r="464" spans="1:15" x14ac:dyDescent="0.35">
      <c r="A464" t="s">
        <v>643</v>
      </c>
      <c r="B464">
        <v>1</v>
      </c>
      <c r="C464">
        <v>34.99</v>
      </c>
      <c r="D464">
        <v>34.99</v>
      </c>
      <c r="E464" t="s">
        <v>644</v>
      </c>
      <c r="F464" t="s">
        <v>1725</v>
      </c>
      <c r="G464" t="s">
        <v>16</v>
      </c>
      <c r="H464">
        <v>8</v>
      </c>
      <c r="I464" t="s">
        <v>17</v>
      </c>
      <c r="J464" t="s">
        <v>36</v>
      </c>
      <c r="K464">
        <v>12.5</v>
      </c>
      <c r="O464">
        <v>21.99</v>
      </c>
    </row>
    <row r="465" spans="1:15" x14ac:dyDescent="0.35">
      <c r="A465" t="s">
        <v>645</v>
      </c>
      <c r="B465">
        <v>1</v>
      </c>
      <c r="C465">
        <v>34.99</v>
      </c>
      <c r="D465">
        <v>34.99</v>
      </c>
      <c r="E465" t="s">
        <v>582</v>
      </c>
      <c r="F465" t="s">
        <v>1726</v>
      </c>
      <c r="G465" t="s">
        <v>16</v>
      </c>
      <c r="H465">
        <v>5</v>
      </c>
      <c r="I465" t="s">
        <v>17</v>
      </c>
      <c r="J465" t="s">
        <v>36</v>
      </c>
      <c r="K465">
        <v>12.5</v>
      </c>
      <c r="O465">
        <v>21.99</v>
      </c>
    </row>
    <row r="466" spans="1:15" x14ac:dyDescent="0.35">
      <c r="A466" t="s">
        <v>646</v>
      </c>
      <c r="B466">
        <v>1</v>
      </c>
      <c r="C466">
        <v>34.99</v>
      </c>
      <c r="D466">
        <v>34.99</v>
      </c>
      <c r="E466" t="s">
        <v>54</v>
      </c>
      <c r="F466" t="s">
        <v>1727</v>
      </c>
      <c r="G466" t="s">
        <v>16</v>
      </c>
      <c r="H466">
        <v>8</v>
      </c>
      <c r="I466" t="s">
        <v>12</v>
      </c>
      <c r="J466" t="s">
        <v>36</v>
      </c>
      <c r="K466">
        <v>12.5</v>
      </c>
      <c r="O466">
        <v>21.99</v>
      </c>
    </row>
    <row r="467" spans="1:15" x14ac:dyDescent="0.35">
      <c r="A467" t="s">
        <v>647</v>
      </c>
      <c r="B467">
        <v>1</v>
      </c>
      <c r="C467">
        <v>30.99</v>
      </c>
      <c r="D467">
        <v>30.99</v>
      </c>
      <c r="E467" t="s">
        <v>648</v>
      </c>
      <c r="F467" t="s">
        <v>1728</v>
      </c>
      <c r="G467" t="s">
        <v>16</v>
      </c>
      <c r="H467">
        <v>3</v>
      </c>
      <c r="I467" t="s">
        <v>24</v>
      </c>
      <c r="J467" t="s">
        <v>18</v>
      </c>
      <c r="K467">
        <v>10.5</v>
      </c>
      <c r="O467">
        <v>21.99</v>
      </c>
    </row>
    <row r="468" spans="1:15" x14ac:dyDescent="0.35">
      <c r="A468" t="s">
        <v>649</v>
      </c>
      <c r="B468">
        <v>2</v>
      </c>
      <c r="C468">
        <v>18.989999999999998</v>
      </c>
      <c r="D468">
        <v>32.61</v>
      </c>
      <c r="E468" t="s">
        <v>427</v>
      </c>
      <c r="F468" t="s">
        <v>1717</v>
      </c>
      <c r="G468" t="s">
        <v>16</v>
      </c>
      <c r="H468">
        <v>18</v>
      </c>
      <c r="I468" t="s">
        <v>41</v>
      </c>
      <c r="J468" t="s">
        <v>42</v>
      </c>
      <c r="K468">
        <v>6</v>
      </c>
      <c r="O468">
        <v>37.979999999999997</v>
      </c>
    </row>
    <row r="469" spans="1:15" x14ac:dyDescent="0.35">
      <c r="A469" t="s">
        <v>650</v>
      </c>
      <c r="B469">
        <v>1</v>
      </c>
      <c r="C469">
        <v>34.99</v>
      </c>
      <c r="D469">
        <v>34.99</v>
      </c>
      <c r="E469" t="s">
        <v>651</v>
      </c>
      <c r="F469" t="s">
        <v>1718</v>
      </c>
      <c r="G469" t="s">
        <v>16</v>
      </c>
      <c r="H469">
        <v>6</v>
      </c>
      <c r="I469" t="s">
        <v>41</v>
      </c>
      <c r="J469" t="s">
        <v>36</v>
      </c>
      <c r="K469">
        <v>12.5</v>
      </c>
      <c r="O469">
        <v>21.99</v>
      </c>
    </row>
    <row r="470" spans="1:15" x14ac:dyDescent="0.35">
      <c r="A470" t="s">
        <v>652</v>
      </c>
      <c r="B470">
        <v>3</v>
      </c>
      <c r="C470">
        <v>34.99</v>
      </c>
      <c r="D470">
        <v>83.83</v>
      </c>
      <c r="E470" t="s">
        <v>156</v>
      </c>
      <c r="F470" t="s">
        <v>1719</v>
      </c>
      <c r="G470" t="s">
        <v>21</v>
      </c>
      <c r="H470">
        <v>0</v>
      </c>
      <c r="I470" t="s">
        <v>41</v>
      </c>
      <c r="J470" t="s">
        <v>36</v>
      </c>
      <c r="K470">
        <v>12.5</v>
      </c>
      <c r="O470">
        <v>84.73</v>
      </c>
    </row>
    <row r="471" spans="1:15" x14ac:dyDescent="0.35">
      <c r="A471" t="s">
        <v>653</v>
      </c>
      <c r="B471">
        <v>3</v>
      </c>
      <c r="C471">
        <v>21.99</v>
      </c>
      <c r="D471">
        <v>51.88</v>
      </c>
      <c r="E471" t="s">
        <v>166</v>
      </c>
      <c r="F471" t="s">
        <v>1720</v>
      </c>
      <c r="G471" t="s">
        <v>16</v>
      </c>
      <c r="H471">
        <v>3</v>
      </c>
      <c r="I471" t="s">
        <v>12</v>
      </c>
      <c r="J471" t="s">
        <v>13</v>
      </c>
      <c r="K471">
        <v>7</v>
      </c>
      <c r="O471">
        <v>84.73</v>
      </c>
    </row>
    <row r="472" spans="1:15" x14ac:dyDescent="0.35">
      <c r="A472" t="s">
        <v>654</v>
      </c>
      <c r="B472">
        <v>2</v>
      </c>
      <c r="C472">
        <v>27.99</v>
      </c>
      <c r="D472">
        <v>48.65</v>
      </c>
      <c r="E472" t="s">
        <v>655</v>
      </c>
      <c r="F472" t="s">
        <v>1721</v>
      </c>
      <c r="G472" t="s">
        <v>28</v>
      </c>
      <c r="H472">
        <v>0</v>
      </c>
      <c r="I472" t="s">
        <v>17</v>
      </c>
      <c r="J472" t="s">
        <v>31</v>
      </c>
      <c r="K472">
        <v>9</v>
      </c>
      <c r="O472">
        <v>37.979999999999997</v>
      </c>
    </row>
    <row r="473" spans="1:15" x14ac:dyDescent="0.35">
      <c r="A473" t="s">
        <v>656</v>
      </c>
      <c r="B473">
        <v>1</v>
      </c>
      <c r="C473">
        <v>18.989999999999998</v>
      </c>
      <c r="D473">
        <v>18.989999999999998</v>
      </c>
      <c r="E473" t="s">
        <v>657</v>
      </c>
      <c r="F473" t="s">
        <v>1722</v>
      </c>
      <c r="G473" t="s">
        <v>16</v>
      </c>
      <c r="H473">
        <v>10</v>
      </c>
      <c r="I473" t="s">
        <v>17</v>
      </c>
      <c r="J473" t="s">
        <v>42</v>
      </c>
      <c r="K473">
        <v>6</v>
      </c>
      <c r="O473">
        <v>21.99</v>
      </c>
    </row>
    <row r="474" spans="1:15" x14ac:dyDescent="0.35">
      <c r="A474" t="s">
        <v>658</v>
      </c>
      <c r="B474">
        <v>3</v>
      </c>
      <c r="C474">
        <v>18.989999999999998</v>
      </c>
      <c r="D474">
        <v>45.77</v>
      </c>
      <c r="E474" t="s">
        <v>82</v>
      </c>
      <c r="F474" t="s">
        <v>1723</v>
      </c>
      <c r="G474" t="s">
        <v>16</v>
      </c>
      <c r="H474">
        <v>12</v>
      </c>
      <c r="I474" t="s">
        <v>17</v>
      </c>
      <c r="J474" t="s">
        <v>42</v>
      </c>
      <c r="K474">
        <v>6</v>
      </c>
      <c r="O474">
        <v>84.73</v>
      </c>
    </row>
    <row r="475" spans="1:15" x14ac:dyDescent="0.35">
      <c r="A475" t="s">
        <v>659</v>
      </c>
      <c r="B475">
        <v>1</v>
      </c>
      <c r="C475">
        <v>21.99</v>
      </c>
      <c r="D475">
        <v>21.99</v>
      </c>
      <c r="E475" t="s">
        <v>660</v>
      </c>
      <c r="F475" t="s">
        <v>1724</v>
      </c>
      <c r="G475" t="s">
        <v>16</v>
      </c>
      <c r="H475">
        <v>2</v>
      </c>
      <c r="I475" t="s">
        <v>17</v>
      </c>
      <c r="J475" t="s">
        <v>13</v>
      </c>
      <c r="K475">
        <v>7</v>
      </c>
      <c r="O475">
        <v>21.99</v>
      </c>
    </row>
    <row r="476" spans="1:15" x14ac:dyDescent="0.35">
      <c r="A476" t="s">
        <v>661</v>
      </c>
      <c r="B476">
        <v>1</v>
      </c>
      <c r="C476">
        <v>34.99</v>
      </c>
      <c r="D476">
        <v>34.99</v>
      </c>
      <c r="E476" t="s">
        <v>524</v>
      </c>
      <c r="F476" t="s">
        <v>1725</v>
      </c>
      <c r="G476" t="s">
        <v>16</v>
      </c>
      <c r="H476">
        <v>5</v>
      </c>
      <c r="I476" t="s">
        <v>24</v>
      </c>
      <c r="J476" t="s">
        <v>36</v>
      </c>
      <c r="K476">
        <v>12.5</v>
      </c>
      <c r="O476">
        <v>21.99</v>
      </c>
    </row>
    <row r="477" spans="1:15" x14ac:dyDescent="0.35">
      <c r="A477" t="s">
        <v>662</v>
      </c>
      <c r="B477">
        <v>1</v>
      </c>
      <c r="C477">
        <v>27.99</v>
      </c>
      <c r="D477">
        <v>27.99</v>
      </c>
      <c r="E477" t="s">
        <v>439</v>
      </c>
      <c r="F477" t="s">
        <v>1726</v>
      </c>
      <c r="G477" t="s">
        <v>16</v>
      </c>
      <c r="H477">
        <v>3</v>
      </c>
      <c r="I477" t="s">
        <v>24</v>
      </c>
      <c r="J477" t="s">
        <v>31</v>
      </c>
      <c r="K477">
        <v>9</v>
      </c>
      <c r="O477">
        <v>21.99</v>
      </c>
    </row>
    <row r="478" spans="1:15" x14ac:dyDescent="0.35">
      <c r="A478" t="s">
        <v>663</v>
      </c>
      <c r="B478">
        <v>2</v>
      </c>
      <c r="C478">
        <v>21.99</v>
      </c>
      <c r="D478">
        <v>38</v>
      </c>
      <c r="E478" t="s">
        <v>664</v>
      </c>
      <c r="F478" t="s">
        <v>1727</v>
      </c>
      <c r="G478" t="s">
        <v>16</v>
      </c>
      <c r="H478">
        <v>3</v>
      </c>
      <c r="I478" t="s">
        <v>24</v>
      </c>
      <c r="J478" t="s">
        <v>13</v>
      </c>
      <c r="K478">
        <v>7</v>
      </c>
      <c r="O478">
        <v>37.979999999999997</v>
      </c>
    </row>
    <row r="479" spans="1:15" x14ac:dyDescent="0.35">
      <c r="A479" t="s">
        <v>665</v>
      </c>
      <c r="B479">
        <v>1</v>
      </c>
      <c r="C479">
        <v>27.99</v>
      </c>
      <c r="D479">
        <v>27.99</v>
      </c>
      <c r="E479" t="s">
        <v>666</v>
      </c>
      <c r="F479" t="s">
        <v>1728</v>
      </c>
      <c r="G479" t="s">
        <v>21</v>
      </c>
      <c r="H479">
        <v>0</v>
      </c>
      <c r="I479" t="s">
        <v>24</v>
      </c>
      <c r="J479" t="s">
        <v>31</v>
      </c>
      <c r="K479">
        <v>9</v>
      </c>
      <c r="O479">
        <v>21.99</v>
      </c>
    </row>
    <row r="480" spans="1:15" x14ac:dyDescent="0.35">
      <c r="A480" t="s">
        <v>667</v>
      </c>
      <c r="B480">
        <v>1</v>
      </c>
      <c r="C480">
        <v>30.99</v>
      </c>
      <c r="D480">
        <v>30.99</v>
      </c>
      <c r="E480" t="s">
        <v>668</v>
      </c>
      <c r="F480" t="s">
        <v>1717</v>
      </c>
      <c r="G480" t="s">
        <v>16</v>
      </c>
      <c r="H480">
        <v>2</v>
      </c>
      <c r="I480" t="s">
        <v>24</v>
      </c>
      <c r="J480" t="s">
        <v>18</v>
      </c>
      <c r="K480">
        <v>10.5</v>
      </c>
      <c r="O480">
        <v>21.99</v>
      </c>
    </row>
    <row r="481" spans="1:15" x14ac:dyDescent="0.35">
      <c r="A481" t="s">
        <v>669</v>
      </c>
      <c r="B481">
        <v>1</v>
      </c>
      <c r="C481">
        <v>21.99</v>
      </c>
      <c r="D481">
        <v>21.99</v>
      </c>
      <c r="E481" t="s">
        <v>670</v>
      </c>
      <c r="F481" t="s">
        <v>1718</v>
      </c>
      <c r="G481" t="s">
        <v>28</v>
      </c>
      <c r="H481">
        <v>0</v>
      </c>
      <c r="I481" t="s">
        <v>12</v>
      </c>
      <c r="J481" t="s">
        <v>13</v>
      </c>
      <c r="K481">
        <v>7</v>
      </c>
      <c r="O481">
        <v>21.99</v>
      </c>
    </row>
    <row r="482" spans="1:15" x14ac:dyDescent="0.35">
      <c r="A482" t="s">
        <v>671</v>
      </c>
      <c r="B482">
        <v>3</v>
      </c>
      <c r="C482">
        <v>30.99</v>
      </c>
      <c r="D482">
        <v>74.959999999999994</v>
      </c>
      <c r="E482" t="s">
        <v>672</v>
      </c>
      <c r="F482" t="s">
        <v>1719</v>
      </c>
      <c r="G482" t="s">
        <v>16</v>
      </c>
      <c r="H482">
        <v>3</v>
      </c>
      <c r="I482" t="s">
        <v>24</v>
      </c>
      <c r="J482" t="s">
        <v>18</v>
      </c>
      <c r="K482">
        <v>10.5</v>
      </c>
      <c r="O482">
        <v>84.73</v>
      </c>
    </row>
    <row r="483" spans="1:15" x14ac:dyDescent="0.35">
      <c r="A483" t="s">
        <v>673</v>
      </c>
      <c r="B483">
        <v>1</v>
      </c>
      <c r="C483">
        <v>18.989999999999998</v>
      </c>
      <c r="D483">
        <v>18.989999999999998</v>
      </c>
      <c r="E483" t="s">
        <v>674</v>
      </c>
      <c r="F483" t="s">
        <v>1720</v>
      </c>
      <c r="G483" t="s">
        <v>87</v>
      </c>
      <c r="H483">
        <v>0</v>
      </c>
      <c r="I483" t="s">
        <v>41</v>
      </c>
      <c r="J483" t="s">
        <v>42</v>
      </c>
      <c r="K483">
        <v>6</v>
      </c>
      <c r="O483">
        <v>21.99</v>
      </c>
    </row>
    <row r="484" spans="1:15" x14ac:dyDescent="0.35">
      <c r="A484" t="s">
        <v>675</v>
      </c>
      <c r="B484">
        <v>1</v>
      </c>
      <c r="C484">
        <v>27.99</v>
      </c>
      <c r="D484">
        <v>27.99</v>
      </c>
      <c r="E484" t="s">
        <v>587</v>
      </c>
      <c r="F484" t="s">
        <v>1721</v>
      </c>
      <c r="G484" t="s">
        <v>16</v>
      </c>
      <c r="H484">
        <v>2</v>
      </c>
      <c r="I484" t="s">
        <v>17</v>
      </c>
      <c r="J484" t="s">
        <v>31</v>
      </c>
      <c r="K484">
        <v>9</v>
      </c>
      <c r="O484">
        <v>21.99</v>
      </c>
    </row>
    <row r="485" spans="1:15" x14ac:dyDescent="0.35">
      <c r="A485" t="s">
        <v>676</v>
      </c>
      <c r="B485">
        <v>2</v>
      </c>
      <c r="C485">
        <v>16.989999999999998</v>
      </c>
      <c r="D485">
        <v>29.07</v>
      </c>
      <c r="E485" t="s">
        <v>457</v>
      </c>
      <c r="F485" t="s">
        <v>1722</v>
      </c>
      <c r="G485" t="s">
        <v>16</v>
      </c>
      <c r="H485">
        <v>19</v>
      </c>
      <c r="I485" t="s">
        <v>41</v>
      </c>
      <c r="J485" t="s">
        <v>25</v>
      </c>
      <c r="K485">
        <v>5</v>
      </c>
      <c r="O485">
        <v>37.979999999999997</v>
      </c>
    </row>
    <row r="486" spans="1:15" x14ac:dyDescent="0.35">
      <c r="A486" t="s">
        <v>677</v>
      </c>
      <c r="B486">
        <v>3</v>
      </c>
      <c r="C486">
        <v>30.99</v>
      </c>
      <c r="D486">
        <v>74.83</v>
      </c>
      <c r="E486" t="s">
        <v>479</v>
      </c>
      <c r="F486" t="s">
        <v>1723</v>
      </c>
      <c r="G486" t="s">
        <v>16</v>
      </c>
      <c r="H486">
        <v>2</v>
      </c>
      <c r="I486" t="s">
        <v>12</v>
      </c>
      <c r="J486" t="s">
        <v>18</v>
      </c>
      <c r="K486">
        <v>10.5</v>
      </c>
      <c r="O486">
        <v>84.73</v>
      </c>
    </row>
    <row r="487" spans="1:15" x14ac:dyDescent="0.35">
      <c r="A487" t="s">
        <v>678</v>
      </c>
      <c r="B487">
        <v>1</v>
      </c>
      <c r="C487">
        <v>27.99</v>
      </c>
      <c r="D487">
        <v>27.99</v>
      </c>
      <c r="E487" t="s">
        <v>648</v>
      </c>
      <c r="F487" t="s">
        <v>1724</v>
      </c>
      <c r="G487" t="s">
        <v>16</v>
      </c>
      <c r="H487">
        <v>7</v>
      </c>
      <c r="I487" t="s">
        <v>12</v>
      </c>
      <c r="J487" t="s">
        <v>31</v>
      </c>
      <c r="K487">
        <v>9</v>
      </c>
      <c r="O487">
        <v>21.99</v>
      </c>
    </row>
    <row r="488" spans="1:15" x14ac:dyDescent="0.35">
      <c r="A488" t="s">
        <v>679</v>
      </c>
      <c r="B488">
        <v>1</v>
      </c>
      <c r="C488">
        <v>27.99</v>
      </c>
      <c r="D488">
        <v>27.99</v>
      </c>
      <c r="E488" t="s">
        <v>307</v>
      </c>
      <c r="F488" t="s">
        <v>1725</v>
      </c>
      <c r="G488" t="s">
        <v>21</v>
      </c>
      <c r="H488">
        <v>0</v>
      </c>
      <c r="I488" t="s">
        <v>12</v>
      </c>
      <c r="J488" t="s">
        <v>31</v>
      </c>
      <c r="K488">
        <v>9</v>
      </c>
      <c r="O488">
        <v>21.99</v>
      </c>
    </row>
    <row r="489" spans="1:15" x14ac:dyDescent="0.35">
      <c r="A489" t="s">
        <v>680</v>
      </c>
      <c r="B489">
        <v>1</v>
      </c>
      <c r="C489">
        <v>30.99</v>
      </c>
      <c r="D489">
        <v>30.99</v>
      </c>
      <c r="E489" t="s">
        <v>681</v>
      </c>
      <c r="F489" t="s">
        <v>1726</v>
      </c>
      <c r="G489" t="s">
        <v>16</v>
      </c>
      <c r="H489">
        <v>3</v>
      </c>
      <c r="I489" t="s">
        <v>17</v>
      </c>
      <c r="J489" t="s">
        <v>18</v>
      </c>
      <c r="K489">
        <v>10.5</v>
      </c>
      <c r="O489">
        <v>21.99</v>
      </c>
    </row>
    <row r="490" spans="1:15" x14ac:dyDescent="0.35">
      <c r="A490" t="s">
        <v>682</v>
      </c>
      <c r="B490">
        <v>1</v>
      </c>
      <c r="C490">
        <v>18.989999999999998</v>
      </c>
      <c r="D490">
        <v>18.989999999999998</v>
      </c>
      <c r="E490" t="s">
        <v>683</v>
      </c>
      <c r="F490" t="s">
        <v>1727</v>
      </c>
      <c r="G490" t="s">
        <v>21</v>
      </c>
      <c r="H490">
        <v>0</v>
      </c>
      <c r="I490" t="s">
        <v>17</v>
      </c>
      <c r="J490" t="s">
        <v>42</v>
      </c>
      <c r="K490">
        <v>6</v>
      </c>
      <c r="O490">
        <v>21.99</v>
      </c>
    </row>
    <row r="491" spans="1:15" x14ac:dyDescent="0.35">
      <c r="A491" t="s">
        <v>684</v>
      </c>
      <c r="B491">
        <v>1</v>
      </c>
      <c r="C491">
        <v>34.99</v>
      </c>
      <c r="D491">
        <v>34.99</v>
      </c>
      <c r="E491" t="s">
        <v>465</v>
      </c>
      <c r="F491" t="s">
        <v>1728</v>
      </c>
      <c r="G491" t="s">
        <v>16</v>
      </c>
      <c r="H491">
        <v>6</v>
      </c>
      <c r="I491" t="s">
        <v>17</v>
      </c>
      <c r="J491" t="s">
        <v>36</v>
      </c>
      <c r="K491">
        <v>12.5</v>
      </c>
      <c r="O491">
        <v>21.99</v>
      </c>
    </row>
    <row r="492" spans="1:15" x14ac:dyDescent="0.35">
      <c r="A492" t="s">
        <v>685</v>
      </c>
      <c r="B492">
        <v>1</v>
      </c>
      <c r="C492">
        <v>16.989999999999998</v>
      </c>
      <c r="D492">
        <v>16.989999999999998</v>
      </c>
      <c r="E492" t="s">
        <v>110</v>
      </c>
      <c r="F492" t="s">
        <v>1717</v>
      </c>
      <c r="G492" t="s">
        <v>16</v>
      </c>
      <c r="H492">
        <v>25</v>
      </c>
      <c r="I492" t="s">
        <v>12</v>
      </c>
      <c r="J492" t="s">
        <v>25</v>
      </c>
      <c r="K492">
        <v>5</v>
      </c>
      <c r="O492">
        <v>21.99</v>
      </c>
    </row>
    <row r="493" spans="1:15" x14ac:dyDescent="0.35">
      <c r="A493" t="s">
        <v>686</v>
      </c>
      <c r="B493">
        <v>2</v>
      </c>
      <c r="C493">
        <v>18.989999999999998</v>
      </c>
      <c r="D493">
        <v>32.479999999999997</v>
      </c>
      <c r="E493" s="6">
        <v>46226</v>
      </c>
      <c r="F493" t="s">
        <v>1718</v>
      </c>
      <c r="G493" t="s">
        <v>16</v>
      </c>
      <c r="H493">
        <v>12</v>
      </c>
      <c r="I493" t="s">
        <v>17</v>
      </c>
      <c r="J493" t="s">
        <v>42</v>
      </c>
      <c r="K493">
        <v>6</v>
      </c>
      <c r="O493">
        <v>37.979999999999997</v>
      </c>
    </row>
    <row r="494" spans="1:15" x14ac:dyDescent="0.35">
      <c r="A494" t="s">
        <v>687</v>
      </c>
      <c r="B494">
        <v>1</v>
      </c>
      <c r="C494">
        <v>18.989999999999998</v>
      </c>
      <c r="D494">
        <v>18.989999999999998</v>
      </c>
      <c r="E494" t="s">
        <v>688</v>
      </c>
      <c r="F494" t="s">
        <v>1719</v>
      </c>
      <c r="G494" t="s">
        <v>21</v>
      </c>
      <c r="H494">
        <v>0</v>
      </c>
      <c r="I494" t="s">
        <v>41</v>
      </c>
      <c r="J494" t="s">
        <v>42</v>
      </c>
      <c r="K494">
        <v>6</v>
      </c>
      <c r="O494">
        <v>21.99</v>
      </c>
    </row>
    <row r="495" spans="1:15" x14ac:dyDescent="0.35">
      <c r="A495" t="s">
        <v>689</v>
      </c>
      <c r="B495">
        <v>1</v>
      </c>
      <c r="C495">
        <v>27.99</v>
      </c>
      <c r="D495">
        <v>27.99</v>
      </c>
      <c r="E495" t="s">
        <v>567</v>
      </c>
      <c r="F495" t="s">
        <v>1720</v>
      </c>
      <c r="G495" t="s">
        <v>11</v>
      </c>
      <c r="H495">
        <v>2</v>
      </c>
      <c r="I495" t="s">
        <v>24</v>
      </c>
      <c r="J495" t="s">
        <v>31</v>
      </c>
      <c r="K495">
        <v>9</v>
      </c>
      <c r="O495">
        <v>21.99</v>
      </c>
    </row>
    <row r="496" spans="1:15" x14ac:dyDescent="0.35">
      <c r="A496" t="s">
        <v>690</v>
      </c>
      <c r="B496">
        <v>1</v>
      </c>
      <c r="C496">
        <v>18.989999999999998</v>
      </c>
      <c r="D496">
        <v>18.989999999999998</v>
      </c>
      <c r="E496" t="s">
        <v>670</v>
      </c>
      <c r="F496" t="s">
        <v>1721</v>
      </c>
      <c r="G496" t="s">
        <v>21</v>
      </c>
      <c r="H496">
        <v>0</v>
      </c>
      <c r="I496" t="s">
        <v>12</v>
      </c>
      <c r="J496" t="s">
        <v>42</v>
      </c>
      <c r="K496">
        <v>6</v>
      </c>
      <c r="O496">
        <v>21.99</v>
      </c>
    </row>
    <row r="497" spans="1:15" x14ac:dyDescent="0.35">
      <c r="A497" t="s">
        <v>691</v>
      </c>
      <c r="B497">
        <v>3</v>
      </c>
      <c r="C497">
        <v>18.989999999999998</v>
      </c>
      <c r="D497">
        <v>44.87</v>
      </c>
      <c r="E497" t="s">
        <v>692</v>
      </c>
      <c r="F497" t="s">
        <v>1722</v>
      </c>
      <c r="G497" t="s">
        <v>21</v>
      </c>
      <c r="H497">
        <v>0</v>
      </c>
      <c r="I497" t="s">
        <v>12</v>
      </c>
      <c r="J497" t="s">
        <v>42</v>
      </c>
      <c r="K497">
        <v>6</v>
      </c>
      <c r="O497">
        <v>84.73</v>
      </c>
    </row>
    <row r="498" spans="1:15" x14ac:dyDescent="0.35">
      <c r="A498" t="s">
        <v>693</v>
      </c>
      <c r="B498">
        <v>2</v>
      </c>
      <c r="C498">
        <v>16.989999999999998</v>
      </c>
      <c r="D498">
        <v>29.53</v>
      </c>
      <c r="E498" t="s">
        <v>694</v>
      </c>
      <c r="F498" t="s">
        <v>1723</v>
      </c>
      <c r="G498" t="s">
        <v>16</v>
      </c>
      <c r="H498">
        <v>20</v>
      </c>
      <c r="I498" t="s">
        <v>41</v>
      </c>
      <c r="J498" t="s">
        <v>25</v>
      </c>
      <c r="K498">
        <v>5</v>
      </c>
      <c r="O498">
        <v>37.979999999999997</v>
      </c>
    </row>
    <row r="499" spans="1:15" x14ac:dyDescent="0.35">
      <c r="A499" t="s">
        <v>695</v>
      </c>
      <c r="B499">
        <v>1</v>
      </c>
      <c r="C499">
        <v>18.989999999999998</v>
      </c>
      <c r="D499">
        <v>18.989999999999998</v>
      </c>
      <c r="E499" t="s">
        <v>176</v>
      </c>
      <c r="F499" t="s">
        <v>1724</v>
      </c>
      <c r="G499" t="s">
        <v>16</v>
      </c>
      <c r="H499">
        <v>11</v>
      </c>
      <c r="I499" t="s">
        <v>17</v>
      </c>
      <c r="J499" t="s">
        <v>42</v>
      </c>
      <c r="K499">
        <v>6</v>
      </c>
      <c r="O499">
        <v>21.99</v>
      </c>
    </row>
    <row r="500" spans="1:15" x14ac:dyDescent="0.35">
      <c r="A500" t="s">
        <v>696</v>
      </c>
      <c r="B500">
        <v>3</v>
      </c>
      <c r="C500">
        <v>21.99</v>
      </c>
      <c r="D500">
        <v>53.27</v>
      </c>
      <c r="E500" t="s">
        <v>132</v>
      </c>
      <c r="F500" t="s">
        <v>1725</v>
      </c>
      <c r="G500" t="s">
        <v>16</v>
      </c>
      <c r="H500">
        <v>3</v>
      </c>
      <c r="I500" t="s">
        <v>41</v>
      </c>
      <c r="J500" t="s">
        <v>13</v>
      </c>
      <c r="K500">
        <v>7</v>
      </c>
      <c r="O500">
        <v>84.73</v>
      </c>
    </row>
    <row r="501" spans="1:15" x14ac:dyDescent="0.35">
      <c r="A501" t="s">
        <v>697</v>
      </c>
      <c r="B501">
        <v>1</v>
      </c>
      <c r="C501">
        <v>30.99</v>
      </c>
      <c r="D501">
        <v>30.99</v>
      </c>
      <c r="E501" t="s">
        <v>86</v>
      </c>
      <c r="F501" t="s">
        <v>1726</v>
      </c>
      <c r="G501" t="s">
        <v>28</v>
      </c>
      <c r="H501">
        <v>0</v>
      </c>
      <c r="I501" t="s">
        <v>24</v>
      </c>
      <c r="J501" t="s">
        <v>18</v>
      </c>
      <c r="K501">
        <v>10.5</v>
      </c>
      <c r="O501">
        <v>21.99</v>
      </c>
    </row>
    <row r="502" spans="1:15" x14ac:dyDescent="0.35">
      <c r="A502" t="s">
        <v>698</v>
      </c>
      <c r="B502">
        <v>1</v>
      </c>
      <c r="C502">
        <v>18.989999999999998</v>
      </c>
      <c r="D502">
        <v>18.989999999999998</v>
      </c>
      <c r="E502" t="s">
        <v>699</v>
      </c>
      <c r="F502" t="s">
        <v>1727</v>
      </c>
      <c r="G502" t="s">
        <v>21</v>
      </c>
      <c r="H502">
        <v>0</v>
      </c>
      <c r="I502" t="s">
        <v>41</v>
      </c>
      <c r="J502" t="s">
        <v>42</v>
      </c>
      <c r="K502">
        <v>6</v>
      </c>
      <c r="O502">
        <v>21.99</v>
      </c>
    </row>
    <row r="503" spans="1:15" x14ac:dyDescent="0.35">
      <c r="A503" t="s">
        <v>700</v>
      </c>
      <c r="B503">
        <v>1</v>
      </c>
      <c r="C503">
        <v>30.99</v>
      </c>
      <c r="D503">
        <v>30.99</v>
      </c>
      <c r="E503" t="s">
        <v>701</v>
      </c>
      <c r="F503" t="s">
        <v>1728</v>
      </c>
      <c r="G503" t="s">
        <v>87</v>
      </c>
      <c r="H503">
        <v>0</v>
      </c>
      <c r="I503" t="s">
        <v>17</v>
      </c>
      <c r="J503" t="s">
        <v>18</v>
      </c>
      <c r="K503">
        <v>10.5</v>
      </c>
      <c r="O503">
        <v>21.99</v>
      </c>
    </row>
    <row r="504" spans="1:15" x14ac:dyDescent="0.35">
      <c r="A504" t="s">
        <v>702</v>
      </c>
      <c r="B504">
        <v>1</v>
      </c>
      <c r="C504">
        <v>21.99</v>
      </c>
      <c r="D504">
        <v>21.99</v>
      </c>
      <c r="E504" t="s">
        <v>703</v>
      </c>
      <c r="F504" t="s">
        <v>1717</v>
      </c>
      <c r="G504" t="s">
        <v>16</v>
      </c>
      <c r="H504">
        <v>3</v>
      </c>
      <c r="I504" t="s">
        <v>12</v>
      </c>
      <c r="J504" t="s">
        <v>13</v>
      </c>
      <c r="K504">
        <v>7</v>
      </c>
      <c r="O504">
        <v>21.99</v>
      </c>
    </row>
    <row r="505" spans="1:15" x14ac:dyDescent="0.35">
      <c r="A505" t="s">
        <v>704</v>
      </c>
      <c r="B505">
        <v>1</v>
      </c>
      <c r="C505">
        <v>27.99</v>
      </c>
      <c r="D505">
        <v>27.99</v>
      </c>
      <c r="E505" t="s">
        <v>531</v>
      </c>
      <c r="F505" t="s">
        <v>1718</v>
      </c>
      <c r="G505" t="s">
        <v>16</v>
      </c>
      <c r="H505">
        <v>2</v>
      </c>
      <c r="I505" t="s">
        <v>12</v>
      </c>
      <c r="J505" t="s">
        <v>31</v>
      </c>
      <c r="K505">
        <v>9</v>
      </c>
      <c r="O505">
        <v>21.99</v>
      </c>
    </row>
    <row r="506" spans="1:15" x14ac:dyDescent="0.35">
      <c r="A506" t="s">
        <v>705</v>
      </c>
      <c r="B506">
        <v>1</v>
      </c>
      <c r="C506">
        <v>21.99</v>
      </c>
      <c r="D506">
        <v>21.99</v>
      </c>
      <c r="E506" t="s">
        <v>706</v>
      </c>
      <c r="F506" t="s">
        <v>1719</v>
      </c>
      <c r="G506" t="s">
        <v>21</v>
      </c>
      <c r="H506">
        <v>0</v>
      </c>
      <c r="I506" t="s">
        <v>12</v>
      </c>
      <c r="J506" t="s">
        <v>13</v>
      </c>
      <c r="K506">
        <v>7</v>
      </c>
      <c r="O506">
        <v>21.99</v>
      </c>
    </row>
    <row r="507" spans="1:15" x14ac:dyDescent="0.35">
      <c r="A507" t="s">
        <v>707</v>
      </c>
      <c r="B507">
        <v>1</v>
      </c>
      <c r="C507">
        <v>18.989999999999998</v>
      </c>
      <c r="D507">
        <v>18.989999999999998</v>
      </c>
      <c r="E507" t="s">
        <v>459</v>
      </c>
      <c r="F507" t="s">
        <v>1720</v>
      </c>
      <c r="G507" t="s">
        <v>16</v>
      </c>
      <c r="H507">
        <v>12</v>
      </c>
      <c r="I507" t="s">
        <v>17</v>
      </c>
      <c r="J507" t="s">
        <v>42</v>
      </c>
      <c r="K507">
        <v>6</v>
      </c>
      <c r="O507">
        <v>21.99</v>
      </c>
    </row>
    <row r="508" spans="1:15" x14ac:dyDescent="0.35">
      <c r="A508" t="s">
        <v>708</v>
      </c>
      <c r="B508">
        <v>3</v>
      </c>
      <c r="C508">
        <v>27.99</v>
      </c>
      <c r="D508">
        <v>66.67</v>
      </c>
      <c r="E508" t="s">
        <v>709</v>
      </c>
      <c r="F508" t="s">
        <v>1721</v>
      </c>
      <c r="G508" t="s">
        <v>16</v>
      </c>
      <c r="H508">
        <v>3</v>
      </c>
      <c r="I508" t="s">
        <v>41</v>
      </c>
      <c r="J508" t="s">
        <v>31</v>
      </c>
      <c r="K508">
        <v>9</v>
      </c>
      <c r="O508">
        <v>84.73</v>
      </c>
    </row>
    <row r="509" spans="1:15" x14ac:dyDescent="0.35">
      <c r="A509" t="s">
        <v>710</v>
      </c>
      <c r="B509">
        <v>2</v>
      </c>
      <c r="C509">
        <v>16.989999999999998</v>
      </c>
      <c r="D509">
        <v>29.3</v>
      </c>
      <c r="E509" t="s">
        <v>711</v>
      </c>
      <c r="F509" t="s">
        <v>1722</v>
      </c>
      <c r="G509" t="s">
        <v>16</v>
      </c>
      <c r="H509">
        <v>18</v>
      </c>
      <c r="I509" t="s">
        <v>12</v>
      </c>
      <c r="J509" t="s">
        <v>25</v>
      </c>
      <c r="K509">
        <v>5</v>
      </c>
      <c r="O509">
        <v>37.979999999999997</v>
      </c>
    </row>
    <row r="510" spans="1:15" x14ac:dyDescent="0.35">
      <c r="A510" t="s">
        <v>712</v>
      </c>
      <c r="B510">
        <v>2</v>
      </c>
      <c r="C510">
        <v>34.99</v>
      </c>
      <c r="D510">
        <v>60.06</v>
      </c>
      <c r="E510" t="s">
        <v>126</v>
      </c>
      <c r="F510" t="s">
        <v>1723</v>
      </c>
      <c r="G510" t="s">
        <v>21</v>
      </c>
      <c r="H510">
        <v>0</v>
      </c>
      <c r="I510" t="s">
        <v>17</v>
      </c>
      <c r="J510" t="s">
        <v>36</v>
      </c>
      <c r="K510">
        <v>12.5</v>
      </c>
      <c r="O510">
        <v>37.979999999999997</v>
      </c>
    </row>
    <row r="511" spans="1:15" x14ac:dyDescent="0.35">
      <c r="A511" t="s">
        <v>713</v>
      </c>
      <c r="B511">
        <v>1</v>
      </c>
      <c r="C511">
        <v>16.989999999999998</v>
      </c>
      <c r="D511">
        <v>16.989999999999998</v>
      </c>
      <c r="E511" t="s">
        <v>706</v>
      </c>
      <c r="F511" t="s">
        <v>1724</v>
      </c>
      <c r="G511" t="s">
        <v>16</v>
      </c>
      <c r="H511">
        <v>15</v>
      </c>
      <c r="I511" t="s">
        <v>41</v>
      </c>
      <c r="J511" t="s">
        <v>25</v>
      </c>
      <c r="K511">
        <v>5</v>
      </c>
      <c r="O511">
        <v>21.99</v>
      </c>
    </row>
    <row r="512" spans="1:15" x14ac:dyDescent="0.35">
      <c r="A512" t="s">
        <v>714</v>
      </c>
      <c r="B512">
        <v>1</v>
      </c>
      <c r="C512">
        <v>34.99</v>
      </c>
      <c r="D512">
        <v>34.99</v>
      </c>
      <c r="E512" t="s">
        <v>70</v>
      </c>
      <c r="F512" t="s">
        <v>1725</v>
      </c>
      <c r="G512" t="s">
        <v>11</v>
      </c>
      <c r="H512">
        <v>7</v>
      </c>
      <c r="I512" t="s">
        <v>12</v>
      </c>
      <c r="J512" t="s">
        <v>36</v>
      </c>
      <c r="K512">
        <v>12.5</v>
      </c>
      <c r="O512">
        <v>21.99</v>
      </c>
    </row>
    <row r="513" spans="1:15" x14ac:dyDescent="0.35">
      <c r="A513" t="s">
        <v>715</v>
      </c>
      <c r="B513">
        <v>3</v>
      </c>
      <c r="C513">
        <v>34.99</v>
      </c>
      <c r="D513">
        <v>84.73</v>
      </c>
      <c r="E513" t="s">
        <v>623</v>
      </c>
      <c r="F513" t="s">
        <v>1726</v>
      </c>
      <c r="G513" t="s">
        <v>16</v>
      </c>
      <c r="H513">
        <v>5</v>
      </c>
      <c r="I513" t="s">
        <v>12</v>
      </c>
      <c r="J513" t="s">
        <v>36</v>
      </c>
      <c r="K513">
        <v>12.5</v>
      </c>
      <c r="O513">
        <v>84.73</v>
      </c>
    </row>
    <row r="514" spans="1:15" x14ac:dyDescent="0.35">
      <c r="A514" t="s">
        <v>716</v>
      </c>
      <c r="B514">
        <v>3</v>
      </c>
      <c r="C514">
        <v>34.99</v>
      </c>
      <c r="D514">
        <v>84.13</v>
      </c>
      <c r="E514" t="s">
        <v>54</v>
      </c>
      <c r="F514" t="s">
        <v>1727</v>
      </c>
      <c r="G514" t="s">
        <v>16</v>
      </c>
      <c r="H514">
        <v>8</v>
      </c>
      <c r="I514" t="s">
        <v>17</v>
      </c>
      <c r="J514" t="s">
        <v>36</v>
      </c>
      <c r="K514">
        <v>12.5</v>
      </c>
      <c r="O514">
        <v>84.73</v>
      </c>
    </row>
    <row r="515" spans="1:15" x14ac:dyDescent="0.35">
      <c r="A515" t="s">
        <v>717</v>
      </c>
      <c r="B515">
        <v>1</v>
      </c>
      <c r="C515">
        <v>18.989999999999998</v>
      </c>
      <c r="D515">
        <v>18.989999999999998</v>
      </c>
      <c r="E515" t="s">
        <v>639</v>
      </c>
      <c r="F515" t="s">
        <v>1728</v>
      </c>
      <c r="G515" t="s">
        <v>16</v>
      </c>
      <c r="H515">
        <v>11</v>
      </c>
      <c r="I515" t="s">
        <v>12</v>
      </c>
      <c r="J515" t="s">
        <v>42</v>
      </c>
      <c r="K515">
        <v>6</v>
      </c>
      <c r="O515">
        <v>21.99</v>
      </c>
    </row>
    <row r="516" spans="1:15" x14ac:dyDescent="0.35">
      <c r="A516" t="s">
        <v>718</v>
      </c>
      <c r="B516">
        <v>1</v>
      </c>
      <c r="C516">
        <v>30.99</v>
      </c>
      <c r="D516">
        <v>30.99</v>
      </c>
      <c r="E516" t="s">
        <v>504</v>
      </c>
      <c r="F516" t="s">
        <v>1717</v>
      </c>
      <c r="G516" t="s">
        <v>11</v>
      </c>
      <c r="H516">
        <v>5</v>
      </c>
      <c r="I516" t="s">
        <v>12</v>
      </c>
      <c r="J516" t="s">
        <v>18</v>
      </c>
      <c r="K516">
        <v>10.5</v>
      </c>
      <c r="O516">
        <v>21.99</v>
      </c>
    </row>
    <row r="517" spans="1:15" x14ac:dyDescent="0.35">
      <c r="A517" t="s">
        <v>719</v>
      </c>
      <c r="B517">
        <v>1</v>
      </c>
      <c r="C517">
        <v>16.989999999999998</v>
      </c>
      <c r="D517">
        <v>16.989999999999998</v>
      </c>
      <c r="E517" t="s">
        <v>720</v>
      </c>
      <c r="F517" t="s">
        <v>1718</v>
      </c>
      <c r="G517" t="s">
        <v>16</v>
      </c>
      <c r="H517">
        <v>15</v>
      </c>
      <c r="I517" t="s">
        <v>24</v>
      </c>
      <c r="J517" t="s">
        <v>25</v>
      </c>
      <c r="K517">
        <v>5</v>
      </c>
      <c r="O517">
        <v>21.99</v>
      </c>
    </row>
    <row r="518" spans="1:15" x14ac:dyDescent="0.35">
      <c r="A518" t="s">
        <v>721</v>
      </c>
      <c r="B518">
        <v>1</v>
      </c>
      <c r="C518">
        <v>16.989999999999998</v>
      </c>
      <c r="D518">
        <v>16.989999999999998</v>
      </c>
      <c r="E518" t="s">
        <v>722</v>
      </c>
      <c r="F518" t="s">
        <v>1719</v>
      </c>
      <c r="G518" t="s">
        <v>21</v>
      </c>
      <c r="H518">
        <v>0</v>
      </c>
      <c r="I518" t="s">
        <v>17</v>
      </c>
      <c r="J518" t="s">
        <v>25</v>
      </c>
      <c r="K518">
        <v>5</v>
      </c>
      <c r="O518">
        <v>21.99</v>
      </c>
    </row>
    <row r="519" spans="1:15" x14ac:dyDescent="0.35">
      <c r="A519" t="s">
        <v>723</v>
      </c>
      <c r="B519">
        <v>1</v>
      </c>
      <c r="C519">
        <v>34.99</v>
      </c>
      <c r="D519">
        <v>34.99</v>
      </c>
      <c r="E519" t="s">
        <v>634</v>
      </c>
      <c r="F519" t="s">
        <v>1720</v>
      </c>
      <c r="G519" t="s">
        <v>21</v>
      </c>
      <c r="H519">
        <v>0</v>
      </c>
      <c r="I519" t="s">
        <v>12</v>
      </c>
      <c r="J519" t="s">
        <v>36</v>
      </c>
      <c r="K519">
        <v>12.5</v>
      </c>
      <c r="O519">
        <v>21.99</v>
      </c>
    </row>
    <row r="520" spans="1:15" x14ac:dyDescent="0.35">
      <c r="A520" t="s">
        <v>724</v>
      </c>
      <c r="B520">
        <v>1</v>
      </c>
      <c r="C520">
        <v>30.99</v>
      </c>
      <c r="D520">
        <v>30.99</v>
      </c>
      <c r="E520" t="s">
        <v>725</v>
      </c>
      <c r="F520" t="s">
        <v>1721</v>
      </c>
      <c r="G520" t="s">
        <v>16</v>
      </c>
      <c r="H520">
        <v>6</v>
      </c>
      <c r="I520" t="s">
        <v>12</v>
      </c>
      <c r="J520" t="s">
        <v>18</v>
      </c>
      <c r="K520">
        <v>10.5</v>
      </c>
      <c r="O520">
        <v>21.99</v>
      </c>
    </row>
    <row r="521" spans="1:15" x14ac:dyDescent="0.35">
      <c r="A521" t="s">
        <v>726</v>
      </c>
      <c r="B521">
        <v>1</v>
      </c>
      <c r="C521">
        <v>18.989999999999998</v>
      </c>
      <c r="D521">
        <v>18.989999999999998</v>
      </c>
      <c r="E521" t="s">
        <v>556</v>
      </c>
      <c r="F521" t="s">
        <v>1722</v>
      </c>
      <c r="G521" t="s">
        <v>16</v>
      </c>
      <c r="H521">
        <v>11</v>
      </c>
      <c r="I521" t="s">
        <v>12</v>
      </c>
      <c r="J521" t="s">
        <v>42</v>
      </c>
      <c r="K521">
        <v>6</v>
      </c>
      <c r="O521">
        <v>21.99</v>
      </c>
    </row>
    <row r="522" spans="1:15" x14ac:dyDescent="0.35">
      <c r="A522" t="s">
        <v>727</v>
      </c>
      <c r="B522">
        <v>1</v>
      </c>
      <c r="C522">
        <v>27.99</v>
      </c>
      <c r="D522">
        <v>27.99</v>
      </c>
      <c r="E522" t="s">
        <v>66</v>
      </c>
      <c r="F522" t="s">
        <v>1723</v>
      </c>
      <c r="G522" t="s">
        <v>16</v>
      </c>
      <c r="H522">
        <v>3</v>
      </c>
      <c r="I522" t="s">
        <v>12</v>
      </c>
      <c r="J522" t="s">
        <v>31</v>
      </c>
      <c r="K522">
        <v>9</v>
      </c>
      <c r="O522">
        <v>21.99</v>
      </c>
    </row>
    <row r="523" spans="1:15" x14ac:dyDescent="0.35">
      <c r="A523" t="s">
        <v>728</v>
      </c>
      <c r="B523">
        <v>3</v>
      </c>
      <c r="C523">
        <v>16.989999999999998</v>
      </c>
      <c r="D523">
        <v>40.08</v>
      </c>
      <c r="E523" t="s">
        <v>46</v>
      </c>
      <c r="F523" t="s">
        <v>1724</v>
      </c>
      <c r="G523" t="s">
        <v>16</v>
      </c>
      <c r="H523">
        <v>17</v>
      </c>
      <c r="I523" t="s">
        <v>12</v>
      </c>
      <c r="J523" t="s">
        <v>25</v>
      </c>
      <c r="K523">
        <v>5</v>
      </c>
      <c r="O523">
        <v>84.73</v>
      </c>
    </row>
    <row r="524" spans="1:15" x14ac:dyDescent="0.35">
      <c r="A524" t="s">
        <v>729</v>
      </c>
      <c r="B524">
        <v>1</v>
      </c>
      <c r="C524">
        <v>21.99</v>
      </c>
      <c r="D524">
        <v>21.99</v>
      </c>
      <c r="E524" t="s">
        <v>730</v>
      </c>
      <c r="F524" t="s">
        <v>1725</v>
      </c>
      <c r="G524" t="s">
        <v>16</v>
      </c>
      <c r="H524">
        <v>2</v>
      </c>
      <c r="I524" t="s">
        <v>17</v>
      </c>
      <c r="J524" t="s">
        <v>13</v>
      </c>
      <c r="K524">
        <v>7</v>
      </c>
      <c r="O524">
        <v>21.99</v>
      </c>
    </row>
    <row r="525" spans="1:15" x14ac:dyDescent="0.35">
      <c r="A525" t="s">
        <v>731</v>
      </c>
      <c r="B525">
        <v>1</v>
      </c>
      <c r="C525">
        <v>27.99</v>
      </c>
      <c r="D525">
        <v>27.99</v>
      </c>
      <c r="E525" t="s">
        <v>732</v>
      </c>
      <c r="F525" t="s">
        <v>1726</v>
      </c>
      <c r="G525" t="s">
        <v>16</v>
      </c>
      <c r="H525">
        <v>2</v>
      </c>
      <c r="I525" t="s">
        <v>24</v>
      </c>
      <c r="J525" t="s">
        <v>31</v>
      </c>
      <c r="K525">
        <v>9</v>
      </c>
      <c r="O525">
        <v>21.99</v>
      </c>
    </row>
    <row r="526" spans="1:15" x14ac:dyDescent="0.35">
      <c r="A526" t="s">
        <v>733</v>
      </c>
      <c r="B526">
        <v>2</v>
      </c>
      <c r="C526">
        <v>34.99</v>
      </c>
      <c r="D526">
        <v>61.01</v>
      </c>
      <c r="E526" t="s">
        <v>734</v>
      </c>
      <c r="F526" t="s">
        <v>1727</v>
      </c>
      <c r="G526" t="s">
        <v>16</v>
      </c>
      <c r="H526">
        <v>8</v>
      </c>
      <c r="I526" t="s">
        <v>12</v>
      </c>
      <c r="J526" t="s">
        <v>36</v>
      </c>
      <c r="K526">
        <v>12.5</v>
      </c>
      <c r="O526">
        <v>37.979999999999997</v>
      </c>
    </row>
    <row r="527" spans="1:15" x14ac:dyDescent="0.35">
      <c r="A527" t="s">
        <v>735</v>
      </c>
      <c r="B527">
        <v>3</v>
      </c>
      <c r="C527">
        <v>30.99</v>
      </c>
      <c r="D527">
        <v>74.849999999999994</v>
      </c>
      <c r="E527" t="s">
        <v>736</v>
      </c>
      <c r="F527" t="s">
        <v>1728</v>
      </c>
      <c r="G527" t="s">
        <v>16</v>
      </c>
      <c r="H527">
        <v>3</v>
      </c>
      <c r="I527" t="s">
        <v>24</v>
      </c>
      <c r="J527" t="s">
        <v>18</v>
      </c>
      <c r="K527">
        <v>10.5</v>
      </c>
      <c r="O527">
        <v>84.73</v>
      </c>
    </row>
    <row r="528" spans="1:15" x14ac:dyDescent="0.35">
      <c r="A528" t="s">
        <v>737</v>
      </c>
      <c r="B528">
        <v>2</v>
      </c>
      <c r="C528">
        <v>16.989999999999998</v>
      </c>
      <c r="D528">
        <v>29.64</v>
      </c>
      <c r="E528" s="6">
        <v>46071</v>
      </c>
      <c r="F528" t="s">
        <v>1717</v>
      </c>
      <c r="G528" t="s">
        <v>21</v>
      </c>
      <c r="H528">
        <v>0</v>
      </c>
      <c r="I528" t="s">
        <v>41</v>
      </c>
      <c r="J528" t="s">
        <v>25</v>
      </c>
      <c r="K528">
        <v>5</v>
      </c>
      <c r="O528">
        <v>37.979999999999997</v>
      </c>
    </row>
    <row r="529" spans="1:15" x14ac:dyDescent="0.35">
      <c r="A529" t="s">
        <v>738</v>
      </c>
      <c r="B529">
        <v>1</v>
      </c>
      <c r="C529">
        <v>18.989999999999998</v>
      </c>
      <c r="D529">
        <v>18.989999999999998</v>
      </c>
      <c r="E529" t="s">
        <v>739</v>
      </c>
      <c r="F529" t="s">
        <v>1718</v>
      </c>
      <c r="G529" t="s">
        <v>28</v>
      </c>
      <c r="H529">
        <v>0</v>
      </c>
      <c r="I529" t="s">
        <v>41</v>
      </c>
      <c r="J529" t="s">
        <v>42</v>
      </c>
      <c r="K529">
        <v>6</v>
      </c>
      <c r="O529">
        <v>21.99</v>
      </c>
    </row>
    <row r="530" spans="1:15" x14ac:dyDescent="0.35">
      <c r="A530" t="s">
        <v>740</v>
      </c>
      <c r="B530">
        <v>1</v>
      </c>
      <c r="C530">
        <v>27.99</v>
      </c>
      <c r="D530">
        <v>27.99</v>
      </c>
      <c r="E530" t="s">
        <v>126</v>
      </c>
      <c r="F530" t="s">
        <v>1719</v>
      </c>
      <c r="G530" t="s">
        <v>16</v>
      </c>
      <c r="H530">
        <v>3</v>
      </c>
      <c r="I530" t="s">
        <v>12</v>
      </c>
      <c r="J530" t="s">
        <v>31</v>
      </c>
      <c r="K530">
        <v>9</v>
      </c>
      <c r="O530">
        <v>21.99</v>
      </c>
    </row>
    <row r="531" spans="1:15" x14ac:dyDescent="0.35">
      <c r="A531" t="s">
        <v>741</v>
      </c>
      <c r="B531">
        <v>3</v>
      </c>
      <c r="C531">
        <v>34.99</v>
      </c>
      <c r="D531">
        <v>83.1</v>
      </c>
      <c r="E531" t="s">
        <v>742</v>
      </c>
      <c r="F531" t="s">
        <v>1720</v>
      </c>
      <c r="G531" t="s">
        <v>28</v>
      </c>
      <c r="H531">
        <v>0</v>
      </c>
      <c r="I531" t="s">
        <v>41</v>
      </c>
      <c r="J531" t="s">
        <v>36</v>
      </c>
      <c r="K531">
        <v>12.5</v>
      </c>
      <c r="O531">
        <v>84.73</v>
      </c>
    </row>
    <row r="532" spans="1:15" x14ac:dyDescent="0.35">
      <c r="A532" t="s">
        <v>743</v>
      </c>
      <c r="B532">
        <v>2</v>
      </c>
      <c r="C532">
        <v>16.989999999999998</v>
      </c>
      <c r="D532">
        <v>29.48</v>
      </c>
      <c r="E532" t="s">
        <v>744</v>
      </c>
      <c r="F532" t="s">
        <v>1721</v>
      </c>
      <c r="G532" t="s">
        <v>16</v>
      </c>
      <c r="H532">
        <v>16</v>
      </c>
      <c r="I532" t="s">
        <v>12</v>
      </c>
      <c r="J532" t="s">
        <v>25</v>
      </c>
      <c r="K532">
        <v>5</v>
      </c>
      <c r="O532">
        <v>37.979999999999997</v>
      </c>
    </row>
    <row r="533" spans="1:15" x14ac:dyDescent="0.35">
      <c r="A533" t="s">
        <v>745</v>
      </c>
      <c r="B533">
        <v>3</v>
      </c>
      <c r="C533">
        <v>21.99</v>
      </c>
      <c r="D533">
        <v>53.26</v>
      </c>
      <c r="E533" t="s">
        <v>587</v>
      </c>
      <c r="F533" t="s">
        <v>1722</v>
      </c>
      <c r="G533" t="s">
        <v>21</v>
      </c>
      <c r="H533">
        <v>0</v>
      </c>
      <c r="I533" t="s">
        <v>24</v>
      </c>
      <c r="J533" t="s">
        <v>13</v>
      </c>
      <c r="K533">
        <v>7</v>
      </c>
      <c r="O533">
        <v>84.73</v>
      </c>
    </row>
    <row r="534" spans="1:15" x14ac:dyDescent="0.35">
      <c r="A534" t="s">
        <v>746</v>
      </c>
      <c r="B534">
        <v>1</v>
      </c>
      <c r="C534">
        <v>21.99</v>
      </c>
      <c r="D534">
        <v>21.99</v>
      </c>
      <c r="E534" t="s">
        <v>739</v>
      </c>
      <c r="F534" t="s">
        <v>1723</v>
      </c>
      <c r="G534" t="s">
        <v>87</v>
      </c>
      <c r="H534">
        <v>0</v>
      </c>
      <c r="I534" t="s">
        <v>12</v>
      </c>
      <c r="J534" t="s">
        <v>13</v>
      </c>
      <c r="K534">
        <v>7</v>
      </c>
      <c r="O534">
        <v>21.99</v>
      </c>
    </row>
    <row r="535" spans="1:15" x14ac:dyDescent="0.35">
      <c r="A535" t="s">
        <v>747</v>
      </c>
      <c r="B535">
        <v>3</v>
      </c>
      <c r="C535">
        <v>18.989999999999998</v>
      </c>
      <c r="D535">
        <v>45.7</v>
      </c>
      <c r="E535" t="s">
        <v>606</v>
      </c>
      <c r="F535" t="s">
        <v>1724</v>
      </c>
      <c r="G535" t="s">
        <v>11</v>
      </c>
      <c r="H535">
        <v>19</v>
      </c>
      <c r="I535" t="s">
        <v>24</v>
      </c>
      <c r="J535" t="s">
        <v>42</v>
      </c>
      <c r="K535">
        <v>6</v>
      </c>
      <c r="O535">
        <v>84.73</v>
      </c>
    </row>
    <row r="536" spans="1:15" x14ac:dyDescent="0.35">
      <c r="A536" t="s">
        <v>748</v>
      </c>
      <c r="B536">
        <v>1</v>
      </c>
      <c r="C536">
        <v>34.99</v>
      </c>
      <c r="D536">
        <v>34.99</v>
      </c>
      <c r="E536" t="s">
        <v>749</v>
      </c>
      <c r="F536" t="s">
        <v>1725</v>
      </c>
      <c r="G536" t="s">
        <v>21</v>
      </c>
      <c r="H536">
        <v>0</v>
      </c>
      <c r="I536" t="s">
        <v>24</v>
      </c>
      <c r="J536" t="s">
        <v>36</v>
      </c>
      <c r="K536">
        <v>12.5</v>
      </c>
      <c r="O536">
        <v>21.99</v>
      </c>
    </row>
    <row r="537" spans="1:15" x14ac:dyDescent="0.35">
      <c r="A537" t="s">
        <v>750</v>
      </c>
      <c r="B537">
        <v>2</v>
      </c>
      <c r="C537">
        <v>16.989999999999998</v>
      </c>
      <c r="D537">
        <v>29.34</v>
      </c>
      <c r="E537" t="s">
        <v>164</v>
      </c>
      <c r="F537" t="s">
        <v>1726</v>
      </c>
      <c r="G537" t="s">
        <v>16</v>
      </c>
      <c r="H537">
        <v>15</v>
      </c>
      <c r="I537" t="s">
        <v>17</v>
      </c>
      <c r="J537" t="s">
        <v>25</v>
      </c>
      <c r="K537">
        <v>5</v>
      </c>
      <c r="O537">
        <v>37.979999999999997</v>
      </c>
    </row>
    <row r="538" spans="1:15" x14ac:dyDescent="0.35">
      <c r="A538" t="s">
        <v>751</v>
      </c>
      <c r="B538">
        <v>2</v>
      </c>
      <c r="C538">
        <v>18.989999999999998</v>
      </c>
      <c r="D538">
        <v>32.729999999999997</v>
      </c>
      <c r="E538" t="s">
        <v>66</v>
      </c>
      <c r="F538" t="s">
        <v>1727</v>
      </c>
      <c r="G538" t="s">
        <v>21</v>
      </c>
      <c r="H538">
        <v>0</v>
      </c>
      <c r="I538" t="s">
        <v>41</v>
      </c>
      <c r="J538" t="s">
        <v>42</v>
      </c>
      <c r="K538">
        <v>6</v>
      </c>
      <c r="O538">
        <v>37.979999999999997</v>
      </c>
    </row>
    <row r="539" spans="1:15" x14ac:dyDescent="0.35">
      <c r="A539" t="s">
        <v>752</v>
      </c>
      <c r="B539">
        <v>1</v>
      </c>
      <c r="C539">
        <v>34.99</v>
      </c>
      <c r="D539">
        <v>34.99</v>
      </c>
      <c r="E539" t="s">
        <v>753</v>
      </c>
      <c r="F539" t="s">
        <v>1728</v>
      </c>
      <c r="G539" t="s">
        <v>21</v>
      </c>
      <c r="H539">
        <v>0</v>
      </c>
      <c r="I539" t="s">
        <v>41</v>
      </c>
      <c r="J539" t="s">
        <v>36</v>
      </c>
      <c r="K539">
        <v>12.5</v>
      </c>
      <c r="O539">
        <v>21.99</v>
      </c>
    </row>
    <row r="540" spans="1:15" x14ac:dyDescent="0.35">
      <c r="A540" t="s">
        <v>754</v>
      </c>
      <c r="B540">
        <v>3</v>
      </c>
      <c r="C540">
        <v>34.99</v>
      </c>
      <c r="D540">
        <v>83.88</v>
      </c>
      <c r="E540" t="s">
        <v>481</v>
      </c>
      <c r="F540" t="s">
        <v>1717</v>
      </c>
      <c r="G540" t="s">
        <v>21</v>
      </c>
      <c r="H540">
        <v>0</v>
      </c>
      <c r="I540" t="s">
        <v>24</v>
      </c>
      <c r="J540" t="s">
        <v>36</v>
      </c>
      <c r="K540">
        <v>12.5</v>
      </c>
      <c r="O540">
        <v>84.73</v>
      </c>
    </row>
    <row r="541" spans="1:15" x14ac:dyDescent="0.35">
      <c r="A541" t="s">
        <v>755</v>
      </c>
      <c r="B541">
        <v>3</v>
      </c>
      <c r="C541">
        <v>34.99</v>
      </c>
      <c r="D541">
        <v>84.2</v>
      </c>
      <c r="E541" t="s">
        <v>551</v>
      </c>
      <c r="F541" t="s">
        <v>1718</v>
      </c>
      <c r="G541" t="s">
        <v>16</v>
      </c>
      <c r="H541">
        <v>8</v>
      </c>
      <c r="I541" t="s">
        <v>24</v>
      </c>
      <c r="J541" t="s">
        <v>36</v>
      </c>
      <c r="K541">
        <v>12.5</v>
      </c>
      <c r="O541">
        <v>84.73</v>
      </c>
    </row>
    <row r="542" spans="1:15" x14ac:dyDescent="0.35">
      <c r="A542" t="s">
        <v>756</v>
      </c>
      <c r="B542">
        <v>1</v>
      </c>
      <c r="C542">
        <v>30.99</v>
      </c>
      <c r="D542">
        <v>30.99</v>
      </c>
      <c r="E542" t="s">
        <v>757</v>
      </c>
      <c r="F542" t="s">
        <v>1719</v>
      </c>
      <c r="G542" t="s">
        <v>21</v>
      </c>
      <c r="H542">
        <v>0</v>
      </c>
      <c r="I542" t="s">
        <v>17</v>
      </c>
      <c r="J542" t="s">
        <v>18</v>
      </c>
      <c r="K542">
        <v>10.5</v>
      </c>
      <c r="O542">
        <v>21.99</v>
      </c>
    </row>
    <row r="543" spans="1:15" x14ac:dyDescent="0.35">
      <c r="A543" t="s">
        <v>758</v>
      </c>
      <c r="B543">
        <v>1</v>
      </c>
      <c r="C543">
        <v>16.989999999999998</v>
      </c>
      <c r="D543">
        <v>16.989999999999998</v>
      </c>
      <c r="E543" t="s">
        <v>660</v>
      </c>
      <c r="F543" t="s">
        <v>1720</v>
      </c>
      <c r="G543" t="s">
        <v>16</v>
      </c>
      <c r="H543">
        <v>20</v>
      </c>
      <c r="I543" t="s">
        <v>17</v>
      </c>
      <c r="J543" t="s">
        <v>25</v>
      </c>
      <c r="K543">
        <v>5</v>
      </c>
      <c r="O543">
        <v>21.99</v>
      </c>
    </row>
    <row r="544" spans="1:15" x14ac:dyDescent="0.35">
      <c r="A544" t="s">
        <v>759</v>
      </c>
      <c r="B544">
        <v>1</v>
      </c>
      <c r="C544">
        <v>27.99</v>
      </c>
      <c r="D544">
        <v>27.99</v>
      </c>
      <c r="E544" t="s">
        <v>760</v>
      </c>
      <c r="F544" t="s">
        <v>1721</v>
      </c>
      <c r="G544" t="s">
        <v>21</v>
      </c>
      <c r="H544">
        <v>0</v>
      </c>
      <c r="I544" t="s">
        <v>24</v>
      </c>
      <c r="J544" t="s">
        <v>31</v>
      </c>
      <c r="K544">
        <v>9</v>
      </c>
      <c r="O544">
        <v>21.99</v>
      </c>
    </row>
    <row r="545" spans="1:15" x14ac:dyDescent="0.35">
      <c r="A545" t="s">
        <v>761</v>
      </c>
      <c r="B545">
        <v>1</v>
      </c>
      <c r="C545">
        <v>18.989999999999998</v>
      </c>
      <c r="D545">
        <v>18.989999999999998</v>
      </c>
      <c r="E545" t="s">
        <v>762</v>
      </c>
      <c r="F545" t="s">
        <v>1722</v>
      </c>
      <c r="G545" t="s">
        <v>21</v>
      </c>
      <c r="H545">
        <v>0</v>
      </c>
      <c r="I545" t="s">
        <v>41</v>
      </c>
      <c r="J545" t="s">
        <v>42</v>
      </c>
      <c r="K545">
        <v>6</v>
      </c>
      <c r="O545">
        <v>21.99</v>
      </c>
    </row>
    <row r="546" spans="1:15" x14ac:dyDescent="0.35">
      <c r="A546" t="s">
        <v>763</v>
      </c>
      <c r="B546">
        <v>1</v>
      </c>
      <c r="C546">
        <v>34.99</v>
      </c>
      <c r="D546">
        <v>34.99</v>
      </c>
      <c r="E546" t="s">
        <v>579</v>
      </c>
      <c r="F546" t="s">
        <v>1723</v>
      </c>
      <c r="G546" t="s">
        <v>21</v>
      </c>
      <c r="H546">
        <v>0</v>
      </c>
      <c r="I546" t="s">
        <v>17</v>
      </c>
      <c r="J546" t="s">
        <v>36</v>
      </c>
      <c r="K546">
        <v>12.5</v>
      </c>
      <c r="O546">
        <v>21.99</v>
      </c>
    </row>
    <row r="547" spans="1:15" x14ac:dyDescent="0.35">
      <c r="A547" t="s">
        <v>764</v>
      </c>
      <c r="B547">
        <v>3</v>
      </c>
      <c r="C547">
        <v>34.99</v>
      </c>
      <c r="D547">
        <v>83.88</v>
      </c>
      <c r="E547" t="s">
        <v>765</v>
      </c>
      <c r="F547" t="s">
        <v>1724</v>
      </c>
      <c r="G547" t="s">
        <v>16</v>
      </c>
      <c r="H547">
        <v>6</v>
      </c>
      <c r="I547" t="s">
        <v>24</v>
      </c>
      <c r="J547" t="s">
        <v>36</v>
      </c>
      <c r="K547">
        <v>12.5</v>
      </c>
      <c r="O547">
        <v>84.73</v>
      </c>
    </row>
    <row r="548" spans="1:15" x14ac:dyDescent="0.35">
      <c r="A548" t="s">
        <v>766</v>
      </c>
      <c r="B548">
        <v>1</v>
      </c>
      <c r="C548">
        <v>21.99</v>
      </c>
      <c r="D548">
        <v>21.99</v>
      </c>
      <c r="E548" t="s">
        <v>511</v>
      </c>
      <c r="F548" t="s">
        <v>1725</v>
      </c>
      <c r="G548" t="s">
        <v>16</v>
      </c>
      <c r="H548">
        <v>2</v>
      </c>
      <c r="I548" t="s">
        <v>24</v>
      </c>
      <c r="J548" t="s">
        <v>13</v>
      </c>
      <c r="K548">
        <v>7</v>
      </c>
      <c r="O548">
        <v>21.99</v>
      </c>
    </row>
    <row r="549" spans="1:15" x14ac:dyDescent="0.35">
      <c r="A549" t="s">
        <v>767</v>
      </c>
      <c r="B549">
        <v>1</v>
      </c>
      <c r="C549">
        <v>30.99</v>
      </c>
      <c r="D549">
        <v>30.99</v>
      </c>
      <c r="E549" t="s">
        <v>768</v>
      </c>
      <c r="F549" t="s">
        <v>1726</v>
      </c>
      <c r="G549" t="s">
        <v>87</v>
      </c>
      <c r="H549">
        <v>0</v>
      </c>
      <c r="I549" t="s">
        <v>41</v>
      </c>
      <c r="J549" t="s">
        <v>18</v>
      </c>
      <c r="K549">
        <v>10.5</v>
      </c>
      <c r="O549">
        <v>21.99</v>
      </c>
    </row>
    <row r="550" spans="1:15" x14ac:dyDescent="0.35">
      <c r="A550" t="s">
        <v>769</v>
      </c>
      <c r="B550">
        <v>2</v>
      </c>
      <c r="C550">
        <v>34.99</v>
      </c>
      <c r="D550">
        <v>61.06</v>
      </c>
      <c r="E550" s="6">
        <v>46322</v>
      </c>
      <c r="F550" t="s">
        <v>1727</v>
      </c>
      <c r="G550" t="s">
        <v>11</v>
      </c>
      <c r="H550">
        <v>8</v>
      </c>
      <c r="I550" t="s">
        <v>41</v>
      </c>
      <c r="J550" t="s">
        <v>36</v>
      </c>
      <c r="K550">
        <v>12.5</v>
      </c>
      <c r="O550">
        <v>37.979999999999997</v>
      </c>
    </row>
    <row r="551" spans="1:15" x14ac:dyDescent="0.35">
      <c r="A551" t="s">
        <v>770</v>
      </c>
      <c r="B551">
        <v>1</v>
      </c>
      <c r="C551">
        <v>27.99</v>
      </c>
      <c r="D551">
        <v>27.99</v>
      </c>
      <c r="E551" t="s">
        <v>771</v>
      </c>
      <c r="F551" t="s">
        <v>1728</v>
      </c>
      <c r="G551" t="s">
        <v>16</v>
      </c>
      <c r="H551">
        <v>3</v>
      </c>
      <c r="I551" t="s">
        <v>12</v>
      </c>
      <c r="J551" t="s">
        <v>31</v>
      </c>
      <c r="K551">
        <v>9</v>
      </c>
      <c r="O551">
        <v>21.99</v>
      </c>
    </row>
    <row r="552" spans="1:15" x14ac:dyDescent="0.35">
      <c r="A552" t="s">
        <v>772</v>
      </c>
      <c r="B552">
        <v>1</v>
      </c>
      <c r="C552">
        <v>16.989999999999998</v>
      </c>
      <c r="D552">
        <v>16.989999999999998</v>
      </c>
      <c r="E552" t="s">
        <v>773</v>
      </c>
      <c r="F552" t="s">
        <v>1717</v>
      </c>
      <c r="G552" t="s">
        <v>16</v>
      </c>
      <c r="H552">
        <v>23</v>
      </c>
      <c r="I552" t="s">
        <v>24</v>
      </c>
      <c r="J552" t="s">
        <v>25</v>
      </c>
      <c r="K552">
        <v>5</v>
      </c>
      <c r="O552">
        <v>21.99</v>
      </c>
    </row>
    <row r="553" spans="1:15" x14ac:dyDescent="0.35">
      <c r="A553" t="s">
        <v>774</v>
      </c>
      <c r="B553">
        <v>2</v>
      </c>
      <c r="C553">
        <v>34.99</v>
      </c>
      <c r="D553">
        <v>60.13</v>
      </c>
      <c r="E553" t="s">
        <v>775</v>
      </c>
      <c r="F553" t="s">
        <v>1718</v>
      </c>
      <c r="G553" t="s">
        <v>16</v>
      </c>
      <c r="H553">
        <v>8</v>
      </c>
      <c r="I553" t="s">
        <v>41</v>
      </c>
      <c r="J553" t="s">
        <v>36</v>
      </c>
      <c r="K553">
        <v>12.5</v>
      </c>
      <c r="O553">
        <v>37.979999999999997</v>
      </c>
    </row>
    <row r="554" spans="1:15" x14ac:dyDescent="0.35">
      <c r="A554" t="s">
        <v>776</v>
      </c>
      <c r="B554">
        <v>1</v>
      </c>
      <c r="C554">
        <v>16.989999999999998</v>
      </c>
      <c r="D554">
        <v>16.989999999999998</v>
      </c>
      <c r="E554" t="s">
        <v>416</v>
      </c>
      <c r="F554" t="s">
        <v>1719</v>
      </c>
      <c r="G554" t="s">
        <v>16</v>
      </c>
      <c r="H554">
        <v>20</v>
      </c>
      <c r="I554" t="s">
        <v>24</v>
      </c>
      <c r="J554" t="s">
        <v>25</v>
      </c>
      <c r="K554">
        <v>5</v>
      </c>
      <c r="O554">
        <v>21.99</v>
      </c>
    </row>
    <row r="555" spans="1:15" x14ac:dyDescent="0.35">
      <c r="A555" t="s">
        <v>777</v>
      </c>
      <c r="B555">
        <v>1</v>
      </c>
      <c r="C555">
        <v>34.99</v>
      </c>
      <c r="D555">
        <v>34.99</v>
      </c>
      <c r="E555" t="s">
        <v>627</v>
      </c>
      <c r="F555" t="s">
        <v>1720</v>
      </c>
      <c r="G555" t="s">
        <v>16</v>
      </c>
      <c r="H555">
        <v>6</v>
      </c>
      <c r="I555" t="s">
        <v>17</v>
      </c>
      <c r="J555" t="s">
        <v>36</v>
      </c>
      <c r="K555">
        <v>12.5</v>
      </c>
      <c r="O555">
        <v>21.99</v>
      </c>
    </row>
    <row r="556" spans="1:15" x14ac:dyDescent="0.35">
      <c r="A556" t="s">
        <v>778</v>
      </c>
      <c r="B556">
        <v>1</v>
      </c>
      <c r="C556">
        <v>27.99</v>
      </c>
      <c r="D556">
        <v>27.99</v>
      </c>
      <c r="E556" t="s">
        <v>453</v>
      </c>
      <c r="F556" t="s">
        <v>1721</v>
      </c>
      <c r="G556" t="s">
        <v>16</v>
      </c>
      <c r="H556">
        <v>2</v>
      </c>
      <c r="I556" t="s">
        <v>41</v>
      </c>
      <c r="J556" t="s">
        <v>31</v>
      </c>
      <c r="K556">
        <v>9</v>
      </c>
      <c r="O556">
        <v>21.99</v>
      </c>
    </row>
    <row r="557" spans="1:15" x14ac:dyDescent="0.35">
      <c r="A557" t="s">
        <v>779</v>
      </c>
      <c r="B557">
        <v>1</v>
      </c>
      <c r="C557">
        <v>34.99</v>
      </c>
      <c r="D557">
        <v>34.99</v>
      </c>
      <c r="E557" t="s">
        <v>780</v>
      </c>
      <c r="F557" t="s">
        <v>1722</v>
      </c>
      <c r="G557" t="s">
        <v>11</v>
      </c>
      <c r="H557">
        <v>8</v>
      </c>
      <c r="I557" t="s">
        <v>12</v>
      </c>
      <c r="J557" t="s">
        <v>36</v>
      </c>
      <c r="K557">
        <v>12.5</v>
      </c>
      <c r="O557">
        <v>21.99</v>
      </c>
    </row>
    <row r="558" spans="1:15" x14ac:dyDescent="0.35">
      <c r="A558" t="s">
        <v>781</v>
      </c>
      <c r="B558">
        <v>2</v>
      </c>
      <c r="C558">
        <v>16.989999999999998</v>
      </c>
      <c r="D558">
        <v>29.66</v>
      </c>
      <c r="E558" t="s">
        <v>575</v>
      </c>
      <c r="F558" t="s">
        <v>1723</v>
      </c>
      <c r="G558" t="s">
        <v>16</v>
      </c>
      <c r="H558">
        <v>16</v>
      </c>
      <c r="I558" t="s">
        <v>12</v>
      </c>
      <c r="J558" t="s">
        <v>25</v>
      </c>
      <c r="K558">
        <v>5</v>
      </c>
      <c r="O558">
        <v>37.979999999999997</v>
      </c>
    </row>
    <row r="559" spans="1:15" x14ac:dyDescent="0.35">
      <c r="A559" t="s">
        <v>782</v>
      </c>
      <c r="B559">
        <v>1</v>
      </c>
      <c r="C559">
        <v>34.99</v>
      </c>
      <c r="D559">
        <v>34.99</v>
      </c>
      <c r="E559" t="s">
        <v>166</v>
      </c>
      <c r="F559" t="s">
        <v>1724</v>
      </c>
      <c r="G559" t="s">
        <v>16</v>
      </c>
      <c r="H559">
        <v>5</v>
      </c>
      <c r="I559" t="s">
        <v>12</v>
      </c>
      <c r="J559" t="s">
        <v>36</v>
      </c>
      <c r="K559">
        <v>12.5</v>
      </c>
      <c r="O559">
        <v>21.99</v>
      </c>
    </row>
    <row r="560" spans="1:15" x14ac:dyDescent="0.35">
      <c r="A560" t="s">
        <v>783</v>
      </c>
      <c r="B560">
        <v>2</v>
      </c>
      <c r="C560">
        <v>21.99</v>
      </c>
      <c r="D560">
        <v>38.18</v>
      </c>
      <c r="E560" t="s">
        <v>784</v>
      </c>
      <c r="F560" t="s">
        <v>1725</v>
      </c>
      <c r="G560" t="s">
        <v>21</v>
      </c>
      <c r="H560">
        <v>0</v>
      </c>
      <c r="I560" t="s">
        <v>41</v>
      </c>
      <c r="J560" t="s">
        <v>13</v>
      </c>
      <c r="K560">
        <v>7</v>
      </c>
      <c r="O560">
        <v>37.979999999999997</v>
      </c>
    </row>
    <row r="561" spans="1:15" x14ac:dyDescent="0.35">
      <c r="A561" t="s">
        <v>785</v>
      </c>
      <c r="B561">
        <v>1</v>
      </c>
      <c r="C561">
        <v>18.989999999999998</v>
      </c>
      <c r="D561">
        <v>18.989999999999998</v>
      </c>
      <c r="E561" t="s">
        <v>786</v>
      </c>
      <c r="F561" t="s">
        <v>1726</v>
      </c>
      <c r="G561" t="s">
        <v>87</v>
      </c>
      <c r="H561">
        <v>0</v>
      </c>
      <c r="I561" t="s">
        <v>12</v>
      </c>
      <c r="J561" t="s">
        <v>42</v>
      </c>
      <c r="K561">
        <v>6</v>
      </c>
      <c r="O561">
        <v>21.99</v>
      </c>
    </row>
    <row r="562" spans="1:15" x14ac:dyDescent="0.35">
      <c r="A562" t="s">
        <v>787</v>
      </c>
      <c r="B562">
        <v>3</v>
      </c>
      <c r="C562">
        <v>34.99</v>
      </c>
      <c r="D562">
        <v>83.72</v>
      </c>
      <c r="E562" t="s">
        <v>788</v>
      </c>
      <c r="F562" t="s">
        <v>1727</v>
      </c>
      <c r="G562" t="s">
        <v>16</v>
      </c>
      <c r="H562">
        <v>5</v>
      </c>
      <c r="I562" t="s">
        <v>41</v>
      </c>
      <c r="J562" t="s">
        <v>36</v>
      </c>
      <c r="K562">
        <v>12.5</v>
      </c>
      <c r="O562">
        <v>84.73</v>
      </c>
    </row>
    <row r="563" spans="1:15" x14ac:dyDescent="0.35">
      <c r="A563" t="s">
        <v>789</v>
      </c>
      <c r="B563">
        <v>1</v>
      </c>
      <c r="C563">
        <v>27.99</v>
      </c>
      <c r="D563">
        <v>27.99</v>
      </c>
      <c r="E563" t="s">
        <v>790</v>
      </c>
      <c r="F563" t="s">
        <v>1728</v>
      </c>
      <c r="G563" t="s">
        <v>16</v>
      </c>
      <c r="H563">
        <v>8</v>
      </c>
      <c r="I563" t="s">
        <v>24</v>
      </c>
      <c r="J563" t="s">
        <v>31</v>
      </c>
      <c r="K563">
        <v>9</v>
      </c>
      <c r="O563">
        <v>21.99</v>
      </c>
    </row>
    <row r="564" spans="1:15" x14ac:dyDescent="0.35">
      <c r="A564" t="s">
        <v>791</v>
      </c>
      <c r="B564">
        <v>1</v>
      </c>
      <c r="C564">
        <v>21.99</v>
      </c>
      <c r="D564">
        <v>21.99</v>
      </c>
      <c r="E564" t="s">
        <v>582</v>
      </c>
      <c r="F564" t="s">
        <v>1717</v>
      </c>
      <c r="G564" t="s">
        <v>16</v>
      </c>
      <c r="H564">
        <v>2</v>
      </c>
      <c r="I564" t="s">
        <v>17</v>
      </c>
      <c r="J564" t="s">
        <v>13</v>
      </c>
      <c r="K564">
        <v>7</v>
      </c>
      <c r="O564">
        <v>21.99</v>
      </c>
    </row>
    <row r="565" spans="1:15" x14ac:dyDescent="0.35">
      <c r="A565" t="s">
        <v>792</v>
      </c>
      <c r="B565">
        <v>1</v>
      </c>
      <c r="C565">
        <v>27.99</v>
      </c>
      <c r="D565">
        <v>27.99</v>
      </c>
      <c r="E565" t="s">
        <v>793</v>
      </c>
      <c r="F565" t="s">
        <v>1718</v>
      </c>
      <c r="G565" t="s">
        <v>16</v>
      </c>
      <c r="H565">
        <v>7</v>
      </c>
      <c r="I565" t="s">
        <v>41</v>
      </c>
      <c r="J565" t="s">
        <v>31</v>
      </c>
      <c r="K565">
        <v>9</v>
      </c>
      <c r="O565">
        <v>21.99</v>
      </c>
    </row>
    <row r="566" spans="1:15" x14ac:dyDescent="0.35">
      <c r="A566" t="s">
        <v>794</v>
      </c>
      <c r="B566">
        <v>1</v>
      </c>
      <c r="C566">
        <v>27.99</v>
      </c>
      <c r="D566">
        <v>27.99</v>
      </c>
      <c r="E566" t="s">
        <v>795</v>
      </c>
      <c r="F566" t="s">
        <v>1719</v>
      </c>
      <c r="G566" t="s">
        <v>28</v>
      </c>
      <c r="H566">
        <v>0</v>
      </c>
      <c r="I566" t="s">
        <v>41</v>
      </c>
      <c r="J566" t="s">
        <v>31</v>
      </c>
      <c r="K566">
        <v>9</v>
      </c>
      <c r="O566">
        <v>21.99</v>
      </c>
    </row>
    <row r="567" spans="1:15" x14ac:dyDescent="0.35">
      <c r="A567" t="s">
        <v>796</v>
      </c>
      <c r="B567">
        <v>1</v>
      </c>
      <c r="C567">
        <v>30.99</v>
      </c>
      <c r="D567">
        <v>30.99</v>
      </c>
      <c r="E567" t="s">
        <v>797</v>
      </c>
      <c r="F567" t="s">
        <v>1720</v>
      </c>
      <c r="G567" t="s">
        <v>21</v>
      </c>
      <c r="H567">
        <v>0</v>
      </c>
      <c r="I567" t="s">
        <v>24</v>
      </c>
      <c r="J567" t="s">
        <v>18</v>
      </c>
      <c r="K567">
        <v>10.5</v>
      </c>
      <c r="O567">
        <v>21.99</v>
      </c>
    </row>
    <row r="568" spans="1:15" x14ac:dyDescent="0.35">
      <c r="A568" t="s">
        <v>798</v>
      </c>
      <c r="B568">
        <v>1</v>
      </c>
      <c r="C568">
        <v>30.99</v>
      </c>
      <c r="D568">
        <v>30.99</v>
      </c>
      <c r="E568" t="s">
        <v>575</v>
      </c>
      <c r="F568" t="s">
        <v>1721</v>
      </c>
      <c r="G568" t="s">
        <v>21</v>
      </c>
      <c r="H568">
        <v>0</v>
      </c>
      <c r="I568" t="s">
        <v>24</v>
      </c>
      <c r="J568" t="s">
        <v>18</v>
      </c>
      <c r="K568">
        <v>10.5</v>
      </c>
      <c r="O568">
        <v>21.99</v>
      </c>
    </row>
    <row r="569" spans="1:15" x14ac:dyDescent="0.35">
      <c r="A569" t="s">
        <v>799</v>
      </c>
      <c r="B569">
        <v>1</v>
      </c>
      <c r="C569">
        <v>21.99</v>
      </c>
      <c r="D569">
        <v>21.99</v>
      </c>
      <c r="E569" t="s">
        <v>608</v>
      </c>
      <c r="F569" t="s">
        <v>1722</v>
      </c>
      <c r="G569" t="s">
        <v>87</v>
      </c>
      <c r="H569">
        <v>0</v>
      </c>
      <c r="I569" t="s">
        <v>12</v>
      </c>
      <c r="J569" t="s">
        <v>13</v>
      </c>
      <c r="K569">
        <v>7</v>
      </c>
      <c r="O569">
        <v>21.99</v>
      </c>
    </row>
    <row r="570" spans="1:15" x14ac:dyDescent="0.35">
      <c r="A570" t="s">
        <v>800</v>
      </c>
      <c r="B570">
        <v>1</v>
      </c>
      <c r="C570">
        <v>27.99</v>
      </c>
      <c r="D570">
        <v>27.99</v>
      </c>
      <c r="E570" t="s">
        <v>801</v>
      </c>
      <c r="F570" t="s">
        <v>1723</v>
      </c>
      <c r="G570" t="s">
        <v>16</v>
      </c>
      <c r="H570">
        <v>2</v>
      </c>
      <c r="I570" t="s">
        <v>24</v>
      </c>
      <c r="J570" t="s">
        <v>31</v>
      </c>
      <c r="K570">
        <v>9</v>
      </c>
      <c r="O570">
        <v>21.99</v>
      </c>
    </row>
    <row r="571" spans="1:15" x14ac:dyDescent="0.35">
      <c r="A571" t="s">
        <v>802</v>
      </c>
      <c r="B571">
        <v>3</v>
      </c>
      <c r="C571">
        <v>18.989999999999998</v>
      </c>
      <c r="D571">
        <v>45.85</v>
      </c>
      <c r="E571" t="s">
        <v>543</v>
      </c>
      <c r="F571" t="s">
        <v>1724</v>
      </c>
      <c r="G571" t="s">
        <v>16</v>
      </c>
      <c r="H571">
        <v>10</v>
      </c>
      <c r="I571" t="s">
        <v>24</v>
      </c>
      <c r="J571" t="s">
        <v>42</v>
      </c>
      <c r="K571">
        <v>6</v>
      </c>
      <c r="O571">
        <v>84.73</v>
      </c>
    </row>
    <row r="572" spans="1:15" x14ac:dyDescent="0.35">
      <c r="A572" t="s">
        <v>803</v>
      </c>
      <c r="B572">
        <v>1</v>
      </c>
      <c r="C572">
        <v>18.989999999999998</v>
      </c>
      <c r="D572">
        <v>18.989999999999998</v>
      </c>
      <c r="E572" t="s">
        <v>804</v>
      </c>
      <c r="F572" t="s">
        <v>1725</v>
      </c>
      <c r="G572" t="s">
        <v>16</v>
      </c>
      <c r="H572">
        <v>10</v>
      </c>
      <c r="I572" t="s">
        <v>41</v>
      </c>
      <c r="J572" t="s">
        <v>42</v>
      </c>
      <c r="K572">
        <v>6</v>
      </c>
      <c r="O572">
        <v>21.99</v>
      </c>
    </row>
    <row r="573" spans="1:15" x14ac:dyDescent="0.35">
      <c r="A573" t="s">
        <v>805</v>
      </c>
      <c r="B573">
        <v>3</v>
      </c>
      <c r="C573">
        <v>27.99</v>
      </c>
      <c r="D573">
        <v>67.849999999999994</v>
      </c>
      <c r="E573" t="s">
        <v>806</v>
      </c>
      <c r="F573" t="s">
        <v>1726</v>
      </c>
      <c r="G573" t="s">
        <v>21</v>
      </c>
      <c r="H573">
        <v>0</v>
      </c>
      <c r="I573" t="s">
        <v>17</v>
      </c>
      <c r="J573" t="s">
        <v>31</v>
      </c>
      <c r="K573">
        <v>9</v>
      </c>
      <c r="O573">
        <v>84.73</v>
      </c>
    </row>
    <row r="574" spans="1:15" x14ac:dyDescent="0.35">
      <c r="A574" t="s">
        <v>807</v>
      </c>
      <c r="B574">
        <v>1</v>
      </c>
      <c r="C574">
        <v>18.989999999999998</v>
      </c>
      <c r="D574">
        <v>18.989999999999998</v>
      </c>
      <c r="E574" t="s">
        <v>808</v>
      </c>
      <c r="F574" t="s">
        <v>1727</v>
      </c>
      <c r="G574" t="s">
        <v>21</v>
      </c>
      <c r="H574">
        <v>0</v>
      </c>
      <c r="I574" t="s">
        <v>41</v>
      </c>
      <c r="J574" t="s">
        <v>42</v>
      </c>
      <c r="K574">
        <v>6</v>
      </c>
      <c r="O574">
        <v>21.99</v>
      </c>
    </row>
    <row r="575" spans="1:15" x14ac:dyDescent="0.35">
      <c r="A575" t="s">
        <v>809</v>
      </c>
      <c r="B575">
        <v>1</v>
      </c>
      <c r="C575">
        <v>18.989999999999998</v>
      </c>
      <c r="D575">
        <v>18.989999999999998</v>
      </c>
      <c r="E575" t="s">
        <v>416</v>
      </c>
      <c r="F575" t="s">
        <v>1728</v>
      </c>
      <c r="G575" t="s">
        <v>21</v>
      </c>
      <c r="H575">
        <v>0</v>
      </c>
      <c r="I575" t="s">
        <v>17</v>
      </c>
      <c r="J575" t="s">
        <v>42</v>
      </c>
      <c r="K575">
        <v>6</v>
      </c>
      <c r="O575">
        <v>21.99</v>
      </c>
    </row>
    <row r="576" spans="1:15" x14ac:dyDescent="0.35">
      <c r="A576" t="s">
        <v>810</v>
      </c>
      <c r="B576">
        <v>1</v>
      </c>
      <c r="C576">
        <v>16.989999999999998</v>
      </c>
      <c r="D576">
        <v>16.989999999999998</v>
      </c>
      <c r="E576" t="s">
        <v>610</v>
      </c>
      <c r="F576" t="s">
        <v>1717</v>
      </c>
      <c r="G576" t="s">
        <v>16</v>
      </c>
      <c r="H576">
        <v>15</v>
      </c>
      <c r="I576" t="s">
        <v>12</v>
      </c>
      <c r="J576" t="s">
        <v>25</v>
      </c>
      <c r="K576">
        <v>5</v>
      </c>
      <c r="O576">
        <v>21.99</v>
      </c>
    </row>
    <row r="577" spans="1:15" x14ac:dyDescent="0.35">
      <c r="A577" t="s">
        <v>811</v>
      </c>
      <c r="B577">
        <v>1</v>
      </c>
      <c r="C577">
        <v>34.99</v>
      </c>
      <c r="D577">
        <v>34.99</v>
      </c>
      <c r="E577" t="s">
        <v>812</v>
      </c>
      <c r="F577" t="s">
        <v>1718</v>
      </c>
      <c r="G577" t="s">
        <v>16</v>
      </c>
      <c r="H577">
        <v>6</v>
      </c>
      <c r="I577" t="s">
        <v>41</v>
      </c>
      <c r="J577" t="s">
        <v>36</v>
      </c>
      <c r="K577">
        <v>12.5</v>
      </c>
      <c r="O577">
        <v>21.99</v>
      </c>
    </row>
    <row r="578" spans="1:15" x14ac:dyDescent="0.35">
      <c r="A578" t="s">
        <v>813</v>
      </c>
      <c r="B578">
        <v>1</v>
      </c>
      <c r="C578">
        <v>27.99</v>
      </c>
      <c r="D578">
        <v>27.99</v>
      </c>
      <c r="E578" t="s">
        <v>814</v>
      </c>
      <c r="F578" t="s">
        <v>1719</v>
      </c>
      <c r="G578" t="s">
        <v>21</v>
      </c>
      <c r="H578">
        <v>0</v>
      </c>
      <c r="I578" t="s">
        <v>17</v>
      </c>
      <c r="J578" t="s">
        <v>31</v>
      </c>
      <c r="K578">
        <v>9</v>
      </c>
      <c r="O578">
        <v>21.99</v>
      </c>
    </row>
    <row r="579" spans="1:15" x14ac:dyDescent="0.35">
      <c r="A579" t="s">
        <v>815</v>
      </c>
      <c r="B579">
        <v>1</v>
      </c>
      <c r="C579">
        <v>16.989999999999998</v>
      </c>
      <c r="D579">
        <v>16.989999999999998</v>
      </c>
      <c r="E579" t="s">
        <v>106</v>
      </c>
      <c r="F579" t="s">
        <v>1720</v>
      </c>
      <c r="G579" t="s">
        <v>21</v>
      </c>
      <c r="H579">
        <v>0</v>
      </c>
      <c r="I579" t="s">
        <v>41</v>
      </c>
      <c r="J579" t="s">
        <v>25</v>
      </c>
      <c r="K579">
        <v>5</v>
      </c>
      <c r="O579">
        <v>21.99</v>
      </c>
    </row>
    <row r="580" spans="1:15" x14ac:dyDescent="0.35">
      <c r="A580" t="s">
        <v>816</v>
      </c>
      <c r="B580">
        <v>1</v>
      </c>
      <c r="C580">
        <v>34.99</v>
      </c>
      <c r="D580">
        <v>34.99</v>
      </c>
      <c r="E580" t="s">
        <v>459</v>
      </c>
      <c r="F580" t="s">
        <v>1721</v>
      </c>
      <c r="G580" t="s">
        <v>87</v>
      </c>
      <c r="H580">
        <v>0</v>
      </c>
      <c r="I580" t="s">
        <v>41</v>
      </c>
      <c r="J580" t="s">
        <v>36</v>
      </c>
      <c r="K580">
        <v>12.5</v>
      </c>
      <c r="O580">
        <v>21.99</v>
      </c>
    </row>
    <row r="581" spans="1:15" x14ac:dyDescent="0.35">
      <c r="A581" t="s">
        <v>817</v>
      </c>
      <c r="B581">
        <v>3</v>
      </c>
      <c r="C581">
        <v>21.99</v>
      </c>
      <c r="D581">
        <v>52.43</v>
      </c>
      <c r="E581" t="s">
        <v>818</v>
      </c>
      <c r="F581" t="s">
        <v>1722</v>
      </c>
      <c r="G581" t="s">
        <v>16</v>
      </c>
      <c r="H581">
        <v>2</v>
      </c>
      <c r="I581" t="s">
        <v>41</v>
      </c>
      <c r="J581" t="s">
        <v>13</v>
      </c>
      <c r="K581">
        <v>7</v>
      </c>
      <c r="O581">
        <v>84.73</v>
      </c>
    </row>
    <row r="582" spans="1:15" x14ac:dyDescent="0.35">
      <c r="A582" t="s">
        <v>819</v>
      </c>
      <c r="B582">
        <v>2</v>
      </c>
      <c r="C582">
        <v>21.99</v>
      </c>
      <c r="D582">
        <v>38.36</v>
      </c>
      <c r="E582" t="s">
        <v>820</v>
      </c>
      <c r="F582" t="s">
        <v>1723</v>
      </c>
      <c r="G582" t="s">
        <v>21</v>
      </c>
      <c r="H582">
        <v>0</v>
      </c>
      <c r="I582" t="s">
        <v>12</v>
      </c>
      <c r="J582" t="s">
        <v>13</v>
      </c>
      <c r="K582">
        <v>7</v>
      </c>
      <c r="O582">
        <v>37.979999999999997</v>
      </c>
    </row>
    <row r="583" spans="1:15" x14ac:dyDescent="0.35">
      <c r="A583" t="s">
        <v>821</v>
      </c>
      <c r="B583">
        <v>2</v>
      </c>
      <c r="C583">
        <v>27.99</v>
      </c>
      <c r="D583">
        <v>48.16</v>
      </c>
      <c r="E583" t="s">
        <v>822</v>
      </c>
      <c r="F583" t="s">
        <v>1724</v>
      </c>
      <c r="G583" t="s">
        <v>16</v>
      </c>
      <c r="H583">
        <v>2</v>
      </c>
      <c r="I583" t="s">
        <v>17</v>
      </c>
      <c r="J583" t="s">
        <v>31</v>
      </c>
      <c r="K583">
        <v>9</v>
      </c>
      <c r="O583">
        <v>37.979999999999997</v>
      </c>
    </row>
    <row r="584" spans="1:15" x14ac:dyDescent="0.35">
      <c r="A584" t="s">
        <v>823</v>
      </c>
      <c r="B584">
        <v>1</v>
      </c>
      <c r="C584">
        <v>16.989999999999998</v>
      </c>
      <c r="D584">
        <v>16.989999999999998</v>
      </c>
      <c r="E584" t="s">
        <v>33</v>
      </c>
      <c r="F584" t="s">
        <v>1725</v>
      </c>
      <c r="G584" t="s">
        <v>16</v>
      </c>
      <c r="H584">
        <v>17</v>
      </c>
      <c r="I584" t="s">
        <v>17</v>
      </c>
      <c r="J584" t="s">
        <v>25</v>
      </c>
      <c r="K584">
        <v>5</v>
      </c>
      <c r="O584">
        <v>21.99</v>
      </c>
    </row>
    <row r="585" spans="1:15" x14ac:dyDescent="0.35">
      <c r="A585" t="s">
        <v>824</v>
      </c>
      <c r="B585">
        <v>2</v>
      </c>
      <c r="C585">
        <v>34.99</v>
      </c>
      <c r="D585">
        <v>59.9</v>
      </c>
      <c r="E585" t="s">
        <v>524</v>
      </c>
      <c r="F585" t="s">
        <v>1726</v>
      </c>
      <c r="G585" t="s">
        <v>87</v>
      </c>
      <c r="H585">
        <v>0</v>
      </c>
      <c r="I585" t="s">
        <v>24</v>
      </c>
      <c r="J585" t="s">
        <v>36</v>
      </c>
      <c r="K585">
        <v>12.5</v>
      </c>
      <c r="O585">
        <v>37.979999999999997</v>
      </c>
    </row>
    <row r="586" spans="1:15" x14ac:dyDescent="0.35">
      <c r="A586" t="s">
        <v>825</v>
      </c>
      <c r="B586">
        <v>1</v>
      </c>
      <c r="C586">
        <v>18.989999999999998</v>
      </c>
      <c r="D586">
        <v>18.989999999999998</v>
      </c>
      <c r="E586" t="s">
        <v>479</v>
      </c>
      <c r="F586" t="s">
        <v>1727</v>
      </c>
      <c r="G586" t="s">
        <v>28</v>
      </c>
      <c r="H586">
        <v>0</v>
      </c>
      <c r="I586" t="s">
        <v>17</v>
      </c>
      <c r="J586" t="s">
        <v>42</v>
      </c>
      <c r="K586">
        <v>6</v>
      </c>
      <c r="O586">
        <v>21.99</v>
      </c>
    </row>
    <row r="587" spans="1:15" x14ac:dyDescent="0.35">
      <c r="A587" t="s">
        <v>826</v>
      </c>
      <c r="B587">
        <v>1</v>
      </c>
      <c r="C587">
        <v>21.99</v>
      </c>
      <c r="D587">
        <v>21.99</v>
      </c>
      <c r="E587" t="s">
        <v>162</v>
      </c>
      <c r="F587" t="s">
        <v>1728</v>
      </c>
      <c r="G587" t="s">
        <v>87</v>
      </c>
      <c r="H587">
        <v>0</v>
      </c>
      <c r="I587" t="s">
        <v>12</v>
      </c>
      <c r="J587" t="s">
        <v>13</v>
      </c>
      <c r="K587">
        <v>7</v>
      </c>
      <c r="O587">
        <v>21.99</v>
      </c>
    </row>
    <row r="588" spans="1:15" x14ac:dyDescent="0.35">
      <c r="A588" t="s">
        <v>827</v>
      </c>
      <c r="B588">
        <v>3</v>
      </c>
      <c r="C588">
        <v>34.99</v>
      </c>
      <c r="D588">
        <v>84.67</v>
      </c>
      <c r="E588" t="s">
        <v>639</v>
      </c>
      <c r="F588" t="s">
        <v>1717</v>
      </c>
      <c r="G588" t="s">
        <v>16</v>
      </c>
      <c r="H588">
        <v>6</v>
      </c>
      <c r="I588" t="s">
        <v>12</v>
      </c>
      <c r="J588" t="s">
        <v>36</v>
      </c>
      <c r="K588">
        <v>12.5</v>
      </c>
      <c r="O588">
        <v>84.73</v>
      </c>
    </row>
    <row r="589" spans="1:15" x14ac:dyDescent="0.35">
      <c r="A589" t="s">
        <v>828</v>
      </c>
      <c r="B589">
        <v>1</v>
      </c>
      <c r="C589">
        <v>30.99</v>
      </c>
      <c r="D589">
        <v>30.99</v>
      </c>
      <c r="E589" t="s">
        <v>829</v>
      </c>
      <c r="F589" t="s">
        <v>1718</v>
      </c>
      <c r="G589" t="s">
        <v>21</v>
      </c>
      <c r="H589">
        <v>0</v>
      </c>
      <c r="I589" t="s">
        <v>17</v>
      </c>
      <c r="J589" t="s">
        <v>18</v>
      </c>
      <c r="K589">
        <v>10.5</v>
      </c>
      <c r="O589">
        <v>21.99</v>
      </c>
    </row>
    <row r="590" spans="1:15" x14ac:dyDescent="0.35">
      <c r="A590" t="s">
        <v>830</v>
      </c>
      <c r="B590">
        <v>1</v>
      </c>
      <c r="C590">
        <v>34.99</v>
      </c>
      <c r="D590">
        <v>34.99</v>
      </c>
      <c r="E590" t="s">
        <v>587</v>
      </c>
      <c r="F590" t="s">
        <v>1719</v>
      </c>
      <c r="G590" t="s">
        <v>16</v>
      </c>
      <c r="H590">
        <v>8</v>
      </c>
      <c r="I590" t="s">
        <v>17</v>
      </c>
      <c r="J590" t="s">
        <v>36</v>
      </c>
      <c r="K590">
        <v>12.5</v>
      </c>
      <c r="O590">
        <v>21.99</v>
      </c>
    </row>
    <row r="591" spans="1:15" x14ac:dyDescent="0.35">
      <c r="A591" t="s">
        <v>831</v>
      </c>
      <c r="B591">
        <v>3</v>
      </c>
      <c r="C591">
        <v>18.989999999999998</v>
      </c>
      <c r="D591">
        <v>45.49</v>
      </c>
      <c r="E591" t="s">
        <v>832</v>
      </c>
      <c r="F591" t="s">
        <v>1720</v>
      </c>
      <c r="G591" t="s">
        <v>11</v>
      </c>
      <c r="H591">
        <v>14</v>
      </c>
      <c r="I591" t="s">
        <v>17</v>
      </c>
      <c r="J591" t="s">
        <v>42</v>
      </c>
      <c r="K591">
        <v>6</v>
      </c>
      <c r="O591">
        <v>84.73</v>
      </c>
    </row>
    <row r="592" spans="1:15" x14ac:dyDescent="0.35">
      <c r="A592" t="s">
        <v>833</v>
      </c>
      <c r="B592">
        <v>3</v>
      </c>
      <c r="C592">
        <v>21.99</v>
      </c>
      <c r="D592">
        <v>52.41</v>
      </c>
      <c r="E592" t="s">
        <v>834</v>
      </c>
      <c r="F592" t="s">
        <v>1721</v>
      </c>
      <c r="G592" t="s">
        <v>28</v>
      </c>
      <c r="H592">
        <v>0</v>
      </c>
      <c r="I592" t="s">
        <v>17</v>
      </c>
      <c r="J592" t="s">
        <v>13</v>
      </c>
      <c r="K592">
        <v>7</v>
      </c>
      <c r="O592">
        <v>84.73</v>
      </c>
    </row>
    <row r="593" spans="1:15" x14ac:dyDescent="0.35">
      <c r="A593" t="s">
        <v>835</v>
      </c>
      <c r="B593">
        <v>1</v>
      </c>
      <c r="C593">
        <v>18.989999999999998</v>
      </c>
      <c r="D593">
        <v>18.989999999999998</v>
      </c>
      <c r="E593" t="s">
        <v>836</v>
      </c>
      <c r="F593" t="s">
        <v>1722</v>
      </c>
      <c r="G593" t="s">
        <v>87</v>
      </c>
      <c r="H593">
        <v>0</v>
      </c>
      <c r="I593" t="s">
        <v>12</v>
      </c>
      <c r="J593" t="s">
        <v>42</v>
      </c>
      <c r="K593">
        <v>6</v>
      </c>
      <c r="O593">
        <v>21.99</v>
      </c>
    </row>
    <row r="594" spans="1:15" x14ac:dyDescent="0.35">
      <c r="A594" t="s">
        <v>837</v>
      </c>
      <c r="B594">
        <v>2</v>
      </c>
      <c r="C594">
        <v>30.99</v>
      </c>
      <c r="D594">
        <v>53.07</v>
      </c>
      <c r="E594" t="s">
        <v>838</v>
      </c>
      <c r="F594" t="s">
        <v>1723</v>
      </c>
      <c r="G594" t="s">
        <v>16</v>
      </c>
      <c r="H594">
        <v>3</v>
      </c>
      <c r="I594" t="s">
        <v>41</v>
      </c>
      <c r="J594" t="s">
        <v>18</v>
      </c>
      <c r="K594">
        <v>10.5</v>
      </c>
      <c r="O594">
        <v>37.979999999999997</v>
      </c>
    </row>
    <row r="595" spans="1:15" x14ac:dyDescent="0.35">
      <c r="A595" t="s">
        <v>839</v>
      </c>
      <c r="B595">
        <v>1</v>
      </c>
      <c r="C595">
        <v>18.989999999999998</v>
      </c>
      <c r="D595">
        <v>18.989999999999998</v>
      </c>
      <c r="E595" t="s">
        <v>632</v>
      </c>
      <c r="F595" t="s">
        <v>1724</v>
      </c>
      <c r="G595" t="s">
        <v>16</v>
      </c>
      <c r="H595">
        <v>20</v>
      </c>
      <c r="I595" t="s">
        <v>17</v>
      </c>
      <c r="J595" t="s">
        <v>42</v>
      </c>
      <c r="K595">
        <v>6</v>
      </c>
      <c r="O595">
        <v>21.99</v>
      </c>
    </row>
    <row r="596" spans="1:15" x14ac:dyDescent="0.35">
      <c r="A596" t="s">
        <v>840</v>
      </c>
      <c r="B596">
        <v>3</v>
      </c>
      <c r="C596">
        <v>16.989999999999998</v>
      </c>
      <c r="D596">
        <v>40.950000000000003</v>
      </c>
      <c r="E596" t="s">
        <v>841</v>
      </c>
      <c r="F596" t="s">
        <v>1725</v>
      </c>
      <c r="G596" t="s">
        <v>21</v>
      </c>
      <c r="H596">
        <v>0</v>
      </c>
      <c r="I596" t="s">
        <v>12</v>
      </c>
      <c r="J596" t="s">
        <v>25</v>
      </c>
      <c r="K596">
        <v>5</v>
      </c>
      <c r="O596">
        <v>84.73</v>
      </c>
    </row>
    <row r="597" spans="1:15" x14ac:dyDescent="0.35">
      <c r="A597" t="s">
        <v>842</v>
      </c>
      <c r="B597">
        <v>1</v>
      </c>
      <c r="C597">
        <v>21.99</v>
      </c>
      <c r="D597">
        <v>21.99</v>
      </c>
      <c r="E597" t="s">
        <v>795</v>
      </c>
      <c r="F597" t="s">
        <v>1726</v>
      </c>
      <c r="G597" t="s">
        <v>16</v>
      </c>
      <c r="H597">
        <v>3</v>
      </c>
      <c r="I597" t="s">
        <v>17</v>
      </c>
      <c r="J597" t="s">
        <v>13</v>
      </c>
      <c r="K597">
        <v>7</v>
      </c>
      <c r="O597">
        <v>21.99</v>
      </c>
    </row>
    <row r="598" spans="1:15" x14ac:dyDescent="0.35">
      <c r="A598" t="s">
        <v>843</v>
      </c>
      <c r="B598">
        <v>1</v>
      </c>
      <c r="C598">
        <v>30.99</v>
      </c>
      <c r="D598">
        <v>30.99</v>
      </c>
      <c r="E598" t="s">
        <v>812</v>
      </c>
      <c r="F598" t="s">
        <v>1727</v>
      </c>
      <c r="G598" t="s">
        <v>16</v>
      </c>
      <c r="H598">
        <v>2</v>
      </c>
      <c r="I598" t="s">
        <v>17</v>
      </c>
      <c r="J598" t="s">
        <v>18</v>
      </c>
      <c r="K598">
        <v>10.5</v>
      </c>
      <c r="O598">
        <v>21.99</v>
      </c>
    </row>
    <row r="599" spans="1:15" x14ac:dyDescent="0.35">
      <c r="A599" t="s">
        <v>844</v>
      </c>
      <c r="B599">
        <v>2</v>
      </c>
      <c r="C599">
        <v>16.989999999999998</v>
      </c>
      <c r="D599">
        <v>29.62</v>
      </c>
      <c r="E599" t="s">
        <v>447</v>
      </c>
      <c r="F599" t="s">
        <v>1728</v>
      </c>
      <c r="G599" t="s">
        <v>16</v>
      </c>
      <c r="H599">
        <v>16</v>
      </c>
      <c r="I599" t="s">
        <v>12</v>
      </c>
      <c r="J599" t="s">
        <v>25</v>
      </c>
      <c r="K599">
        <v>5</v>
      </c>
      <c r="O599">
        <v>37.979999999999997</v>
      </c>
    </row>
    <row r="600" spans="1:15" x14ac:dyDescent="0.35">
      <c r="A600" t="s">
        <v>845</v>
      </c>
      <c r="B600">
        <v>1</v>
      </c>
      <c r="C600">
        <v>30.99</v>
      </c>
      <c r="D600">
        <v>30.99</v>
      </c>
      <c r="E600" t="s">
        <v>636</v>
      </c>
      <c r="F600" t="s">
        <v>1717</v>
      </c>
      <c r="G600" t="s">
        <v>16</v>
      </c>
      <c r="H600">
        <v>3</v>
      </c>
      <c r="I600" t="s">
        <v>24</v>
      </c>
      <c r="J600" t="s">
        <v>18</v>
      </c>
      <c r="K600">
        <v>10.5</v>
      </c>
      <c r="O600">
        <v>21.99</v>
      </c>
    </row>
    <row r="601" spans="1:15" x14ac:dyDescent="0.35">
      <c r="A601" t="s">
        <v>846</v>
      </c>
      <c r="B601">
        <v>1</v>
      </c>
      <c r="C601">
        <v>18.989999999999998</v>
      </c>
      <c r="D601">
        <v>18.989999999999998</v>
      </c>
      <c r="E601" t="s">
        <v>847</v>
      </c>
      <c r="F601" t="s">
        <v>1718</v>
      </c>
      <c r="G601" t="s">
        <v>16</v>
      </c>
      <c r="H601">
        <v>14</v>
      </c>
      <c r="I601" t="s">
        <v>41</v>
      </c>
      <c r="J601" t="s">
        <v>42</v>
      </c>
      <c r="K601">
        <v>6</v>
      </c>
      <c r="O601">
        <v>21.99</v>
      </c>
    </row>
    <row r="602" spans="1:15" x14ac:dyDescent="0.35">
      <c r="A602" t="s">
        <v>848</v>
      </c>
      <c r="B602">
        <v>1</v>
      </c>
      <c r="C602">
        <v>16.989999999999998</v>
      </c>
      <c r="D602">
        <v>16.989999999999998</v>
      </c>
      <c r="E602" t="s">
        <v>522</v>
      </c>
      <c r="F602" t="s">
        <v>1719</v>
      </c>
      <c r="G602" t="s">
        <v>16</v>
      </c>
      <c r="H602">
        <v>16</v>
      </c>
      <c r="I602" t="s">
        <v>41</v>
      </c>
      <c r="J602" t="s">
        <v>25</v>
      </c>
      <c r="K602">
        <v>5</v>
      </c>
      <c r="O602">
        <v>21.99</v>
      </c>
    </row>
    <row r="603" spans="1:15" x14ac:dyDescent="0.35">
      <c r="A603" t="s">
        <v>849</v>
      </c>
      <c r="B603">
        <v>1</v>
      </c>
      <c r="C603">
        <v>30.99</v>
      </c>
      <c r="D603">
        <v>30.99</v>
      </c>
      <c r="E603" t="s">
        <v>229</v>
      </c>
      <c r="F603" t="s">
        <v>1720</v>
      </c>
      <c r="G603" t="s">
        <v>16</v>
      </c>
      <c r="H603">
        <v>3</v>
      </c>
      <c r="I603" t="s">
        <v>17</v>
      </c>
      <c r="J603" t="s">
        <v>18</v>
      </c>
      <c r="K603">
        <v>10.5</v>
      </c>
      <c r="O603">
        <v>21.99</v>
      </c>
    </row>
    <row r="604" spans="1:15" x14ac:dyDescent="0.35">
      <c r="A604" t="s">
        <v>850</v>
      </c>
      <c r="B604">
        <v>1</v>
      </c>
      <c r="C604">
        <v>34.99</v>
      </c>
      <c r="D604">
        <v>34.99</v>
      </c>
      <c r="E604" t="s">
        <v>801</v>
      </c>
      <c r="F604" t="s">
        <v>1721</v>
      </c>
      <c r="G604" t="s">
        <v>16</v>
      </c>
      <c r="H604">
        <v>8</v>
      </c>
      <c r="I604" t="s">
        <v>17</v>
      </c>
      <c r="J604" t="s">
        <v>36</v>
      </c>
      <c r="K604">
        <v>12.5</v>
      </c>
      <c r="O604">
        <v>21.99</v>
      </c>
    </row>
    <row r="605" spans="1:15" x14ac:dyDescent="0.35">
      <c r="A605" t="s">
        <v>851</v>
      </c>
      <c r="B605">
        <v>1</v>
      </c>
      <c r="C605">
        <v>34.99</v>
      </c>
      <c r="D605">
        <v>34.99</v>
      </c>
      <c r="E605" t="s">
        <v>307</v>
      </c>
      <c r="F605" t="s">
        <v>1722</v>
      </c>
      <c r="G605" t="s">
        <v>28</v>
      </c>
      <c r="H605">
        <v>0</v>
      </c>
      <c r="I605" t="s">
        <v>12</v>
      </c>
      <c r="J605" t="s">
        <v>36</v>
      </c>
      <c r="K605">
        <v>12.5</v>
      </c>
      <c r="O605">
        <v>21.99</v>
      </c>
    </row>
    <row r="606" spans="1:15" x14ac:dyDescent="0.35">
      <c r="A606" t="s">
        <v>852</v>
      </c>
      <c r="B606">
        <v>1</v>
      </c>
      <c r="C606">
        <v>18.989999999999998</v>
      </c>
      <c r="D606">
        <v>18.989999999999998</v>
      </c>
      <c r="E606" t="s">
        <v>445</v>
      </c>
      <c r="F606" t="s">
        <v>1723</v>
      </c>
      <c r="G606" t="s">
        <v>11</v>
      </c>
      <c r="H606">
        <v>12</v>
      </c>
      <c r="I606" t="s">
        <v>41</v>
      </c>
      <c r="J606" t="s">
        <v>42</v>
      </c>
      <c r="K606">
        <v>6</v>
      </c>
      <c r="O606">
        <v>21.99</v>
      </c>
    </row>
    <row r="607" spans="1:15" x14ac:dyDescent="0.35">
      <c r="A607" t="s">
        <v>853</v>
      </c>
      <c r="B607">
        <v>3</v>
      </c>
      <c r="C607">
        <v>34.99</v>
      </c>
      <c r="D607">
        <v>83.12</v>
      </c>
      <c r="E607" t="s">
        <v>854</v>
      </c>
      <c r="F607" t="s">
        <v>1724</v>
      </c>
      <c r="G607" t="s">
        <v>28</v>
      </c>
      <c r="H607">
        <v>0</v>
      </c>
      <c r="I607" t="s">
        <v>12</v>
      </c>
      <c r="J607" t="s">
        <v>36</v>
      </c>
      <c r="K607">
        <v>12.5</v>
      </c>
      <c r="O607">
        <v>84.73</v>
      </c>
    </row>
    <row r="608" spans="1:15" x14ac:dyDescent="0.35">
      <c r="A608" t="s">
        <v>855</v>
      </c>
      <c r="B608">
        <v>1</v>
      </c>
      <c r="C608">
        <v>27.99</v>
      </c>
      <c r="D608">
        <v>27.99</v>
      </c>
      <c r="E608" t="s">
        <v>431</v>
      </c>
      <c r="F608" t="s">
        <v>1725</v>
      </c>
      <c r="G608" t="s">
        <v>21</v>
      </c>
      <c r="H608">
        <v>0</v>
      </c>
      <c r="I608" t="s">
        <v>41</v>
      </c>
      <c r="J608" t="s">
        <v>31</v>
      </c>
      <c r="K608">
        <v>9</v>
      </c>
      <c r="O608">
        <v>21.99</v>
      </c>
    </row>
    <row r="609" spans="1:15" x14ac:dyDescent="0.35">
      <c r="A609" t="s">
        <v>856</v>
      </c>
      <c r="B609">
        <v>2</v>
      </c>
      <c r="C609">
        <v>34.99</v>
      </c>
      <c r="D609">
        <v>60.35</v>
      </c>
      <c r="E609" t="s">
        <v>857</v>
      </c>
      <c r="F609" t="s">
        <v>1726</v>
      </c>
      <c r="G609" t="s">
        <v>11</v>
      </c>
      <c r="H609">
        <v>6</v>
      </c>
      <c r="I609" t="s">
        <v>24</v>
      </c>
      <c r="J609" t="s">
        <v>36</v>
      </c>
      <c r="K609">
        <v>12.5</v>
      </c>
      <c r="O609">
        <v>37.979999999999997</v>
      </c>
    </row>
    <row r="610" spans="1:15" x14ac:dyDescent="0.35">
      <c r="A610" t="s">
        <v>858</v>
      </c>
      <c r="B610">
        <v>1</v>
      </c>
      <c r="C610">
        <v>16.989999999999998</v>
      </c>
      <c r="D610">
        <v>16.989999999999998</v>
      </c>
      <c r="E610" t="s">
        <v>627</v>
      </c>
      <c r="F610" t="s">
        <v>1727</v>
      </c>
      <c r="G610" t="s">
        <v>16</v>
      </c>
      <c r="H610">
        <v>18</v>
      </c>
      <c r="I610" t="s">
        <v>17</v>
      </c>
      <c r="J610" t="s">
        <v>25</v>
      </c>
      <c r="K610">
        <v>5</v>
      </c>
      <c r="O610">
        <v>21.99</v>
      </c>
    </row>
    <row r="611" spans="1:15" x14ac:dyDescent="0.35">
      <c r="A611" t="s">
        <v>859</v>
      </c>
      <c r="B611">
        <v>1</v>
      </c>
      <c r="C611">
        <v>21.99</v>
      </c>
      <c r="D611">
        <v>21.99</v>
      </c>
      <c r="E611" s="6">
        <v>46323</v>
      </c>
      <c r="F611" t="s">
        <v>1728</v>
      </c>
      <c r="G611" t="s">
        <v>16</v>
      </c>
      <c r="H611">
        <v>3</v>
      </c>
      <c r="I611" t="s">
        <v>12</v>
      </c>
      <c r="J611" t="s">
        <v>13</v>
      </c>
      <c r="K611">
        <v>7</v>
      </c>
      <c r="O611">
        <v>21.99</v>
      </c>
    </row>
    <row r="612" spans="1:15" x14ac:dyDescent="0.35">
      <c r="A612" t="s">
        <v>860</v>
      </c>
      <c r="B612">
        <v>2</v>
      </c>
      <c r="C612">
        <v>18.989999999999998</v>
      </c>
      <c r="D612">
        <v>33.119999999999997</v>
      </c>
      <c r="E612" t="s">
        <v>64</v>
      </c>
      <c r="F612" t="s">
        <v>1717</v>
      </c>
      <c r="G612" t="s">
        <v>16</v>
      </c>
      <c r="H612">
        <v>18</v>
      </c>
      <c r="I612" t="s">
        <v>17</v>
      </c>
      <c r="J612" t="s">
        <v>42</v>
      </c>
      <c r="K612">
        <v>6</v>
      </c>
      <c r="O612">
        <v>37.979999999999997</v>
      </c>
    </row>
    <row r="613" spans="1:15" x14ac:dyDescent="0.35">
      <c r="A613" t="s">
        <v>861</v>
      </c>
      <c r="B613">
        <v>1</v>
      </c>
      <c r="C613">
        <v>27.99</v>
      </c>
      <c r="D613">
        <v>27.99</v>
      </c>
      <c r="E613" t="s">
        <v>862</v>
      </c>
      <c r="F613" t="s">
        <v>1718</v>
      </c>
      <c r="G613" t="s">
        <v>16</v>
      </c>
      <c r="H613">
        <v>3</v>
      </c>
      <c r="I613" t="s">
        <v>12</v>
      </c>
      <c r="J613" t="s">
        <v>31</v>
      </c>
      <c r="K613">
        <v>9</v>
      </c>
      <c r="O613">
        <v>21.99</v>
      </c>
    </row>
    <row r="614" spans="1:15" x14ac:dyDescent="0.35">
      <c r="A614" t="s">
        <v>863</v>
      </c>
      <c r="B614">
        <v>1</v>
      </c>
      <c r="C614">
        <v>34.99</v>
      </c>
      <c r="D614">
        <v>34.99</v>
      </c>
      <c r="E614" t="s">
        <v>742</v>
      </c>
      <c r="F614" t="s">
        <v>1719</v>
      </c>
      <c r="G614" t="s">
        <v>16</v>
      </c>
      <c r="H614">
        <v>8</v>
      </c>
      <c r="I614" t="s">
        <v>24</v>
      </c>
      <c r="J614" t="s">
        <v>36</v>
      </c>
      <c r="K614">
        <v>12.5</v>
      </c>
      <c r="O614">
        <v>21.99</v>
      </c>
    </row>
    <row r="615" spans="1:15" x14ac:dyDescent="0.35">
      <c r="A615" t="s">
        <v>864</v>
      </c>
      <c r="B615">
        <v>1</v>
      </c>
      <c r="C615">
        <v>27.99</v>
      </c>
      <c r="D615">
        <v>27.99</v>
      </c>
      <c r="E615" t="s">
        <v>865</v>
      </c>
      <c r="F615" t="s">
        <v>1720</v>
      </c>
      <c r="G615" t="s">
        <v>16</v>
      </c>
      <c r="H615">
        <v>3</v>
      </c>
      <c r="I615" t="s">
        <v>24</v>
      </c>
      <c r="J615" t="s">
        <v>31</v>
      </c>
      <c r="K615">
        <v>9</v>
      </c>
      <c r="O615">
        <v>21.99</v>
      </c>
    </row>
    <row r="616" spans="1:15" x14ac:dyDescent="0.35">
      <c r="A616" t="s">
        <v>866</v>
      </c>
      <c r="B616">
        <v>1</v>
      </c>
      <c r="C616">
        <v>21.99</v>
      </c>
      <c r="D616">
        <v>21.99</v>
      </c>
      <c r="E616" t="s">
        <v>636</v>
      </c>
      <c r="F616" t="s">
        <v>1721</v>
      </c>
      <c r="G616" t="s">
        <v>16</v>
      </c>
      <c r="H616">
        <v>2</v>
      </c>
      <c r="I616" t="s">
        <v>24</v>
      </c>
      <c r="J616" t="s">
        <v>13</v>
      </c>
      <c r="K616">
        <v>7</v>
      </c>
      <c r="O616">
        <v>21.99</v>
      </c>
    </row>
    <row r="617" spans="1:15" x14ac:dyDescent="0.35">
      <c r="A617" t="s">
        <v>867</v>
      </c>
      <c r="B617">
        <v>1</v>
      </c>
      <c r="C617">
        <v>27.99</v>
      </c>
      <c r="D617">
        <v>27.99</v>
      </c>
      <c r="E617" t="s">
        <v>868</v>
      </c>
      <c r="F617" t="s">
        <v>1722</v>
      </c>
      <c r="G617" t="s">
        <v>16</v>
      </c>
      <c r="H617">
        <v>2</v>
      </c>
      <c r="I617" t="s">
        <v>24</v>
      </c>
      <c r="J617" t="s">
        <v>31</v>
      </c>
      <c r="K617">
        <v>9</v>
      </c>
      <c r="O617">
        <v>21.99</v>
      </c>
    </row>
    <row r="618" spans="1:15" x14ac:dyDescent="0.35">
      <c r="A618" t="s">
        <v>869</v>
      </c>
      <c r="B618">
        <v>3</v>
      </c>
      <c r="C618">
        <v>34.99</v>
      </c>
      <c r="D618">
        <v>82.76</v>
      </c>
      <c r="E618" s="6">
        <v>46073</v>
      </c>
      <c r="F618" t="s">
        <v>1723</v>
      </c>
      <c r="G618" t="s">
        <v>16</v>
      </c>
      <c r="H618">
        <v>8</v>
      </c>
      <c r="I618" t="s">
        <v>17</v>
      </c>
      <c r="J618" t="s">
        <v>36</v>
      </c>
      <c r="K618">
        <v>12.5</v>
      </c>
      <c r="O618">
        <v>84.73</v>
      </c>
    </row>
    <row r="619" spans="1:15" x14ac:dyDescent="0.35">
      <c r="A619" t="s">
        <v>870</v>
      </c>
      <c r="B619">
        <v>1</v>
      </c>
      <c r="C619">
        <v>34.99</v>
      </c>
      <c r="D619">
        <v>34.99</v>
      </c>
      <c r="E619" t="s">
        <v>822</v>
      </c>
      <c r="F619" t="s">
        <v>1724</v>
      </c>
      <c r="G619" t="s">
        <v>16</v>
      </c>
      <c r="H619">
        <v>7</v>
      </c>
      <c r="I619" t="s">
        <v>41</v>
      </c>
      <c r="J619" t="s">
        <v>36</v>
      </c>
      <c r="K619">
        <v>12.5</v>
      </c>
      <c r="O619">
        <v>21.99</v>
      </c>
    </row>
    <row r="620" spans="1:15" x14ac:dyDescent="0.35">
      <c r="A620" t="s">
        <v>871</v>
      </c>
      <c r="B620">
        <v>2</v>
      </c>
      <c r="C620">
        <v>18.989999999999998</v>
      </c>
      <c r="D620">
        <v>33.06</v>
      </c>
      <c r="E620" t="s">
        <v>618</v>
      </c>
      <c r="F620" t="s">
        <v>1725</v>
      </c>
      <c r="G620" t="s">
        <v>21</v>
      </c>
      <c r="H620">
        <v>0</v>
      </c>
      <c r="I620" t="s">
        <v>41</v>
      </c>
      <c r="J620" t="s">
        <v>42</v>
      </c>
      <c r="K620">
        <v>6</v>
      </c>
      <c r="O620">
        <v>37.979999999999997</v>
      </c>
    </row>
    <row r="621" spans="1:15" x14ac:dyDescent="0.35">
      <c r="A621" t="s">
        <v>872</v>
      </c>
      <c r="B621">
        <v>1</v>
      </c>
      <c r="C621">
        <v>27.99</v>
      </c>
      <c r="D621">
        <v>27.99</v>
      </c>
      <c r="E621" t="s">
        <v>765</v>
      </c>
      <c r="F621" t="s">
        <v>1726</v>
      </c>
      <c r="G621" t="s">
        <v>16</v>
      </c>
      <c r="H621">
        <v>2</v>
      </c>
      <c r="I621" t="s">
        <v>12</v>
      </c>
      <c r="J621" t="s">
        <v>31</v>
      </c>
      <c r="K621">
        <v>9</v>
      </c>
      <c r="O621">
        <v>21.99</v>
      </c>
    </row>
    <row r="622" spans="1:15" x14ac:dyDescent="0.35">
      <c r="A622" t="s">
        <v>873</v>
      </c>
      <c r="B622">
        <v>1</v>
      </c>
      <c r="C622">
        <v>16.989999999999998</v>
      </c>
      <c r="D622">
        <v>16.989999999999998</v>
      </c>
      <c r="E622" t="s">
        <v>15</v>
      </c>
      <c r="F622" t="s">
        <v>1727</v>
      </c>
      <c r="G622" t="s">
        <v>16</v>
      </c>
      <c r="H622">
        <v>20</v>
      </c>
      <c r="I622" t="s">
        <v>24</v>
      </c>
      <c r="J622" t="s">
        <v>25</v>
      </c>
      <c r="K622">
        <v>5</v>
      </c>
      <c r="O622">
        <v>21.99</v>
      </c>
    </row>
    <row r="623" spans="1:15" x14ac:dyDescent="0.35">
      <c r="A623" t="s">
        <v>874</v>
      </c>
      <c r="B623">
        <v>1</v>
      </c>
      <c r="C623">
        <v>18.989999999999998</v>
      </c>
      <c r="D623">
        <v>18.989999999999998</v>
      </c>
      <c r="E623" t="s">
        <v>666</v>
      </c>
      <c r="F623" t="s">
        <v>1728</v>
      </c>
      <c r="G623" t="s">
        <v>16</v>
      </c>
      <c r="H623">
        <v>12</v>
      </c>
      <c r="I623" t="s">
        <v>24</v>
      </c>
      <c r="J623" t="s">
        <v>42</v>
      </c>
      <c r="K623">
        <v>6</v>
      </c>
      <c r="O623">
        <v>21.99</v>
      </c>
    </row>
    <row r="624" spans="1:15" x14ac:dyDescent="0.35">
      <c r="A624" t="s">
        <v>875</v>
      </c>
      <c r="B624">
        <v>2</v>
      </c>
      <c r="C624">
        <v>30.99</v>
      </c>
      <c r="D624">
        <v>53.03</v>
      </c>
      <c r="E624" s="6">
        <v>46129</v>
      </c>
      <c r="F624" t="s">
        <v>1717</v>
      </c>
      <c r="G624" t="s">
        <v>21</v>
      </c>
      <c r="H624">
        <v>0</v>
      </c>
      <c r="I624" t="s">
        <v>41</v>
      </c>
      <c r="J624" t="s">
        <v>18</v>
      </c>
      <c r="K624">
        <v>10.5</v>
      </c>
      <c r="O624">
        <v>37.979999999999997</v>
      </c>
    </row>
    <row r="625" spans="1:15" x14ac:dyDescent="0.35">
      <c r="A625" t="s">
        <v>876</v>
      </c>
      <c r="B625">
        <v>1</v>
      </c>
      <c r="C625">
        <v>30.99</v>
      </c>
      <c r="D625">
        <v>30.99</v>
      </c>
      <c r="E625" t="s">
        <v>877</v>
      </c>
      <c r="F625" t="s">
        <v>1718</v>
      </c>
      <c r="G625" t="s">
        <v>16</v>
      </c>
      <c r="H625">
        <v>4</v>
      </c>
      <c r="I625" t="s">
        <v>41</v>
      </c>
      <c r="J625" t="s">
        <v>18</v>
      </c>
      <c r="K625">
        <v>10.5</v>
      </c>
      <c r="O625">
        <v>21.99</v>
      </c>
    </row>
    <row r="626" spans="1:15" x14ac:dyDescent="0.35">
      <c r="A626" t="s">
        <v>878</v>
      </c>
      <c r="B626">
        <v>1</v>
      </c>
      <c r="C626">
        <v>16.989999999999998</v>
      </c>
      <c r="D626">
        <v>16.989999999999998</v>
      </c>
      <c r="E626" t="s">
        <v>66</v>
      </c>
      <c r="F626" t="s">
        <v>1719</v>
      </c>
      <c r="G626" t="s">
        <v>21</v>
      </c>
      <c r="H626">
        <v>0</v>
      </c>
      <c r="I626" t="s">
        <v>41</v>
      </c>
      <c r="J626" t="s">
        <v>25</v>
      </c>
      <c r="K626">
        <v>5</v>
      </c>
      <c r="O626">
        <v>21.99</v>
      </c>
    </row>
    <row r="627" spans="1:15" x14ac:dyDescent="0.35">
      <c r="A627" t="s">
        <v>879</v>
      </c>
      <c r="B627">
        <v>2</v>
      </c>
      <c r="C627">
        <v>21.99</v>
      </c>
      <c r="D627">
        <v>38.07</v>
      </c>
      <c r="E627" t="s">
        <v>795</v>
      </c>
      <c r="F627" t="s">
        <v>1720</v>
      </c>
      <c r="G627" t="s">
        <v>16</v>
      </c>
      <c r="H627">
        <v>3</v>
      </c>
      <c r="I627" t="s">
        <v>24</v>
      </c>
      <c r="J627" t="s">
        <v>13</v>
      </c>
      <c r="K627">
        <v>7</v>
      </c>
      <c r="O627">
        <v>37.979999999999997</v>
      </c>
    </row>
    <row r="628" spans="1:15" x14ac:dyDescent="0.35">
      <c r="A628" t="s">
        <v>880</v>
      </c>
      <c r="B628">
        <v>3</v>
      </c>
      <c r="C628">
        <v>16.989999999999998</v>
      </c>
      <c r="D628">
        <v>40.67</v>
      </c>
      <c r="E628" t="s">
        <v>229</v>
      </c>
      <c r="F628" t="s">
        <v>1721</v>
      </c>
      <c r="G628" t="s">
        <v>28</v>
      </c>
      <c r="H628">
        <v>0</v>
      </c>
      <c r="I628" t="s">
        <v>12</v>
      </c>
      <c r="J628" t="s">
        <v>25</v>
      </c>
      <c r="K628">
        <v>5</v>
      </c>
      <c r="O628">
        <v>84.73</v>
      </c>
    </row>
    <row r="629" spans="1:15" x14ac:dyDescent="0.35">
      <c r="A629" t="s">
        <v>881</v>
      </c>
      <c r="B629">
        <v>1</v>
      </c>
      <c r="C629">
        <v>34.99</v>
      </c>
      <c r="D629">
        <v>34.99</v>
      </c>
      <c r="E629" t="s">
        <v>61</v>
      </c>
      <c r="F629" t="s">
        <v>1722</v>
      </c>
      <c r="G629" t="s">
        <v>16</v>
      </c>
      <c r="H629">
        <v>6</v>
      </c>
      <c r="I629" t="s">
        <v>17</v>
      </c>
      <c r="J629" t="s">
        <v>36</v>
      </c>
      <c r="K629">
        <v>12.5</v>
      </c>
      <c r="O629">
        <v>21.99</v>
      </c>
    </row>
    <row r="630" spans="1:15" x14ac:dyDescent="0.35">
      <c r="A630" t="s">
        <v>882</v>
      </c>
      <c r="B630">
        <v>1</v>
      </c>
      <c r="C630">
        <v>21.99</v>
      </c>
      <c r="D630">
        <v>21.99</v>
      </c>
      <c r="E630" t="s">
        <v>883</v>
      </c>
      <c r="F630" t="s">
        <v>1723</v>
      </c>
      <c r="G630" t="s">
        <v>28</v>
      </c>
      <c r="H630">
        <v>0</v>
      </c>
      <c r="I630" t="s">
        <v>17</v>
      </c>
      <c r="J630" t="s">
        <v>13</v>
      </c>
      <c r="K630">
        <v>7</v>
      </c>
      <c r="O630">
        <v>21.99</v>
      </c>
    </row>
    <row r="631" spans="1:15" x14ac:dyDescent="0.35">
      <c r="A631" t="s">
        <v>884</v>
      </c>
      <c r="B631">
        <v>2</v>
      </c>
      <c r="C631">
        <v>18.989999999999998</v>
      </c>
      <c r="D631">
        <v>32.92</v>
      </c>
      <c r="E631" t="s">
        <v>94</v>
      </c>
      <c r="F631" t="s">
        <v>1724</v>
      </c>
      <c r="G631" t="s">
        <v>16</v>
      </c>
      <c r="H631">
        <v>13</v>
      </c>
      <c r="I631" t="s">
        <v>24</v>
      </c>
      <c r="J631" t="s">
        <v>42</v>
      </c>
      <c r="K631">
        <v>6</v>
      </c>
      <c r="O631">
        <v>37.979999999999997</v>
      </c>
    </row>
    <row r="632" spans="1:15" x14ac:dyDescent="0.35">
      <c r="A632" t="s">
        <v>885</v>
      </c>
      <c r="B632">
        <v>1</v>
      </c>
      <c r="C632">
        <v>18.989999999999998</v>
      </c>
      <c r="D632">
        <v>18.989999999999998</v>
      </c>
      <c r="E632" t="s">
        <v>171</v>
      </c>
      <c r="F632" t="s">
        <v>1725</v>
      </c>
      <c r="G632" t="s">
        <v>16</v>
      </c>
      <c r="H632">
        <v>11</v>
      </c>
      <c r="I632" t="s">
        <v>41</v>
      </c>
      <c r="J632" t="s">
        <v>42</v>
      </c>
      <c r="K632">
        <v>6</v>
      </c>
      <c r="O632">
        <v>21.99</v>
      </c>
    </row>
    <row r="633" spans="1:15" x14ac:dyDescent="0.35">
      <c r="A633" t="s">
        <v>886</v>
      </c>
      <c r="B633">
        <v>2</v>
      </c>
      <c r="C633">
        <v>30.99</v>
      </c>
      <c r="D633">
        <v>54.21</v>
      </c>
      <c r="E633" t="s">
        <v>44</v>
      </c>
      <c r="F633" t="s">
        <v>1726</v>
      </c>
      <c r="G633" t="s">
        <v>11</v>
      </c>
      <c r="H633">
        <v>2</v>
      </c>
      <c r="I633" t="s">
        <v>17</v>
      </c>
      <c r="J633" t="s">
        <v>18</v>
      </c>
      <c r="K633">
        <v>10.5</v>
      </c>
      <c r="O633">
        <v>37.979999999999997</v>
      </c>
    </row>
    <row r="634" spans="1:15" x14ac:dyDescent="0.35">
      <c r="A634" t="s">
        <v>887</v>
      </c>
      <c r="B634">
        <v>1</v>
      </c>
      <c r="C634">
        <v>18.989999999999998</v>
      </c>
      <c r="D634">
        <v>18.989999999999998</v>
      </c>
      <c r="E634" t="s">
        <v>888</v>
      </c>
      <c r="F634" t="s">
        <v>1727</v>
      </c>
      <c r="G634" t="s">
        <v>16</v>
      </c>
      <c r="H634">
        <v>12</v>
      </c>
      <c r="I634" t="s">
        <v>17</v>
      </c>
      <c r="J634" t="s">
        <v>42</v>
      </c>
      <c r="K634">
        <v>6</v>
      </c>
      <c r="O634">
        <v>21.99</v>
      </c>
    </row>
    <row r="635" spans="1:15" x14ac:dyDescent="0.35">
      <c r="A635" t="s">
        <v>889</v>
      </c>
      <c r="B635">
        <v>1</v>
      </c>
      <c r="C635">
        <v>34.99</v>
      </c>
      <c r="D635">
        <v>34.99</v>
      </c>
      <c r="E635" t="s">
        <v>890</v>
      </c>
      <c r="F635" t="s">
        <v>1728</v>
      </c>
      <c r="G635" t="s">
        <v>21</v>
      </c>
      <c r="H635">
        <v>0</v>
      </c>
      <c r="I635" t="s">
        <v>41</v>
      </c>
      <c r="J635" t="s">
        <v>36</v>
      </c>
      <c r="K635">
        <v>12.5</v>
      </c>
      <c r="O635">
        <v>21.99</v>
      </c>
    </row>
    <row r="636" spans="1:15" x14ac:dyDescent="0.35">
      <c r="A636" t="s">
        <v>891</v>
      </c>
      <c r="B636">
        <v>3</v>
      </c>
      <c r="C636">
        <v>21.99</v>
      </c>
      <c r="D636">
        <v>51.96</v>
      </c>
      <c r="E636" t="s">
        <v>829</v>
      </c>
      <c r="F636" t="s">
        <v>1717</v>
      </c>
      <c r="G636" t="s">
        <v>16</v>
      </c>
      <c r="H636">
        <v>3</v>
      </c>
      <c r="I636" t="s">
        <v>17</v>
      </c>
      <c r="J636" t="s">
        <v>13</v>
      </c>
      <c r="K636">
        <v>7</v>
      </c>
      <c r="O636">
        <v>84.73</v>
      </c>
    </row>
    <row r="637" spans="1:15" x14ac:dyDescent="0.35">
      <c r="A637" t="s">
        <v>892</v>
      </c>
      <c r="B637">
        <v>1</v>
      </c>
      <c r="C637">
        <v>30.99</v>
      </c>
      <c r="D637">
        <v>30.99</v>
      </c>
      <c r="E637" t="s">
        <v>893</v>
      </c>
      <c r="F637" t="s">
        <v>1718</v>
      </c>
      <c r="G637" t="s">
        <v>21</v>
      </c>
      <c r="H637">
        <v>0</v>
      </c>
      <c r="I637" t="s">
        <v>17</v>
      </c>
      <c r="J637" t="s">
        <v>18</v>
      </c>
      <c r="K637">
        <v>10.5</v>
      </c>
      <c r="O637">
        <v>21.99</v>
      </c>
    </row>
    <row r="638" spans="1:15" x14ac:dyDescent="0.35">
      <c r="A638" t="s">
        <v>894</v>
      </c>
      <c r="B638">
        <v>1</v>
      </c>
      <c r="C638">
        <v>21.99</v>
      </c>
      <c r="D638">
        <v>21.99</v>
      </c>
      <c r="E638" t="s">
        <v>768</v>
      </c>
      <c r="F638" t="s">
        <v>1719</v>
      </c>
      <c r="G638" t="s">
        <v>16</v>
      </c>
      <c r="H638">
        <v>3</v>
      </c>
      <c r="I638" t="s">
        <v>12</v>
      </c>
      <c r="J638" t="s">
        <v>13</v>
      </c>
      <c r="K638">
        <v>7</v>
      </c>
      <c r="O638">
        <v>21.99</v>
      </c>
    </row>
    <row r="639" spans="1:15" x14ac:dyDescent="0.35">
      <c r="A639" t="s">
        <v>895</v>
      </c>
      <c r="B639">
        <v>1</v>
      </c>
      <c r="C639">
        <v>18.989999999999998</v>
      </c>
      <c r="D639">
        <v>18.989999999999998</v>
      </c>
      <c r="E639" t="s">
        <v>72</v>
      </c>
      <c r="F639" t="s">
        <v>1720</v>
      </c>
      <c r="G639" t="s">
        <v>21</v>
      </c>
      <c r="H639">
        <v>0</v>
      </c>
      <c r="I639" t="s">
        <v>12</v>
      </c>
      <c r="J639" t="s">
        <v>42</v>
      </c>
      <c r="K639">
        <v>6</v>
      </c>
      <c r="O639">
        <v>21.99</v>
      </c>
    </row>
    <row r="640" spans="1:15" x14ac:dyDescent="0.35">
      <c r="A640" t="s">
        <v>896</v>
      </c>
      <c r="B640">
        <v>1</v>
      </c>
      <c r="C640">
        <v>30.99</v>
      </c>
      <c r="D640">
        <v>30.99</v>
      </c>
      <c r="E640" t="s">
        <v>897</v>
      </c>
      <c r="F640" t="s">
        <v>1721</v>
      </c>
      <c r="G640" t="s">
        <v>16</v>
      </c>
      <c r="H640">
        <v>3</v>
      </c>
      <c r="I640" t="s">
        <v>12</v>
      </c>
      <c r="J640" t="s">
        <v>18</v>
      </c>
      <c r="K640">
        <v>10.5</v>
      </c>
      <c r="O640">
        <v>21.99</v>
      </c>
    </row>
    <row r="641" spans="1:15" x14ac:dyDescent="0.35">
      <c r="A641" t="s">
        <v>898</v>
      </c>
      <c r="B641">
        <v>1</v>
      </c>
      <c r="C641">
        <v>27.99</v>
      </c>
      <c r="D641">
        <v>27.99</v>
      </c>
      <c r="E641" t="s">
        <v>558</v>
      </c>
      <c r="F641" t="s">
        <v>1722</v>
      </c>
      <c r="G641" t="s">
        <v>16</v>
      </c>
      <c r="H641">
        <v>3</v>
      </c>
      <c r="I641" t="s">
        <v>24</v>
      </c>
      <c r="J641" t="s">
        <v>31</v>
      </c>
      <c r="K641">
        <v>9</v>
      </c>
      <c r="O641">
        <v>21.99</v>
      </c>
    </row>
    <row r="642" spans="1:15" x14ac:dyDescent="0.35">
      <c r="A642" t="s">
        <v>899</v>
      </c>
      <c r="B642">
        <v>3</v>
      </c>
      <c r="C642">
        <v>16.989999999999998</v>
      </c>
      <c r="D642">
        <v>41.04</v>
      </c>
      <c r="E642" t="s">
        <v>900</v>
      </c>
      <c r="F642" t="s">
        <v>1723</v>
      </c>
      <c r="G642" t="s">
        <v>16</v>
      </c>
      <c r="H642">
        <v>15</v>
      </c>
      <c r="I642" t="s">
        <v>24</v>
      </c>
      <c r="J642" t="s">
        <v>25</v>
      </c>
      <c r="K642">
        <v>5</v>
      </c>
      <c r="O642">
        <v>84.73</v>
      </c>
    </row>
    <row r="643" spans="1:15" x14ac:dyDescent="0.35">
      <c r="A643" t="s">
        <v>901</v>
      </c>
      <c r="B643">
        <v>1</v>
      </c>
      <c r="C643">
        <v>30.99</v>
      </c>
      <c r="D643">
        <v>30.99</v>
      </c>
      <c r="E643" t="s">
        <v>655</v>
      </c>
      <c r="F643" t="s">
        <v>1724</v>
      </c>
      <c r="G643" t="s">
        <v>11</v>
      </c>
      <c r="H643">
        <v>2</v>
      </c>
      <c r="I643" t="s">
        <v>41</v>
      </c>
      <c r="J643" t="s">
        <v>18</v>
      </c>
      <c r="K643">
        <v>10.5</v>
      </c>
      <c r="O643">
        <v>21.99</v>
      </c>
    </row>
    <row r="644" spans="1:15" x14ac:dyDescent="0.35">
      <c r="A644" t="s">
        <v>902</v>
      </c>
      <c r="B644">
        <v>3</v>
      </c>
      <c r="C644">
        <v>18.989999999999998</v>
      </c>
      <c r="D644">
        <v>44.74</v>
      </c>
      <c r="E644" t="s">
        <v>903</v>
      </c>
      <c r="F644" t="s">
        <v>1725</v>
      </c>
      <c r="G644" t="s">
        <v>16</v>
      </c>
      <c r="H644">
        <v>14</v>
      </c>
      <c r="I644" t="s">
        <v>17</v>
      </c>
      <c r="J644" t="s">
        <v>42</v>
      </c>
      <c r="K644">
        <v>6</v>
      </c>
      <c r="O644">
        <v>84.73</v>
      </c>
    </row>
    <row r="645" spans="1:15" x14ac:dyDescent="0.35">
      <c r="A645" t="s">
        <v>904</v>
      </c>
      <c r="B645">
        <v>3</v>
      </c>
      <c r="C645">
        <v>18.989999999999998</v>
      </c>
      <c r="D645">
        <v>45.51</v>
      </c>
      <c r="E645" t="s">
        <v>905</v>
      </c>
      <c r="F645" t="s">
        <v>1726</v>
      </c>
      <c r="G645" t="s">
        <v>16</v>
      </c>
      <c r="H645">
        <v>20</v>
      </c>
      <c r="I645" t="s">
        <v>41</v>
      </c>
      <c r="J645" t="s">
        <v>42</v>
      </c>
      <c r="K645">
        <v>6</v>
      </c>
      <c r="O645">
        <v>84.73</v>
      </c>
    </row>
    <row r="646" spans="1:15" x14ac:dyDescent="0.35">
      <c r="A646" t="s">
        <v>906</v>
      </c>
      <c r="B646">
        <v>2</v>
      </c>
      <c r="C646">
        <v>16.989999999999998</v>
      </c>
      <c r="D646">
        <v>29.18</v>
      </c>
      <c r="E646" t="s">
        <v>907</v>
      </c>
      <c r="F646" t="s">
        <v>1727</v>
      </c>
      <c r="G646" t="s">
        <v>87</v>
      </c>
      <c r="H646">
        <v>0</v>
      </c>
      <c r="I646" t="s">
        <v>12</v>
      </c>
      <c r="J646" t="s">
        <v>25</v>
      </c>
      <c r="K646">
        <v>5</v>
      </c>
      <c r="O646">
        <v>37.979999999999997</v>
      </c>
    </row>
    <row r="647" spans="1:15" x14ac:dyDescent="0.35">
      <c r="A647" t="s">
        <v>908</v>
      </c>
      <c r="B647">
        <v>1</v>
      </c>
      <c r="C647">
        <v>30.99</v>
      </c>
      <c r="D647">
        <v>30.99</v>
      </c>
      <c r="E647" t="s">
        <v>909</v>
      </c>
      <c r="F647" t="s">
        <v>1728</v>
      </c>
      <c r="G647" t="s">
        <v>87</v>
      </c>
      <c r="H647">
        <v>0</v>
      </c>
      <c r="I647" t="s">
        <v>12</v>
      </c>
      <c r="J647" t="s">
        <v>18</v>
      </c>
      <c r="K647">
        <v>10.5</v>
      </c>
      <c r="O647">
        <v>21.99</v>
      </c>
    </row>
    <row r="648" spans="1:15" x14ac:dyDescent="0.35">
      <c r="A648" t="s">
        <v>910</v>
      </c>
      <c r="B648">
        <v>1</v>
      </c>
      <c r="C648">
        <v>18.989999999999998</v>
      </c>
      <c r="D648">
        <v>18.989999999999998</v>
      </c>
      <c r="E648" t="s">
        <v>461</v>
      </c>
      <c r="F648" t="s">
        <v>1717</v>
      </c>
      <c r="G648" t="s">
        <v>87</v>
      </c>
      <c r="H648">
        <v>0</v>
      </c>
      <c r="I648" t="s">
        <v>12</v>
      </c>
      <c r="J648" t="s">
        <v>42</v>
      </c>
      <c r="K648">
        <v>6</v>
      </c>
      <c r="O648">
        <v>21.99</v>
      </c>
    </row>
    <row r="649" spans="1:15" x14ac:dyDescent="0.35">
      <c r="A649" t="s">
        <v>911</v>
      </c>
      <c r="B649">
        <v>2</v>
      </c>
      <c r="C649">
        <v>18.989999999999998</v>
      </c>
      <c r="D649">
        <v>32.71</v>
      </c>
      <c r="E649" s="6">
        <v>46345</v>
      </c>
      <c r="F649" t="s">
        <v>1718</v>
      </c>
      <c r="G649" t="s">
        <v>16</v>
      </c>
      <c r="H649">
        <v>10</v>
      </c>
      <c r="I649" t="s">
        <v>24</v>
      </c>
      <c r="J649" t="s">
        <v>42</v>
      </c>
      <c r="K649">
        <v>6</v>
      </c>
      <c r="O649">
        <v>37.979999999999997</v>
      </c>
    </row>
    <row r="650" spans="1:15" x14ac:dyDescent="0.35">
      <c r="A650" t="s">
        <v>912</v>
      </c>
      <c r="B650">
        <v>1</v>
      </c>
      <c r="C650">
        <v>21.99</v>
      </c>
      <c r="D650">
        <v>21.99</v>
      </c>
      <c r="E650" t="s">
        <v>890</v>
      </c>
      <c r="F650" t="s">
        <v>1719</v>
      </c>
      <c r="G650" t="s">
        <v>16</v>
      </c>
      <c r="H650">
        <v>2</v>
      </c>
      <c r="I650" t="s">
        <v>17</v>
      </c>
      <c r="J650" t="s">
        <v>13</v>
      </c>
      <c r="K650">
        <v>7</v>
      </c>
      <c r="O650">
        <v>21.99</v>
      </c>
    </row>
    <row r="651" spans="1:15" x14ac:dyDescent="0.35">
      <c r="A651" t="s">
        <v>913</v>
      </c>
      <c r="B651">
        <v>3</v>
      </c>
      <c r="C651">
        <v>16.989999999999998</v>
      </c>
      <c r="D651">
        <v>40.15</v>
      </c>
      <c r="E651" t="s">
        <v>683</v>
      </c>
      <c r="F651" t="s">
        <v>1720</v>
      </c>
      <c r="G651" t="s">
        <v>16</v>
      </c>
      <c r="H651">
        <v>19</v>
      </c>
      <c r="I651" t="s">
        <v>17</v>
      </c>
      <c r="J651" t="s">
        <v>25</v>
      </c>
      <c r="K651">
        <v>5</v>
      </c>
      <c r="O651">
        <v>84.73</v>
      </c>
    </row>
    <row r="652" spans="1:15" x14ac:dyDescent="0.35">
      <c r="A652" t="s">
        <v>914</v>
      </c>
      <c r="B652">
        <v>3</v>
      </c>
      <c r="C652">
        <v>30.99</v>
      </c>
      <c r="D652">
        <v>73.5</v>
      </c>
      <c r="E652" t="s">
        <v>575</v>
      </c>
      <c r="F652" t="s">
        <v>1721</v>
      </c>
      <c r="G652" t="s">
        <v>16</v>
      </c>
      <c r="H652">
        <v>2</v>
      </c>
      <c r="I652" t="s">
        <v>24</v>
      </c>
      <c r="J652" t="s">
        <v>18</v>
      </c>
      <c r="K652">
        <v>10.5</v>
      </c>
      <c r="O652">
        <v>84.73</v>
      </c>
    </row>
    <row r="653" spans="1:15" x14ac:dyDescent="0.35">
      <c r="A653" t="s">
        <v>915</v>
      </c>
      <c r="B653">
        <v>1</v>
      </c>
      <c r="C653">
        <v>21.99</v>
      </c>
      <c r="D653">
        <v>21.99</v>
      </c>
      <c r="E653" t="s">
        <v>169</v>
      </c>
      <c r="F653" t="s">
        <v>1722</v>
      </c>
      <c r="G653" t="s">
        <v>16</v>
      </c>
      <c r="H653">
        <v>2</v>
      </c>
      <c r="I653" t="s">
        <v>12</v>
      </c>
      <c r="J653" t="s">
        <v>13</v>
      </c>
      <c r="K653">
        <v>7</v>
      </c>
      <c r="O653">
        <v>21.99</v>
      </c>
    </row>
    <row r="654" spans="1:15" x14ac:dyDescent="0.35">
      <c r="A654" t="s">
        <v>916</v>
      </c>
      <c r="B654">
        <v>1</v>
      </c>
      <c r="C654">
        <v>21.99</v>
      </c>
      <c r="D654">
        <v>21.99</v>
      </c>
      <c r="E654" t="s">
        <v>917</v>
      </c>
      <c r="F654" t="s">
        <v>1723</v>
      </c>
      <c r="G654" t="s">
        <v>21</v>
      </c>
      <c r="H654">
        <v>0</v>
      </c>
      <c r="I654" t="s">
        <v>12</v>
      </c>
      <c r="J654" t="s">
        <v>13</v>
      </c>
      <c r="K654">
        <v>7</v>
      </c>
      <c r="O654">
        <v>21.99</v>
      </c>
    </row>
    <row r="655" spans="1:15" x14ac:dyDescent="0.35">
      <c r="A655" t="s">
        <v>918</v>
      </c>
      <c r="B655">
        <v>1</v>
      </c>
      <c r="C655">
        <v>34.99</v>
      </c>
      <c r="D655">
        <v>34.99</v>
      </c>
      <c r="E655" t="s">
        <v>919</v>
      </c>
      <c r="F655" t="s">
        <v>1724</v>
      </c>
      <c r="G655" t="s">
        <v>16</v>
      </c>
      <c r="H655">
        <v>7</v>
      </c>
      <c r="I655" t="s">
        <v>41</v>
      </c>
      <c r="J655" t="s">
        <v>36</v>
      </c>
      <c r="K655">
        <v>12.5</v>
      </c>
      <c r="O655">
        <v>21.99</v>
      </c>
    </row>
    <row r="656" spans="1:15" x14ac:dyDescent="0.35">
      <c r="A656" t="s">
        <v>920</v>
      </c>
      <c r="B656">
        <v>2</v>
      </c>
      <c r="C656">
        <v>30.99</v>
      </c>
      <c r="D656">
        <v>53.45</v>
      </c>
      <c r="E656" t="s">
        <v>921</v>
      </c>
      <c r="F656" t="s">
        <v>1725</v>
      </c>
      <c r="G656" t="s">
        <v>11</v>
      </c>
      <c r="H656">
        <v>2</v>
      </c>
      <c r="I656" t="s">
        <v>12</v>
      </c>
      <c r="J656" t="s">
        <v>18</v>
      </c>
      <c r="K656">
        <v>10.5</v>
      </c>
      <c r="O656">
        <v>37.979999999999997</v>
      </c>
    </row>
    <row r="657" spans="1:15" x14ac:dyDescent="0.35">
      <c r="A657" t="s">
        <v>922</v>
      </c>
      <c r="B657">
        <v>1</v>
      </c>
      <c r="C657">
        <v>18.989999999999998</v>
      </c>
      <c r="D657">
        <v>18.989999999999998</v>
      </c>
      <c r="E657" t="s">
        <v>923</v>
      </c>
      <c r="F657" t="s">
        <v>1726</v>
      </c>
      <c r="G657" t="s">
        <v>87</v>
      </c>
      <c r="H657">
        <v>0</v>
      </c>
      <c r="I657" t="s">
        <v>41</v>
      </c>
      <c r="J657" t="s">
        <v>42</v>
      </c>
      <c r="K657">
        <v>6</v>
      </c>
      <c r="O657">
        <v>21.99</v>
      </c>
    </row>
    <row r="658" spans="1:15" x14ac:dyDescent="0.35">
      <c r="A658" t="s">
        <v>924</v>
      </c>
      <c r="B658">
        <v>1</v>
      </c>
      <c r="C658">
        <v>30.99</v>
      </c>
      <c r="D658">
        <v>30.99</v>
      </c>
      <c r="E658" t="s">
        <v>925</v>
      </c>
      <c r="F658" t="s">
        <v>1727</v>
      </c>
      <c r="G658" t="s">
        <v>16</v>
      </c>
      <c r="H658">
        <v>3</v>
      </c>
      <c r="I658" t="s">
        <v>24</v>
      </c>
      <c r="J658" t="s">
        <v>18</v>
      </c>
      <c r="K658">
        <v>10.5</v>
      </c>
      <c r="O658">
        <v>21.99</v>
      </c>
    </row>
    <row r="659" spans="1:15" x14ac:dyDescent="0.35">
      <c r="A659" t="s">
        <v>926</v>
      </c>
      <c r="B659">
        <v>1</v>
      </c>
      <c r="C659">
        <v>21.99</v>
      </c>
      <c r="D659">
        <v>21.99</v>
      </c>
      <c r="E659" t="s">
        <v>701</v>
      </c>
      <c r="F659" t="s">
        <v>1728</v>
      </c>
      <c r="G659" t="s">
        <v>16</v>
      </c>
      <c r="H659">
        <v>2</v>
      </c>
      <c r="I659" t="s">
        <v>17</v>
      </c>
      <c r="J659" t="s">
        <v>13</v>
      </c>
      <c r="K659">
        <v>7</v>
      </c>
      <c r="O659">
        <v>21.99</v>
      </c>
    </row>
    <row r="660" spans="1:15" x14ac:dyDescent="0.35">
      <c r="A660" t="s">
        <v>927</v>
      </c>
      <c r="B660">
        <v>3</v>
      </c>
      <c r="C660">
        <v>18.989999999999998</v>
      </c>
      <c r="D660">
        <v>45.58</v>
      </c>
      <c r="E660" t="s">
        <v>701</v>
      </c>
      <c r="F660" t="s">
        <v>1717</v>
      </c>
      <c r="G660" t="s">
        <v>87</v>
      </c>
      <c r="H660">
        <v>0</v>
      </c>
      <c r="I660" t="s">
        <v>17</v>
      </c>
      <c r="J660" t="s">
        <v>42</v>
      </c>
      <c r="K660">
        <v>6</v>
      </c>
      <c r="O660">
        <v>84.73</v>
      </c>
    </row>
    <row r="661" spans="1:15" x14ac:dyDescent="0.35">
      <c r="A661" t="s">
        <v>928</v>
      </c>
      <c r="B661">
        <v>1</v>
      </c>
      <c r="C661">
        <v>21.99</v>
      </c>
      <c r="D661">
        <v>21.99</v>
      </c>
      <c r="E661" t="s">
        <v>780</v>
      </c>
      <c r="F661" t="s">
        <v>1718</v>
      </c>
      <c r="G661" t="s">
        <v>16</v>
      </c>
      <c r="H661">
        <v>3</v>
      </c>
      <c r="I661" t="s">
        <v>17</v>
      </c>
      <c r="J661" t="s">
        <v>13</v>
      </c>
      <c r="K661">
        <v>7</v>
      </c>
      <c r="O661">
        <v>21.99</v>
      </c>
    </row>
    <row r="662" spans="1:15" x14ac:dyDescent="0.35">
      <c r="A662" t="s">
        <v>929</v>
      </c>
      <c r="B662">
        <v>2</v>
      </c>
      <c r="C662">
        <v>27.99</v>
      </c>
      <c r="D662">
        <v>48.72</v>
      </c>
      <c r="E662" t="s">
        <v>820</v>
      </c>
      <c r="F662" t="s">
        <v>1719</v>
      </c>
      <c r="G662" t="s">
        <v>21</v>
      </c>
      <c r="H662">
        <v>0</v>
      </c>
      <c r="I662" t="s">
        <v>24</v>
      </c>
      <c r="J662" t="s">
        <v>31</v>
      </c>
      <c r="K662">
        <v>9</v>
      </c>
      <c r="O662">
        <v>37.979999999999997</v>
      </c>
    </row>
    <row r="663" spans="1:15" x14ac:dyDescent="0.35">
      <c r="A663" t="s">
        <v>930</v>
      </c>
      <c r="B663">
        <v>1</v>
      </c>
      <c r="C663">
        <v>27.99</v>
      </c>
      <c r="D663">
        <v>27.99</v>
      </c>
      <c r="E663" t="s">
        <v>931</v>
      </c>
      <c r="F663" t="s">
        <v>1720</v>
      </c>
      <c r="G663" t="s">
        <v>21</v>
      </c>
      <c r="H663">
        <v>0</v>
      </c>
      <c r="I663" t="s">
        <v>17</v>
      </c>
      <c r="J663" t="s">
        <v>31</v>
      </c>
      <c r="K663">
        <v>9</v>
      </c>
      <c r="O663">
        <v>21.99</v>
      </c>
    </row>
    <row r="664" spans="1:15" x14ac:dyDescent="0.35">
      <c r="A664" t="s">
        <v>932</v>
      </c>
      <c r="B664">
        <v>1</v>
      </c>
      <c r="C664">
        <v>18.989999999999998</v>
      </c>
      <c r="D664">
        <v>18.989999999999998</v>
      </c>
      <c r="E664" t="s">
        <v>699</v>
      </c>
      <c r="F664" t="s">
        <v>1721</v>
      </c>
      <c r="G664" t="s">
        <v>16</v>
      </c>
      <c r="H664">
        <v>15</v>
      </c>
      <c r="I664" t="s">
        <v>41</v>
      </c>
      <c r="J664" t="s">
        <v>42</v>
      </c>
      <c r="K664">
        <v>6</v>
      </c>
      <c r="O664">
        <v>21.99</v>
      </c>
    </row>
    <row r="665" spans="1:15" x14ac:dyDescent="0.35">
      <c r="A665" t="s">
        <v>933</v>
      </c>
      <c r="B665">
        <v>1</v>
      </c>
      <c r="C665">
        <v>21.99</v>
      </c>
      <c r="D665">
        <v>21.99</v>
      </c>
      <c r="E665" t="s">
        <v>841</v>
      </c>
      <c r="F665" t="s">
        <v>1722</v>
      </c>
      <c r="G665" t="s">
        <v>21</v>
      </c>
      <c r="H665">
        <v>0</v>
      </c>
      <c r="I665" t="s">
        <v>24</v>
      </c>
      <c r="J665" t="s">
        <v>13</v>
      </c>
      <c r="K665">
        <v>7</v>
      </c>
      <c r="O665">
        <v>21.99</v>
      </c>
    </row>
    <row r="666" spans="1:15" x14ac:dyDescent="0.35">
      <c r="A666" t="s">
        <v>934</v>
      </c>
      <c r="B666">
        <v>1</v>
      </c>
      <c r="C666">
        <v>34.99</v>
      </c>
      <c r="D666">
        <v>34.99</v>
      </c>
      <c r="E666" t="s">
        <v>788</v>
      </c>
      <c r="F666" t="s">
        <v>1723</v>
      </c>
      <c r="G666" t="s">
        <v>87</v>
      </c>
      <c r="H666">
        <v>0</v>
      </c>
      <c r="I666" t="s">
        <v>24</v>
      </c>
      <c r="J666" t="s">
        <v>36</v>
      </c>
      <c r="K666">
        <v>12.5</v>
      </c>
      <c r="O666">
        <v>21.99</v>
      </c>
    </row>
    <row r="667" spans="1:15" x14ac:dyDescent="0.35">
      <c r="A667" t="s">
        <v>935</v>
      </c>
      <c r="B667">
        <v>2</v>
      </c>
      <c r="C667">
        <v>16.989999999999998</v>
      </c>
      <c r="D667">
        <v>29.42</v>
      </c>
      <c r="E667" t="s">
        <v>547</v>
      </c>
      <c r="F667" t="s">
        <v>1724</v>
      </c>
      <c r="G667" t="s">
        <v>16</v>
      </c>
      <c r="H667">
        <v>17</v>
      </c>
      <c r="I667" t="s">
        <v>41</v>
      </c>
      <c r="J667" t="s">
        <v>25</v>
      </c>
      <c r="K667">
        <v>5</v>
      </c>
      <c r="O667">
        <v>37.979999999999997</v>
      </c>
    </row>
    <row r="668" spans="1:15" x14ac:dyDescent="0.35">
      <c r="A668" t="s">
        <v>936</v>
      </c>
      <c r="B668">
        <v>1</v>
      </c>
      <c r="C668">
        <v>30.99</v>
      </c>
      <c r="D668">
        <v>30.99</v>
      </c>
      <c r="E668" t="s">
        <v>893</v>
      </c>
      <c r="F668" t="s">
        <v>1725</v>
      </c>
      <c r="G668" t="s">
        <v>21</v>
      </c>
      <c r="H668">
        <v>0</v>
      </c>
      <c r="I668" t="s">
        <v>41</v>
      </c>
      <c r="J668" t="s">
        <v>18</v>
      </c>
      <c r="K668">
        <v>10.5</v>
      </c>
      <c r="O668">
        <v>21.99</v>
      </c>
    </row>
    <row r="669" spans="1:15" x14ac:dyDescent="0.35">
      <c r="A669" t="s">
        <v>937</v>
      </c>
      <c r="B669">
        <v>2</v>
      </c>
      <c r="C669">
        <v>34.99</v>
      </c>
      <c r="D669">
        <v>60.76</v>
      </c>
      <c r="E669" t="s">
        <v>433</v>
      </c>
      <c r="F669" t="s">
        <v>1726</v>
      </c>
      <c r="G669" t="s">
        <v>21</v>
      </c>
      <c r="H669">
        <v>0</v>
      </c>
      <c r="I669" t="s">
        <v>17</v>
      </c>
      <c r="J669" t="s">
        <v>36</v>
      </c>
      <c r="K669">
        <v>12.5</v>
      </c>
      <c r="O669">
        <v>37.979999999999997</v>
      </c>
    </row>
    <row r="670" spans="1:15" x14ac:dyDescent="0.35">
      <c r="A670" t="s">
        <v>938</v>
      </c>
      <c r="B670">
        <v>1</v>
      </c>
      <c r="C670">
        <v>21.99</v>
      </c>
      <c r="D670">
        <v>21.99</v>
      </c>
      <c r="E670" t="s">
        <v>453</v>
      </c>
      <c r="F670" t="s">
        <v>1727</v>
      </c>
      <c r="G670" t="s">
        <v>11</v>
      </c>
      <c r="H670">
        <v>2</v>
      </c>
      <c r="I670" t="s">
        <v>17</v>
      </c>
      <c r="J670" t="s">
        <v>13</v>
      </c>
      <c r="K670">
        <v>7</v>
      </c>
      <c r="O670">
        <v>21.99</v>
      </c>
    </row>
    <row r="671" spans="1:15" x14ac:dyDescent="0.35">
      <c r="A671" t="s">
        <v>939</v>
      </c>
      <c r="B671">
        <v>2</v>
      </c>
      <c r="C671">
        <v>18.989999999999998</v>
      </c>
      <c r="D671">
        <v>32.86</v>
      </c>
      <c r="E671" t="s">
        <v>634</v>
      </c>
      <c r="F671" t="s">
        <v>1728</v>
      </c>
      <c r="G671" t="s">
        <v>16</v>
      </c>
      <c r="H671">
        <v>16</v>
      </c>
      <c r="I671" t="s">
        <v>41</v>
      </c>
      <c r="J671" t="s">
        <v>42</v>
      </c>
      <c r="K671">
        <v>6</v>
      </c>
      <c r="O671">
        <v>37.979999999999997</v>
      </c>
    </row>
    <row r="672" spans="1:15" x14ac:dyDescent="0.35">
      <c r="A672" t="s">
        <v>940</v>
      </c>
      <c r="B672">
        <v>3</v>
      </c>
      <c r="C672">
        <v>27.99</v>
      </c>
      <c r="D672">
        <v>66.989999999999995</v>
      </c>
      <c r="E672" t="s">
        <v>941</v>
      </c>
      <c r="F672" t="s">
        <v>1717</v>
      </c>
      <c r="G672" t="s">
        <v>87</v>
      </c>
      <c r="H672">
        <v>0</v>
      </c>
      <c r="I672" t="s">
        <v>24</v>
      </c>
      <c r="J672" t="s">
        <v>31</v>
      </c>
      <c r="K672">
        <v>9</v>
      </c>
      <c r="O672">
        <v>84.73</v>
      </c>
    </row>
    <row r="673" spans="1:15" x14ac:dyDescent="0.35">
      <c r="A673" t="s">
        <v>942</v>
      </c>
      <c r="B673">
        <v>3</v>
      </c>
      <c r="C673">
        <v>30.99</v>
      </c>
      <c r="D673">
        <v>74.650000000000006</v>
      </c>
      <c r="E673" t="s">
        <v>943</v>
      </c>
      <c r="F673" t="s">
        <v>1718</v>
      </c>
      <c r="G673" t="s">
        <v>16</v>
      </c>
      <c r="H673">
        <v>3</v>
      </c>
      <c r="I673" t="s">
        <v>12</v>
      </c>
      <c r="J673" t="s">
        <v>18</v>
      </c>
      <c r="K673">
        <v>10.5</v>
      </c>
      <c r="O673">
        <v>84.73</v>
      </c>
    </row>
    <row r="674" spans="1:15" x14ac:dyDescent="0.35">
      <c r="A674" t="s">
        <v>944</v>
      </c>
      <c r="B674">
        <v>1</v>
      </c>
      <c r="C674">
        <v>16.989999999999998</v>
      </c>
      <c r="D674">
        <v>16.989999999999998</v>
      </c>
      <c r="E674" t="s">
        <v>116</v>
      </c>
      <c r="F674" t="s">
        <v>1719</v>
      </c>
      <c r="G674" t="s">
        <v>21</v>
      </c>
      <c r="H674">
        <v>0</v>
      </c>
      <c r="I674" t="s">
        <v>12</v>
      </c>
      <c r="J674" t="s">
        <v>25</v>
      </c>
      <c r="K674">
        <v>5</v>
      </c>
      <c r="O674">
        <v>21.99</v>
      </c>
    </row>
    <row r="675" spans="1:15" x14ac:dyDescent="0.35">
      <c r="A675" t="s">
        <v>945</v>
      </c>
      <c r="B675">
        <v>1</v>
      </c>
      <c r="C675">
        <v>18.989999999999998</v>
      </c>
      <c r="D675">
        <v>18.989999999999998</v>
      </c>
      <c r="E675" t="s">
        <v>162</v>
      </c>
      <c r="F675" t="s">
        <v>1720</v>
      </c>
      <c r="G675" t="s">
        <v>21</v>
      </c>
      <c r="H675">
        <v>0</v>
      </c>
      <c r="I675" t="s">
        <v>12</v>
      </c>
      <c r="J675" t="s">
        <v>42</v>
      </c>
      <c r="K675">
        <v>6</v>
      </c>
      <c r="O675">
        <v>21.99</v>
      </c>
    </row>
    <row r="676" spans="1:15" x14ac:dyDescent="0.35">
      <c r="A676" t="s">
        <v>946</v>
      </c>
      <c r="B676">
        <v>1</v>
      </c>
      <c r="C676">
        <v>34.99</v>
      </c>
      <c r="D676">
        <v>34.99</v>
      </c>
      <c r="E676" t="s">
        <v>947</v>
      </c>
      <c r="F676" t="s">
        <v>1721</v>
      </c>
      <c r="G676" t="s">
        <v>87</v>
      </c>
      <c r="H676">
        <v>0</v>
      </c>
      <c r="I676" t="s">
        <v>17</v>
      </c>
      <c r="J676" t="s">
        <v>36</v>
      </c>
      <c r="K676">
        <v>12.5</v>
      </c>
      <c r="O676">
        <v>21.99</v>
      </c>
    </row>
    <row r="677" spans="1:15" x14ac:dyDescent="0.35">
      <c r="A677" t="s">
        <v>948</v>
      </c>
      <c r="B677">
        <v>1</v>
      </c>
      <c r="C677">
        <v>27.99</v>
      </c>
      <c r="D677">
        <v>27.99</v>
      </c>
      <c r="E677" t="s">
        <v>27</v>
      </c>
      <c r="F677" t="s">
        <v>1722</v>
      </c>
      <c r="G677" t="s">
        <v>16</v>
      </c>
      <c r="H677">
        <v>2</v>
      </c>
      <c r="I677" t="s">
        <v>12</v>
      </c>
      <c r="J677" t="s">
        <v>31</v>
      </c>
      <c r="K677">
        <v>9</v>
      </c>
      <c r="O677">
        <v>21.99</v>
      </c>
    </row>
    <row r="678" spans="1:15" x14ac:dyDescent="0.35">
      <c r="A678" t="s">
        <v>949</v>
      </c>
      <c r="B678">
        <v>1</v>
      </c>
      <c r="C678">
        <v>34.99</v>
      </c>
      <c r="D678">
        <v>34.99</v>
      </c>
      <c r="E678" t="s">
        <v>950</v>
      </c>
      <c r="F678" t="s">
        <v>1723</v>
      </c>
      <c r="G678" t="s">
        <v>87</v>
      </c>
      <c r="H678">
        <v>0</v>
      </c>
      <c r="I678" t="s">
        <v>12</v>
      </c>
      <c r="J678" t="s">
        <v>36</v>
      </c>
      <c r="K678">
        <v>12.5</v>
      </c>
      <c r="O678">
        <v>21.99</v>
      </c>
    </row>
    <row r="679" spans="1:15" x14ac:dyDescent="0.35">
      <c r="A679" t="s">
        <v>951</v>
      </c>
      <c r="B679">
        <v>3</v>
      </c>
      <c r="C679">
        <v>18.989999999999998</v>
      </c>
      <c r="D679">
        <v>44.9</v>
      </c>
      <c r="E679" t="s">
        <v>655</v>
      </c>
      <c r="F679" t="s">
        <v>1724</v>
      </c>
      <c r="G679" t="s">
        <v>87</v>
      </c>
      <c r="H679">
        <v>0</v>
      </c>
      <c r="I679" t="s">
        <v>17</v>
      </c>
      <c r="J679" t="s">
        <v>42</v>
      </c>
      <c r="K679">
        <v>6</v>
      </c>
      <c r="O679">
        <v>84.73</v>
      </c>
    </row>
    <row r="680" spans="1:15" x14ac:dyDescent="0.35">
      <c r="A680" t="s">
        <v>952</v>
      </c>
      <c r="B680">
        <v>1</v>
      </c>
      <c r="C680">
        <v>30.99</v>
      </c>
      <c r="D680">
        <v>30.99</v>
      </c>
      <c r="E680" t="s">
        <v>445</v>
      </c>
      <c r="F680" t="s">
        <v>1725</v>
      </c>
      <c r="G680" t="s">
        <v>21</v>
      </c>
      <c r="H680">
        <v>0</v>
      </c>
      <c r="I680" t="s">
        <v>12</v>
      </c>
      <c r="J680" t="s">
        <v>18</v>
      </c>
      <c r="K680">
        <v>10.5</v>
      </c>
      <c r="O680">
        <v>21.99</v>
      </c>
    </row>
    <row r="681" spans="1:15" x14ac:dyDescent="0.35">
      <c r="A681" t="s">
        <v>953</v>
      </c>
      <c r="B681">
        <v>2</v>
      </c>
      <c r="C681">
        <v>21.99</v>
      </c>
      <c r="D681">
        <v>37.69</v>
      </c>
      <c r="E681" t="s">
        <v>570</v>
      </c>
      <c r="F681" t="s">
        <v>1726</v>
      </c>
      <c r="G681" t="s">
        <v>21</v>
      </c>
      <c r="H681">
        <v>0</v>
      </c>
      <c r="I681" t="s">
        <v>24</v>
      </c>
      <c r="J681" t="s">
        <v>13</v>
      </c>
      <c r="K681">
        <v>7</v>
      </c>
      <c r="O681">
        <v>37.979999999999997</v>
      </c>
    </row>
    <row r="682" spans="1:15" x14ac:dyDescent="0.35">
      <c r="A682" t="s">
        <v>954</v>
      </c>
      <c r="B682">
        <v>1</v>
      </c>
      <c r="C682">
        <v>16.989999999999998</v>
      </c>
      <c r="D682">
        <v>16.989999999999998</v>
      </c>
      <c r="E682" t="s">
        <v>955</v>
      </c>
      <c r="F682" t="s">
        <v>1727</v>
      </c>
      <c r="G682" t="s">
        <v>28</v>
      </c>
      <c r="H682">
        <v>0</v>
      </c>
      <c r="I682" t="s">
        <v>41</v>
      </c>
      <c r="J682" t="s">
        <v>25</v>
      </c>
      <c r="K682">
        <v>5</v>
      </c>
      <c r="O682">
        <v>21.99</v>
      </c>
    </row>
    <row r="683" spans="1:15" x14ac:dyDescent="0.35">
      <c r="A683" t="s">
        <v>956</v>
      </c>
      <c r="B683">
        <v>3</v>
      </c>
      <c r="C683">
        <v>21.99</v>
      </c>
      <c r="D683">
        <v>51.92</v>
      </c>
      <c r="E683" t="s">
        <v>536</v>
      </c>
      <c r="F683" t="s">
        <v>1728</v>
      </c>
      <c r="G683" t="s">
        <v>87</v>
      </c>
      <c r="H683">
        <v>0</v>
      </c>
      <c r="I683" t="s">
        <v>17</v>
      </c>
      <c r="J683" t="s">
        <v>13</v>
      </c>
      <c r="K683">
        <v>7</v>
      </c>
      <c r="O683">
        <v>84.73</v>
      </c>
    </row>
    <row r="684" spans="1:15" x14ac:dyDescent="0.35">
      <c r="A684" t="s">
        <v>957</v>
      </c>
      <c r="B684">
        <v>3</v>
      </c>
      <c r="C684">
        <v>18.989999999999998</v>
      </c>
      <c r="D684">
        <v>45.8</v>
      </c>
      <c r="E684" t="s">
        <v>958</v>
      </c>
      <c r="F684" t="s">
        <v>1717</v>
      </c>
      <c r="G684" t="s">
        <v>21</v>
      </c>
      <c r="H684">
        <v>0</v>
      </c>
      <c r="I684" t="s">
        <v>41</v>
      </c>
      <c r="J684" t="s">
        <v>42</v>
      </c>
      <c r="K684">
        <v>6</v>
      </c>
      <c r="O684">
        <v>84.73</v>
      </c>
    </row>
    <row r="685" spans="1:15" x14ac:dyDescent="0.35">
      <c r="A685" t="s">
        <v>959</v>
      </c>
      <c r="B685">
        <v>1</v>
      </c>
      <c r="C685">
        <v>27.99</v>
      </c>
      <c r="D685">
        <v>27.99</v>
      </c>
      <c r="E685" t="s">
        <v>692</v>
      </c>
      <c r="F685" t="s">
        <v>1718</v>
      </c>
      <c r="G685" t="s">
        <v>16</v>
      </c>
      <c r="H685">
        <v>3</v>
      </c>
      <c r="I685" t="s">
        <v>17</v>
      </c>
      <c r="J685" t="s">
        <v>31</v>
      </c>
      <c r="K685">
        <v>9</v>
      </c>
      <c r="O685">
        <v>21.99</v>
      </c>
    </row>
    <row r="686" spans="1:15" x14ac:dyDescent="0.35">
      <c r="A686" t="s">
        <v>960</v>
      </c>
      <c r="B686">
        <v>1</v>
      </c>
      <c r="C686">
        <v>18.989999999999998</v>
      </c>
      <c r="D686">
        <v>18.989999999999998</v>
      </c>
      <c r="E686" t="s">
        <v>122</v>
      </c>
      <c r="F686" t="s">
        <v>1719</v>
      </c>
      <c r="G686" t="s">
        <v>16</v>
      </c>
      <c r="H686">
        <v>13</v>
      </c>
      <c r="I686" t="s">
        <v>17</v>
      </c>
      <c r="J686" t="s">
        <v>42</v>
      </c>
      <c r="K686">
        <v>6</v>
      </c>
      <c r="O686">
        <v>21.99</v>
      </c>
    </row>
    <row r="687" spans="1:15" x14ac:dyDescent="0.35">
      <c r="A687" t="s">
        <v>961</v>
      </c>
      <c r="B687">
        <v>1</v>
      </c>
      <c r="C687">
        <v>21.99</v>
      </c>
      <c r="D687">
        <v>21.99</v>
      </c>
      <c r="E687" t="s">
        <v>627</v>
      </c>
      <c r="F687" t="s">
        <v>1720</v>
      </c>
      <c r="G687" t="s">
        <v>21</v>
      </c>
      <c r="H687">
        <v>0</v>
      </c>
      <c r="I687" t="s">
        <v>41</v>
      </c>
      <c r="J687" t="s">
        <v>13</v>
      </c>
      <c r="K687">
        <v>7</v>
      </c>
      <c r="O687">
        <v>21.99</v>
      </c>
    </row>
    <row r="688" spans="1:15" x14ac:dyDescent="0.35">
      <c r="A688" t="s">
        <v>962</v>
      </c>
      <c r="B688">
        <v>1</v>
      </c>
      <c r="C688">
        <v>34.99</v>
      </c>
      <c r="D688">
        <v>34.99</v>
      </c>
      <c r="E688" t="s">
        <v>30</v>
      </c>
      <c r="F688" t="s">
        <v>1721</v>
      </c>
      <c r="G688" t="s">
        <v>16</v>
      </c>
      <c r="H688">
        <v>8</v>
      </c>
      <c r="I688" t="s">
        <v>12</v>
      </c>
      <c r="J688" t="s">
        <v>36</v>
      </c>
      <c r="K688">
        <v>12.5</v>
      </c>
      <c r="O688">
        <v>21.99</v>
      </c>
    </row>
    <row r="689" spans="1:15" x14ac:dyDescent="0.35">
      <c r="A689" t="s">
        <v>963</v>
      </c>
      <c r="B689">
        <v>1</v>
      </c>
      <c r="C689">
        <v>27.99</v>
      </c>
      <c r="D689">
        <v>27.99</v>
      </c>
      <c r="E689" t="s">
        <v>812</v>
      </c>
      <c r="F689" t="s">
        <v>1722</v>
      </c>
      <c r="G689" t="s">
        <v>28</v>
      </c>
      <c r="H689">
        <v>0</v>
      </c>
      <c r="I689" t="s">
        <v>41</v>
      </c>
      <c r="J689" t="s">
        <v>31</v>
      </c>
      <c r="K689">
        <v>9</v>
      </c>
      <c r="O689">
        <v>21.99</v>
      </c>
    </row>
    <row r="690" spans="1:15" x14ac:dyDescent="0.35">
      <c r="A690" t="s">
        <v>964</v>
      </c>
      <c r="B690">
        <v>2</v>
      </c>
      <c r="C690">
        <v>27.99</v>
      </c>
      <c r="D690">
        <v>47.87</v>
      </c>
      <c r="E690" t="s">
        <v>240</v>
      </c>
      <c r="F690" t="s">
        <v>1723</v>
      </c>
      <c r="G690" t="s">
        <v>16</v>
      </c>
      <c r="H690">
        <v>2</v>
      </c>
      <c r="I690" t="s">
        <v>24</v>
      </c>
      <c r="J690" t="s">
        <v>31</v>
      </c>
      <c r="K690">
        <v>9</v>
      </c>
      <c r="O690">
        <v>37.979999999999997</v>
      </c>
    </row>
    <row r="691" spans="1:15" x14ac:dyDescent="0.35">
      <c r="A691" t="s">
        <v>965</v>
      </c>
      <c r="B691">
        <v>1</v>
      </c>
      <c r="C691">
        <v>30.99</v>
      </c>
      <c r="D691">
        <v>30.99</v>
      </c>
      <c r="E691" t="s">
        <v>966</v>
      </c>
      <c r="F691" t="s">
        <v>1724</v>
      </c>
      <c r="G691" t="s">
        <v>11</v>
      </c>
      <c r="H691">
        <v>3</v>
      </c>
      <c r="I691" t="s">
        <v>41</v>
      </c>
      <c r="J691" t="s">
        <v>18</v>
      </c>
      <c r="K691">
        <v>10.5</v>
      </c>
      <c r="O691">
        <v>21.99</v>
      </c>
    </row>
    <row r="692" spans="1:15" x14ac:dyDescent="0.35">
      <c r="A692" t="s">
        <v>967</v>
      </c>
      <c r="B692">
        <v>1</v>
      </c>
      <c r="C692">
        <v>30.99</v>
      </c>
      <c r="D692">
        <v>30.99</v>
      </c>
      <c r="E692" t="s">
        <v>790</v>
      </c>
      <c r="F692" t="s">
        <v>1725</v>
      </c>
      <c r="G692" t="s">
        <v>16</v>
      </c>
      <c r="H692">
        <v>3</v>
      </c>
      <c r="I692" t="s">
        <v>24</v>
      </c>
      <c r="J692" t="s">
        <v>18</v>
      </c>
      <c r="K692">
        <v>10.5</v>
      </c>
      <c r="O692">
        <v>21.99</v>
      </c>
    </row>
    <row r="693" spans="1:15" x14ac:dyDescent="0.35">
      <c r="A693" t="s">
        <v>968</v>
      </c>
      <c r="B693">
        <v>1</v>
      </c>
      <c r="C693">
        <v>16.989999999999998</v>
      </c>
      <c r="D693">
        <v>16.989999999999998</v>
      </c>
      <c r="E693" t="s">
        <v>739</v>
      </c>
      <c r="F693" t="s">
        <v>1726</v>
      </c>
      <c r="G693" t="s">
        <v>87</v>
      </c>
      <c r="H693">
        <v>0</v>
      </c>
      <c r="I693" t="s">
        <v>24</v>
      </c>
      <c r="J693" t="s">
        <v>25</v>
      </c>
      <c r="K693">
        <v>5</v>
      </c>
      <c r="O693">
        <v>21.99</v>
      </c>
    </row>
    <row r="694" spans="1:15" x14ac:dyDescent="0.35">
      <c r="A694" t="s">
        <v>969</v>
      </c>
      <c r="B694">
        <v>1</v>
      </c>
      <c r="C694">
        <v>16.989999999999998</v>
      </c>
      <c r="D694">
        <v>16.989999999999998</v>
      </c>
      <c r="E694" t="s">
        <v>725</v>
      </c>
      <c r="F694" t="s">
        <v>1727</v>
      </c>
      <c r="G694" t="s">
        <v>16</v>
      </c>
      <c r="H694">
        <v>18</v>
      </c>
      <c r="I694" t="s">
        <v>24</v>
      </c>
      <c r="J694" t="s">
        <v>25</v>
      </c>
      <c r="K694">
        <v>5</v>
      </c>
      <c r="O694">
        <v>21.99</v>
      </c>
    </row>
    <row r="695" spans="1:15" x14ac:dyDescent="0.35">
      <c r="A695" t="s">
        <v>970</v>
      </c>
      <c r="B695">
        <v>1</v>
      </c>
      <c r="C695">
        <v>34.99</v>
      </c>
      <c r="D695">
        <v>34.99</v>
      </c>
      <c r="E695" t="s">
        <v>847</v>
      </c>
      <c r="F695" t="s">
        <v>1728</v>
      </c>
      <c r="G695" t="s">
        <v>16</v>
      </c>
      <c r="H695">
        <v>8</v>
      </c>
      <c r="I695" t="s">
        <v>41</v>
      </c>
      <c r="J695" t="s">
        <v>36</v>
      </c>
      <c r="K695">
        <v>12.5</v>
      </c>
      <c r="O695">
        <v>21.99</v>
      </c>
    </row>
    <row r="696" spans="1:15" x14ac:dyDescent="0.35">
      <c r="A696" t="s">
        <v>971</v>
      </c>
      <c r="B696">
        <v>1</v>
      </c>
      <c r="C696">
        <v>16.989999999999998</v>
      </c>
      <c r="D696">
        <v>16.989999999999998</v>
      </c>
      <c r="E696" t="s">
        <v>23</v>
      </c>
      <c r="F696" t="s">
        <v>1717</v>
      </c>
      <c r="G696" t="s">
        <v>16</v>
      </c>
      <c r="H696">
        <v>20</v>
      </c>
      <c r="I696" t="s">
        <v>41</v>
      </c>
      <c r="J696" t="s">
        <v>25</v>
      </c>
      <c r="K696">
        <v>5</v>
      </c>
      <c r="O696">
        <v>21.99</v>
      </c>
    </row>
    <row r="697" spans="1:15" x14ac:dyDescent="0.35">
      <c r="A697" t="s">
        <v>972</v>
      </c>
      <c r="B697">
        <v>1</v>
      </c>
      <c r="C697">
        <v>21.99</v>
      </c>
      <c r="D697">
        <v>21.99</v>
      </c>
      <c r="E697" t="s">
        <v>692</v>
      </c>
      <c r="F697" t="s">
        <v>1718</v>
      </c>
      <c r="G697" t="s">
        <v>16</v>
      </c>
      <c r="H697">
        <v>3</v>
      </c>
      <c r="I697" t="s">
        <v>24</v>
      </c>
      <c r="J697" t="s">
        <v>13</v>
      </c>
      <c r="K697">
        <v>7</v>
      </c>
      <c r="O697">
        <v>21.99</v>
      </c>
    </row>
    <row r="698" spans="1:15" x14ac:dyDescent="0.35">
      <c r="A698" t="s">
        <v>973</v>
      </c>
      <c r="B698">
        <v>1</v>
      </c>
      <c r="C698">
        <v>21.99</v>
      </c>
      <c r="D698">
        <v>21.99</v>
      </c>
      <c r="E698" t="s">
        <v>148</v>
      </c>
      <c r="F698" t="s">
        <v>1719</v>
      </c>
      <c r="G698" t="s">
        <v>16</v>
      </c>
      <c r="H698">
        <v>2</v>
      </c>
      <c r="I698" t="s">
        <v>41</v>
      </c>
      <c r="J698" t="s">
        <v>13</v>
      </c>
      <c r="K698">
        <v>7</v>
      </c>
      <c r="O698">
        <v>21.99</v>
      </c>
    </row>
    <row r="699" spans="1:15" x14ac:dyDescent="0.35">
      <c r="A699" t="s">
        <v>974</v>
      </c>
      <c r="B699">
        <v>3</v>
      </c>
      <c r="C699">
        <v>30.99</v>
      </c>
      <c r="D699">
        <v>74.790000000000006</v>
      </c>
      <c r="E699" t="s">
        <v>240</v>
      </c>
      <c r="F699" t="s">
        <v>1720</v>
      </c>
      <c r="G699" t="s">
        <v>11</v>
      </c>
      <c r="H699">
        <v>2</v>
      </c>
      <c r="I699" t="s">
        <v>24</v>
      </c>
      <c r="J699" t="s">
        <v>18</v>
      </c>
      <c r="K699">
        <v>10.5</v>
      </c>
      <c r="O699">
        <v>84.73</v>
      </c>
    </row>
    <row r="700" spans="1:15" x14ac:dyDescent="0.35">
      <c r="A700" t="s">
        <v>975</v>
      </c>
      <c r="B700">
        <v>2</v>
      </c>
      <c r="C700">
        <v>18.989999999999998</v>
      </c>
      <c r="D700">
        <v>33.11</v>
      </c>
      <c r="E700" t="s">
        <v>447</v>
      </c>
      <c r="F700" t="s">
        <v>1721</v>
      </c>
      <c r="G700" t="s">
        <v>21</v>
      </c>
      <c r="H700">
        <v>0</v>
      </c>
      <c r="I700" t="s">
        <v>24</v>
      </c>
      <c r="J700" t="s">
        <v>42</v>
      </c>
      <c r="K700">
        <v>6</v>
      </c>
      <c r="O700">
        <v>37.979999999999997</v>
      </c>
    </row>
    <row r="701" spans="1:15" x14ac:dyDescent="0.35">
      <c r="A701" t="s">
        <v>976</v>
      </c>
      <c r="B701">
        <v>3</v>
      </c>
      <c r="C701">
        <v>30.99</v>
      </c>
      <c r="D701">
        <v>73.569999999999993</v>
      </c>
      <c r="E701" t="s">
        <v>977</v>
      </c>
      <c r="F701" t="s">
        <v>1722</v>
      </c>
      <c r="G701" t="s">
        <v>21</v>
      </c>
      <c r="H701">
        <v>0</v>
      </c>
      <c r="I701" t="s">
        <v>41</v>
      </c>
      <c r="J701" t="s">
        <v>18</v>
      </c>
      <c r="K701">
        <v>10.5</v>
      </c>
      <c r="O701">
        <v>84.73</v>
      </c>
    </row>
    <row r="702" spans="1:15" x14ac:dyDescent="0.35">
      <c r="A702" t="s">
        <v>978</v>
      </c>
      <c r="B702">
        <v>3</v>
      </c>
      <c r="C702">
        <v>30.99</v>
      </c>
      <c r="D702">
        <v>74.11</v>
      </c>
      <c r="E702" t="s">
        <v>556</v>
      </c>
      <c r="F702" t="s">
        <v>1723</v>
      </c>
      <c r="G702" t="s">
        <v>16</v>
      </c>
      <c r="H702">
        <v>3</v>
      </c>
      <c r="I702" t="s">
        <v>12</v>
      </c>
      <c r="J702" t="s">
        <v>18</v>
      </c>
      <c r="K702">
        <v>10.5</v>
      </c>
      <c r="O702">
        <v>84.73</v>
      </c>
    </row>
    <row r="703" spans="1:15" x14ac:dyDescent="0.35">
      <c r="A703" t="s">
        <v>979</v>
      </c>
      <c r="B703">
        <v>3</v>
      </c>
      <c r="C703">
        <v>34.99</v>
      </c>
      <c r="D703">
        <v>82.97</v>
      </c>
      <c r="E703" t="s">
        <v>547</v>
      </c>
      <c r="F703" t="s">
        <v>1724</v>
      </c>
      <c r="G703" t="s">
        <v>16</v>
      </c>
      <c r="H703">
        <v>5</v>
      </c>
      <c r="I703" t="s">
        <v>17</v>
      </c>
      <c r="J703" t="s">
        <v>36</v>
      </c>
      <c r="K703">
        <v>12.5</v>
      </c>
      <c r="O703">
        <v>84.73</v>
      </c>
    </row>
    <row r="704" spans="1:15" x14ac:dyDescent="0.35">
      <c r="A704" t="s">
        <v>980</v>
      </c>
      <c r="B704">
        <v>3</v>
      </c>
      <c r="C704">
        <v>34.99</v>
      </c>
      <c r="D704">
        <v>82.43</v>
      </c>
      <c r="E704" t="s">
        <v>981</v>
      </c>
      <c r="F704" t="s">
        <v>1725</v>
      </c>
      <c r="G704" t="s">
        <v>87</v>
      </c>
      <c r="H704">
        <v>0</v>
      </c>
      <c r="I704" t="s">
        <v>41</v>
      </c>
      <c r="J704" t="s">
        <v>36</v>
      </c>
      <c r="K704">
        <v>12.5</v>
      </c>
      <c r="O704">
        <v>84.73</v>
      </c>
    </row>
    <row r="705" spans="1:15" x14ac:dyDescent="0.35">
      <c r="A705" t="s">
        <v>982</v>
      </c>
      <c r="B705">
        <v>2</v>
      </c>
      <c r="C705">
        <v>30.99</v>
      </c>
      <c r="D705">
        <v>53.58</v>
      </c>
      <c r="E705" t="s">
        <v>108</v>
      </c>
      <c r="F705" t="s">
        <v>1726</v>
      </c>
      <c r="G705" t="s">
        <v>16</v>
      </c>
      <c r="H705">
        <v>3</v>
      </c>
      <c r="I705" t="s">
        <v>24</v>
      </c>
      <c r="J705" t="s">
        <v>18</v>
      </c>
      <c r="K705">
        <v>10.5</v>
      </c>
      <c r="O705">
        <v>37.979999999999997</v>
      </c>
    </row>
    <row r="706" spans="1:15" x14ac:dyDescent="0.35">
      <c r="A706" t="s">
        <v>983</v>
      </c>
      <c r="B706">
        <v>1</v>
      </c>
      <c r="C706">
        <v>18.989999999999998</v>
      </c>
      <c r="D706">
        <v>18.989999999999998</v>
      </c>
      <c r="E706" t="s">
        <v>888</v>
      </c>
      <c r="F706" t="s">
        <v>1727</v>
      </c>
      <c r="G706" t="s">
        <v>87</v>
      </c>
      <c r="H706">
        <v>0</v>
      </c>
      <c r="I706" t="s">
        <v>24</v>
      </c>
      <c r="J706" t="s">
        <v>42</v>
      </c>
      <c r="K706">
        <v>6</v>
      </c>
      <c r="O706">
        <v>21.99</v>
      </c>
    </row>
    <row r="707" spans="1:15" x14ac:dyDescent="0.35">
      <c r="A707" t="s">
        <v>984</v>
      </c>
      <c r="B707">
        <v>1</v>
      </c>
      <c r="C707">
        <v>30.99</v>
      </c>
      <c r="D707">
        <v>30.99</v>
      </c>
      <c r="E707" t="s">
        <v>632</v>
      </c>
      <c r="F707" t="s">
        <v>1728</v>
      </c>
      <c r="G707" t="s">
        <v>11</v>
      </c>
      <c r="H707">
        <v>3</v>
      </c>
      <c r="I707" t="s">
        <v>41</v>
      </c>
      <c r="J707" t="s">
        <v>18</v>
      </c>
      <c r="K707">
        <v>10.5</v>
      </c>
      <c r="O707">
        <v>21.99</v>
      </c>
    </row>
    <row r="708" spans="1:15" x14ac:dyDescent="0.35">
      <c r="A708" t="s">
        <v>985</v>
      </c>
      <c r="B708">
        <v>1</v>
      </c>
      <c r="C708">
        <v>16.989999999999998</v>
      </c>
      <c r="D708">
        <v>16.989999999999998</v>
      </c>
      <c r="E708" t="s">
        <v>773</v>
      </c>
      <c r="F708" t="s">
        <v>1717</v>
      </c>
      <c r="G708" t="s">
        <v>28</v>
      </c>
      <c r="H708">
        <v>0</v>
      </c>
      <c r="I708" t="s">
        <v>17</v>
      </c>
      <c r="J708" t="s">
        <v>25</v>
      </c>
      <c r="K708">
        <v>5</v>
      </c>
      <c r="O708">
        <v>21.99</v>
      </c>
    </row>
    <row r="709" spans="1:15" x14ac:dyDescent="0.35">
      <c r="A709" t="s">
        <v>986</v>
      </c>
      <c r="B709">
        <v>1</v>
      </c>
      <c r="C709">
        <v>30.99</v>
      </c>
      <c r="D709">
        <v>30.99</v>
      </c>
      <c r="E709" t="s">
        <v>790</v>
      </c>
      <c r="F709" t="s">
        <v>1718</v>
      </c>
      <c r="G709" t="s">
        <v>21</v>
      </c>
      <c r="H709">
        <v>0</v>
      </c>
      <c r="I709" t="s">
        <v>24</v>
      </c>
      <c r="J709" t="s">
        <v>18</v>
      </c>
      <c r="K709">
        <v>10.5</v>
      </c>
      <c r="O709">
        <v>21.99</v>
      </c>
    </row>
    <row r="710" spans="1:15" x14ac:dyDescent="0.35">
      <c r="A710" t="s">
        <v>987</v>
      </c>
      <c r="B710">
        <v>3</v>
      </c>
      <c r="C710">
        <v>27.99</v>
      </c>
      <c r="D710">
        <v>66.290000000000006</v>
      </c>
      <c r="E710" t="s">
        <v>44</v>
      </c>
      <c r="F710" t="s">
        <v>1719</v>
      </c>
      <c r="G710" t="s">
        <v>21</v>
      </c>
      <c r="H710">
        <v>0</v>
      </c>
      <c r="I710" t="s">
        <v>24</v>
      </c>
      <c r="J710" t="s">
        <v>31</v>
      </c>
      <c r="K710">
        <v>9</v>
      </c>
      <c r="O710">
        <v>84.73</v>
      </c>
    </row>
    <row r="711" spans="1:15" x14ac:dyDescent="0.35">
      <c r="A711" t="s">
        <v>988</v>
      </c>
      <c r="B711">
        <v>2</v>
      </c>
      <c r="C711">
        <v>34.99</v>
      </c>
      <c r="D711">
        <v>60.43</v>
      </c>
      <c r="E711" t="s">
        <v>722</v>
      </c>
      <c r="F711" t="s">
        <v>1720</v>
      </c>
      <c r="G711" t="s">
        <v>16</v>
      </c>
      <c r="H711">
        <v>5</v>
      </c>
      <c r="I711" t="s">
        <v>24</v>
      </c>
      <c r="J711" t="s">
        <v>36</v>
      </c>
      <c r="K711">
        <v>12.5</v>
      </c>
      <c r="O711">
        <v>37.979999999999997</v>
      </c>
    </row>
    <row r="712" spans="1:15" x14ac:dyDescent="0.35">
      <c r="A712" t="s">
        <v>989</v>
      </c>
      <c r="B712">
        <v>3</v>
      </c>
      <c r="C712">
        <v>27.99</v>
      </c>
      <c r="D712">
        <v>66.930000000000007</v>
      </c>
      <c r="E712" t="s">
        <v>118</v>
      </c>
      <c r="F712" t="s">
        <v>1721</v>
      </c>
      <c r="G712" t="s">
        <v>28</v>
      </c>
      <c r="H712">
        <v>0</v>
      </c>
      <c r="I712" t="s">
        <v>12</v>
      </c>
      <c r="J712" t="s">
        <v>31</v>
      </c>
      <c r="K712">
        <v>9</v>
      </c>
      <c r="O712">
        <v>84.73</v>
      </c>
    </row>
    <row r="713" spans="1:15" x14ac:dyDescent="0.35">
      <c r="A713" t="s">
        <v>990</v>
      </c>
      <c r="B713">
        <v>1</v>
      </c>
      <c r="C713">
        <v>21.99</v>
      </c>
      <c r="D713">
        <v>21.99</v>
      </c>
      <c r="E713" t="s">
        <v>806</v>
      </c>
      <c r="F713" t="s">
        <v>1722</v>
      </c>
      <c r="G713" t="s">
        <v>16</v>
      </c>
      <c r="H713">
        <v>3</v>
      </c>
      <c r="I713" t="s">
        <v>17</v>
      </c>
      <c r="J713" t="s">
        <v>13</v>
      </c>
      <c r="K713">
        <v>7</v>
      </c>
      <c r="O713">
        <v>21.99</v>
      </c>
    </row>
    <row r="714" spans="1:15" x14ac:dyDescent="0.35">
      <c r="A714" t="s">
        <v>991</v>
      </c>
      <c r="B714">
        <v>1</v>
      </c>
      <c r="C714">
        <v>27.99</v>
      </c>
      <c r="D714">
        <v>27.99</v>
      </c>
      <c r="E714" t="s">
        <v>992</v>
      </c>
      <c r="F714" t="s">
        <v>1723</v>
      </c>
      <c r="G714" t="s">
        <v>21</v>
      </c>
      <c r="H714">
        <v>0</v>
      </c>
      <c r="I714" t="s">
        <v>41</v>
      </c>
      <c r="J714" t="s">
        <v>31</v>
      </c>
      <c r="K714">
        <v>9</v>
      </c>
      <c r="O714">
        <v>21.99</v>
      </c>
    </row>
    <row r="715" spans="1:15" x14ac:dyDescent="0.35">
      <c r="A715" t="s">
        <v>993</v>
      </c>
      <c r="B715">
        <v>3</v>
      </c>
      <c r="C715">
        <v>18.989999999999998</v>
      </c>
      <c r="D715">
        <v>45.88</v>
      </c>
      <c r="E715" t="s">
        <v>838</v>
      </c>
      <c r="F715" t="s">
        <v>1724</v>
      </c>
      <c r="G715" t="s">
        <v>16</v>
      </c>
      <c r="H715">
        <v>10</v>
      </c>
      <c r="I715" t="s">
        <v>41</v>
      </c>
      <c r="J715" t="s">
        <v>42</v>
      </c>
      <c r="K715">
        <v>6</v>
      </c>
      <c r="O715">
        <v>84.73</v>
      </c>
    </row>
    <row r="716" spans="1:15" x14ac:dyDescent="0.35">
      <c r="A716" t="s">
        <v>994</v>
      </c>
      <c r="B716">
        <v>1</v>
      </c>
      <c r="C716">
        <v>18.989999999999998</v>
      </c>
      <c r="D716">
        <v>18.989999999999998</v>
      </c>
      <c r="E716" t="s">
        <v>608</v>
      </c>
      <c r="F716" t="s">
        <v>1725</v>
      </c>
      <c r="G716" t="s">
        <v>16</v>
      </c>
      <c r="H716">
        <v>11</v>
      </c>
      <c r="I716" t="s">
        <v>41</v>
      </c>
      <c r="J716" t="s">
        <v>42</v>
      </c>
      <c r="K716">
        <v>6</v>
      </c>
      <c r="O716">
        <v>21.99</v>
      </c>
    </row>
    <row r="717" spans="1:15" x14ac:dyDescent="0.35">
      <c r="A717" t="s">
        <v>995</v>
      </c>
      <c r="B717">
        <v>1</v>
      </c>
      <c r="C717">
        <v>30.99</v>
      </c>
      <c r="D717">
        <v>30.99</v>
      </c>
      <c r="E717" t="s">
        <v>600</v>
      </c>
      <c r="F717" t="s">
        <v>1726</v>
      </c>
      <c r="G717" t="s">
        <v>21</v>
      </c>
      <c r="H717">
        <v>0</v>
      </c>
      <c r="I717" t="s">
        <v>24</v>
      </c>
      <c r="J717" t="s">
        <v>18</v>
      </c>
      <c r="K717">
        <v>10.5</v>
      </c>
      <c r="O717">
        <v>21.99</v>
      </c>
    </row>
    <row r="718" spans="1:15" x14ac:dyDescent="0.35">
      <c r="A718" t="s">
        <v>996</v>
      </c>
      <c r="B718">
        <v>1</v>
      </c>
      <c r="C718">
        <v>27.99</v>
      </c>
      <c r="D718">
        <v>27.99</v>
      </c>
      <c r="E718" t="s">
        <v>162</v>
      </c>
      <c r="F718" t="s">
        <v>1727</v>
      </c>
      <c r="G718" t="s">
        <v>16</v>
      </c>
      <c r="H718">
        <v>3</v>
      </c>
      <c r="I718" t="s">
        <v>12</v>
      </c>
      <c r="J718" t="s">
        <v>31</v>
      </c>
      <c r="K718">
        <v>9</v>
      </c>
      <c r="O718">
        <v>21.99</v>
      </c>
    </row>
    <row r="719" spans="1:15" x14ac:dyDescent="0.35">
      <c r="A719" t="s">
        <v>997</v>
      </c>
      <c r="B719">
        <v>1</v>
      </c>
      <c r="C719">
        <v>21.99</v>
      </c>
      <c r="D719">
        <v>21.99</v>
      </c>
      <c r="E719" t="s">
        <v>742</v>
      </c>
      <c r="F719" t="s">
        <v>1728</v>
      </c>
      <c r="G719" t="s">
        <v>16</v>
      </c>
      <c r="H719">
        <v>2</v>
      </c>
      <c r="I719" t="s">
        <v>12</v>
      </c>
      <c r="J719" t="s">
        <v>13</v>
      </c>
      <c r="K719">
        <v>7</v>
      </c>
      <c r="O719">
        <v>21.99</v>
      </c>
    </row>
    <row r="720" spans="1:15" x14ac:dyDescent="0.35">
      <c r="A720" t="s">
        <v>998</v>
      </c>
      <c r="B720">
        <v>1</v>
      </c>
      <c r="C720">
        <v>21.99</v>
      </c>
      <c r="D720">
        <v>21.99</v>
      </c>
      <c r="E720" t="s">
        <v>836</v>
      </c>
      <c r="F720" t="s">
        <v>1717</v>
      </c>
      <c r="G720" t="s">
        <v>87</v>
      </c>
      <c r="H720">
        <v>0</v>
      </c>
      <c r="I720" t="s">
        <v>17</v>
      </c>
      <c r="J720" t="s">
        <v>13</v>
      </c>
      <c r="K720">
        <v>7</v>
      </c>
      <c r="O720">
        <v>21.99</v>
      </c>
    </row>
    <row r="721" spans="1:15" x14ac:dyDescent="0.35">
      <c r="A721" t="s">
        <v>999</v>
      </c>
      <c r="B721">
        <v>1</v>
      </c>
      <c r="C721">
        <v>27.99</v>
      </c>
      <c r="D721">
        <v>27.99</v>
      </c>
      <c r="E721" t="s">
        <v>582</v>
      </c>
      <c r="F721" t="s">
        <v>1718</v>
      </c>
      <c r="G721" t="s">
        <v>87</v>
      </c>
      <c r="H721">
        <v>0</v>
      </c>
      <c r="I721" t="s">
        <v>41</v>
      </c>
      <c r="J721" t="s">
        <v>31</v>
      </c>
      <c r="K721">
        <v>9</v>
      </c>
      <c r="O721">
        <v>21.99</v>
      </c>
    </row>
    <row r="722" spans="1:15" x14ac:dyDescent="0.35">
      <c r="A722" t="s">
        <v>1000</v>
      </c>
      <c r="B722">
        <v>1</v>
      </c>
      <c r="C722">
        <v>16.989999999999998</v>
      </c>
      <c r="D722">
        <v>16.989999999999998</v>
      </c>
      <c r="E722" t="s">
        <v>474</v>
      </c>
      <c r="F722" t="s">
        <v>1719</v>
      </c>
      <c r="G722" t="s">
        <v>16</v>
      </c>
      <c r="H722">
        <v>18</v>
      </c>
      <c r="I722" t="s">
        <v>41</v>
      </c>
      <c r="J722" t="s">
        <v>25</v>
      </c>
      <c r="K722">
        <v>5</v>
      </c>
      <c r="O722">
        <v>21.99</v>
      </c>
    </row>
    <row r="723" spans="1:15" x14ac:dyDescent="0.35">
      <c r="A723" t="s">
        <v>1001</v>
      </c>
      <c r="B723">
        <v>1</v>
      </c>
      <c r="C723">
        <v>34.99</v>
      </c>
      <c r="D723">
        <v>34.99</v>
      </c>
      <c r="E723" t="s">
        <v>1002</v>
      </c>
      <c r="F723" t="s">
        <v>1720</v>
      </c>
      <c r="G723" t="s">
        <v>16</v>
      </c>
      <c r="H723">
        <v>6</v>
      </c>
      <c r="I723" t="s">
        <v>41</v>
      </c>
      <c r="J723" t="s">
        <v>36</v>
      </c>
      <c r="K723">
        <v>12.5</v>
      </c>
      <c r="O723">
        <v>21.99</v>
      </c>
    </row>
    <row r="724" spans="1:15" x14ac:dyDescent="0.35">
      <c r="A724" t="s">
        <v>1003</v>
      </c>
      <c r="B724">
        <v>3</v>
      </c>
      <c r="C724">
        <v>30.99</v>
      </c>
      <c r="D724">
        <v>73.489999999999995</v>
      </c>
      <c r="E724" t="s">
        <v>757</v>
      </c>
      <c r="F724" t="s">
        <v>1721</v>
      </c>
      <c r="G724" t="s">
        <v>16</v>
      </c>
      <c r="H724">
        <v>6</v>
      </c>
      <c r="I724" t="s">
        <v>41</v>
      </c>
      <c r="J724" t="s">
        <v>18</v>
      </c>
      <c r="K724">
        <v>10.5</v>
      </c>
      <c r="O724">
        <v>84.73</v>
      </c>
    </row>
    <row r="725" spans="1:15" x14ac:dyDescent="0.35">
      <c r="A725" t="s">
        <v>1004</v>
      </c>
      <c r="B725">
        <v>3</v>
      </c>
      <c r="C725">
        <v>21.99</v>
      </c>
      <c r="D725">
        <v>52.04</v>
      </c>
      <c r="E725" t="s">
        <v>1005</v>
      </c>
      <c r="F725" t="s">
        <v>1722</v>
      </c>
      <c r="G725" t="s">
        <v>28</v>
      </c>
      <c r="H725">
        <v>0</v>
      </c>
      <c r="I725" t="s">
        <v>24</v>
      </c>
      <c r="J725" t="s">
        <v>13</v>
      </c>
      <c r="K725">
        <v>7</v>
      </c>
      <c r="O725">
        <v>84.73</v>
      </c>
    </row>
    <row r="726" spans="1:15" x14ac:dyDescent="0.35">
      <c r="A726" t="s">
        <v>1006</v>
      </c>
      <c r="B726">
        <v>1</v>
      </c>
      <c r="C726">
        <v>27.99</v>
      </c>
      <c r="D726">
        <v>27.99</v>
      </c>
      <c r="E726" t="s">
        <v>1007</v>
      </c>
      <c r="F726" t="s">
        <v>1723</v>
      </c>
      <c r="G726" t="s">
        <v>28</v>
      </c>
      <c r="H726">
        <v>0</v>
      </c>
      <c r="I726" t="s">
        <v>12</v>
      </c>
      <c r="J726" t="s">
        <v>31</v>
      </c>
      <c r="K726">
        <v>9</v>
      </c>
      <c r="O726">
        <v>21.99</v>
      </c>
    </row>
    <row r="727" spans="1:15" x14ac:dyDescent="0.35">
      <c r="A727" t="s">
        <v>1008</v>
      </c>
      <c r="B727">
        <v>2</v>
      </c>
      <c r="C727">
        <v>21.99</v>
      </c>
      <c r="D727">
        <v>38.479999999999997</v>
      </c>
      <c r="E727" t="s">
        <v>358</v>
      </c>
      <c r="F727" t="s">
        <v>1724</v>
      </c>
      <c r="G727" t="s">
        <v>16</v>
      </c>
      <c r="H727">
        <v>2</v>
      </c>
      <c r="I727" t="s">
        <v>24</v>
      </c>
      <c r="J727" t="s">
        <v>13</v>
      </c>
      <c r="K727">
        <v>7</v>
      </c>
      <c r="O727">
        <v>37.979999999999997</v>
      </c>
    </row>
    <row r="728" spans="1:15" x14ac:dyDescent="0.35">
      <c r="A728" t="s">
        <v>1009</v>
      </c>
      <c r="B728">
        <v>1</v>
      </c>
      <c r="C728">
        <v>21.99</v>
      </c>
      <c r="D728">
        <v>21.99</v>
      </c>
      <c r="E728" t="s">
        <v>1010</v>
      </c>
      <c r="F728" t="s">
        <v>1725</v>
      </c>
      <c r="G728" t="s">
        <v>87</v>
      </c>
      <c r="H728">
        <v>0</v>
      </c>
      <c r="I728" t="s">
        <v>17</v>
      </c>
      <c r="J728" t="s">
        <v>13</v>
      </c>
      <c r="K728">
        <v>7</v>
      </c>
      <c r="O728">
        <v>21.99</v>
      </c>
    </row>
    <row r="729" spans="1:15" x14ac:dyDescent="0.35">
      <c r="A729" t="s">
        <v>1011</v>
      </c>
      <c r="B729">
        <v>1</v>
      </c>
      <c r="C729">
        <v>18.989999999999998</v>
      </c>
      <c r="D729">
        <v>18.989999999999998</v>
      </c>
      <c r="E729" t="s">
        <v>50</v>
      </c>
      <c r="F729" t="s">
        <v>1726</v>
      </c>
      <c r="G729" t="s">
        <v>28</v>
      </c>
      <c r="H729">
        <v>0</v>
      </c>
      <c r="I729" t="s">
        <v>24</v>
      </c>
      <c r="J729" t="s">
        <v>42</v>
      </c>
      <c r="K729">
        <v>6</v>
      </c>
      <c r="O729">
        <v>21.99</v>
      </c>
    </row>
    <row r="730" spans="1:15" x14ac:dyDescent="0.35">
      <c r="A730" t="s">
        <v>1012</v>
      </c>
      <c r="B730">
        <v>3</v>
      </c>
      <c r="C730">
        <v>27.99</v>
      </c>
      <c r="D730">
        <v>65.930000000000007</v>
      </c>
      <c r="E730" t="s">
        <v>162</v>
      </c>
      <c r="F730" t="s">
        <v>1727</v>
      </c>
      <c r="G730" t="s">
        <v>11</v>
      </c>
      <c r="H730">
        <v>3</v>
      </c>
      <c r="I730" t="s">
        <v>24</v>
      </c>
      <c r="J730" t="s">
        <v>31</v>
      </c>
      <c r="K730">
        <v>9</v>
      </c>
      <c r="O730">
        <v>84.73</v>
      </c>
    </row>
    <row r="731" spans="1:15" x14ac:dyDescent="0.35">
      <c r="A731" t="s">
        <v>1013</v>
      </c>
      <c r="B731">
        <v>1</v>
      </c>
      <c r="C731">
        <v>18.989999999999998</v>
      </c>
      <c r="D731">
        <v>18.989999999999998</v>
      </c>
      <c r="E731" t="s">
        <v>1014</v>
      </c>
      <c r="F731" t="s">
        <v>1728</v>
      </c>
      <c r="G731" t="s">
        <v>16</v>
      </c>
      <c r="H731">
        <v>10</v>
      </c>
      <c r="I731" t="s">
        <v>17</v>
      </c>
      <c r="J731" t="s">
        <v>42</v>
      </c>
      <c r="K731">
        <v>6</v>
      </c>
      <c r="O731">
        <v>21.99</v>
      </c>
    </row>
    <row r="732" spans="1:15" x14ac:dyDescent="0.35">
      <c r="A732" t="s">
        <v>1015</v>
      </c>
      <c r="B732">
        <v>1</v>
      </c>
      <c r="C732">
        <v>30.99</v>
      </c>
      <c r="D732">
        <v>30.99</v>
      </c>
      <c r="E732" t="s">
        <v>573</v>
      </c>
      <c r="F732" t="s">
        <v>1717</v>
      </c>
      <c r="G732" t="s">
        <v>21</v>
      </c>
      <c r="H732">
        <v>0</v>
      </c>
      <c r="I732" t="s">
        <v>41</v>
      </c>
      <c r="J732" t="s">
        <v>18</v>
      </c>
      <c r="K732">
        <v>10.5</v>
      </c>
      <c r="O732">
        <v>21.99</v>
      </c>
    </row>
    <row r="733" spans="1:15" x14ac:dyDescent="0.35">
      <c r="A733" t="s">
        <v>1016</v>
      </c>
      <c r="B733">
        <v>1</v>
      </c>
      <c r="C733">
        <v>34.99</v>
      </c>
      <c r="D733">
        <v>34.99</v>
      </c>
      <c r="E733" t="s">
        <v>1017</v>
      </c>
      <c r="F733" t="s">
        <v>1718</v>
      </c>
      <c r="G733" t="s">
        <v>11</v>
      </c>
      <c r="H733">
        <v>8</v>
      </c>
      <c r="I733" t="s">
        <v>41</v>
      </c>
      <c r="J733" t="s">
        <v>36</v>
      </c>
      <c r="K733">
        <v>12.5</v>
      </c>
      <c r="O733">
        <v>21.99</v>
      </c>
    </row>
    <row r="734" spans="1:15" x14ac:dyDescent="0.35">
      <c r="A734" t="s">
        <v>1018</v>
      </c>
      <c r="B734">
        <v>3</v>
      </c>
      <c r="C734">
        <v>34.99</v>
      </c>
      <c r="D734">
        <v>83.71</v>
      </c>
      <c r="E734" t="s">
        <v>40</v>
      </c>
      <c r="F734" t="s">
        <v>1719</v>
      </c>
      <c r="G734" t="s">
        <v>16</v>
      </c>
      <c r="H734">
        <v>6</v>
      </c>
      <c r="I734" t="s">
        <v>12</v>
      </c>
      <c r="J734" t="s">
        <v>36</v>
      </c>
      <c r="K734">
        <v>12.5</v>
      </c>
      <c r="O734">
        <v>84.73</v>
      </c>
    </row>
    <row r="735" spans="1:15" x14ac:dyDescent="0.35">
      <c r="A735" t="s">
        <v>1019</v>
      </c>
      <c r="B735">
        <v>1</v>
      </c>
      <c r="C735">
        <v>30.99</v>
      </c>
      <c r="D735">
        <v>30.99</v>
      </c>
      <c r="E735" t="s">
        <v>955</v>
      </c>
      <c r="F735" t="s">
        <v>1720</v>
      </c>
      <c r="G735" t="s">
        <v>16</v>
      </c>
      <c r="H735">
        <v>3</v>
      </c>
      <c r="I735" t="s">
        <v>41</v>
      </c>
      <c r="J735" t="s">
        <v>18</v>
      </c>
      <c r="K735">
        <v>10.5</v>
      </c>
      <c r="O735">
        <v>21.99</v>
      </c>
    </row>
    <row r="736" spans="1:15" x14ac:dyDescent="0.35">
      <c r="A736" t="s">
        <v>1020</v>
      </c>
      <c r="B736">
        <v>1</v>
      </c>
      <c r="C736">
        <v>34.99</v>
      </c>
      <c r="D736">
        <v>34.99</v>
      </c>
      <c r="E736" t="s">
        <v>786</v>
      </c>
      <c r="F736" t="s">
        <v>1721</v>
      </c>
      <c r="G736" t="s">
        <v>16</v>
      </c>
      <c r="H736">
        <v>11</v>
      </c>
      <c r="I736" t="s">
        <v>41</v>
      </c>
      <c r="J736" t="s">
        <v>36</v>
      </c>
      <c r="K736">
        <v>12.5</v>
      </c>
      <c r="O736">
        <v>21.99</v>
      </c>
    </row>
    <row r="737" spans="1:15" x14ac:dyDescent="0.35">
      <c r="A737" t="s">
        <v>1021</v>
      </c>
      <c r="B737">
        <v>2</v>
      </c>
      <c r="C737">
        <v>30.99</v>
      </c>
      <c r="D737">
        <v>53.68</v>
      </c>
      <c r="E737" t="s">
        <v>1022</v>
      </c>
      <c r="F737" t="s">
        <v>1722</v>
      </c>
      <c r="G737" t="s">
        <v>16</v>
      </c>
      <c r="H737">
        <v>3</v>
      </c>
      <c r="I737" t="s">
        <v>24</v>
      </c>
      <c r="J737" t="s">
        <v>18</v>
      </c>
      <c r="K737">
        <v>10.5</v>
      </c>
      <c r="O737">
        <v>37.979999999999997</v>
      </c>
    </row>
    <row r="738" spans="1:15" x14ac:dyDescent="0.35">
      <c r="A738" t="s">
        <v>1023</v>
      </c>
      <c r="B738">
        <v>1</v>
      </c>
      <c r="C738">
        <v>27.99</v>
      </c>
      <c r="D738">
        <v>27.99</v>
      </c>
      <c r="E738" t="s">
        <v>672</v>
      </c>
      <c r="F738" t="s">
        <v>1723</v>
      </c>
      <c r="G738" t="s">
        <v>16</v>
      </c>
      <c r="H738">
        <v>3</v>
      </c>
      <c r="I738" t="s">
        <v>41</v>
      </c>
      <c r="J738" t="s">
        <v>31</v>
      </c>
      <c r="K738">
        <v>9</v>
      </c>
      <c r="O738">
        <v>21.99</v>
      </c>
    </row>
    <row r="739" spans="1:15" x14ac:dyDescent="0.35">
      <c r="A739" t="s">
        <v>1024</v>
      </c>
      <c r="B739">
        <v>1</v>
      </c>
      <c r="C739">
        <v>18.989999999999998</v>
      </c>
      <c r="D739">
        <v>18.989999999999998</v>
      </c>
      <c r="E739" t="s">
        <v>1025</v>
      </c>
      <c r="F739" t="s">
        <v>1724</v>
      </c>
      <c r="G739" t="s">
        <v>28</v>
      </c>
      <c r="H739">
        <v>0</v>
      </c>
      <c r="I739" t="s">
        <v>41</v>
      </c>
      <c r="J739" t="s">
        <v>42</v>
      </c>
      <c r="K739">
        <v>6</v>
      </c>
      <c r="O739">
        <v>21.99</v>
      </c>
    </row>
    <row r="740" spans="1:15" x14ac:dyDescent="0.35">
      <c r="A740" t="s">
        <v>1026</v>
      </c>
      <c r="B740">
        <v>1</v>
      </c>
      <c r="C740">
        <v>34.99</v>
      </c>
      <c r="D740">
        <v>34.99</v>
      </c>
      <c r="E740" t="s">
        <v>120</v>
      </c>
      <c r="F740" t="s">
        <v>1725</v>
      </c>
      <c r="G740" t="s">
        <v>16</v>
      </c>
      <c r="H740">
        <v>7</v>
      </c>
      <c r="I740" t="s">
        <v>12</v>
      </c>
      <c r="J740" t="s">
        <v>36</v>
      </c>
      <c r="K740">
        <v>12.5</v>
      </c>
      <c r="O740">
        <v>21.99</v>
      </c>
    </row>
    <row r="741" spans="1:15" x14ac:dyDescent="0.35">
      <c r="A741" t="s">
        <v>1027</v>
      </c>
      <c r="B741">
        <v>2</v>
      </c>
      <c r="C741">
        <v>30.99</v>
      </c>
      <c r="D741">
        <v>53.56</v>
      </c>
      <c r="E741" t="s">
        <v>320</v>
      </c>
      <c r="F741" t="s">
        <v>1726</v>
      </c>
      <c r="G741" t="s">
        <v>16</v>
      </c>
      <c r="H741">
        <v>2</v>
      </c>
      <c r="I741" t="s">
        <v>41</v>
      </c>
      <c r="J741" t="s">
        <v>18</v>
      </c>
      <c r="K741">
        <v>10.5</v>
      </c>
      <c r="O741">
        <v>37.979999999999997</v>
      </c>
    </row>
    <row r="742" spans="1:15" x14ac:dyDescent="0.35">
      <c r="A742" t="s">
        <v>1028</v>
      </c>
      <c r="B742">
        <v>1</v>
      </c>
      <c r="C742">
        <v>34.99</v>
      </c>
      <c r="D742">
        <v>34.99</v>
      </c>
      <c r="E742" t="s">
        <v>749</v>
      </c>
      <c r="F742" t="s">
        <v>1727</v>
      </c>
      <c r="G742" t="s">
        <v>16</v>
      </c>
      <c r="H742">
        <v>6</v>
      </c>
      <c r="I742" t="s">
        <v>17</v>
      </c>
      <c r="J742" t="s">
        <v>36</v>
      </c>
      <c r="K742">
        <v>12.5</v>
      </c>
      <c r="O742">
        <v>21.99</v>
      </c>
    </row>
    <row r="743" spans="1:15" x14ac:dyDescent="0.35">
      <c r="A743" t="s">
        <v>1029</v>
      </c>
      <c r="B743">
        <v>1</v>
      </c>
      <c r="C743">
        <v>30.99</v>
      </c>
      <c r="D743">
        <v>30.99</v>
      </c>
      <c r="E743" t="s">
        <v>1030</v>
      </c>
      <c r="F743" t="s">
        <v>1728</v>
      </c>
      <c r="G743" t="s">
        <v>16</v>
      </c>
      <c r="H743">
        <v>2</v>
      </c>
      <c r="I743" t="s">
        <v>24</v>
      </c>
      <c r="J743" t="s">
        <v>18</v>
      </c>
      <c r="K743">
        <v>10.5</v>
      </c>
      <c r="O743">
        <v>21.99</v>
      </c>
    </row>
    <row r="744" spans="1:15" x14ac:dyDescent="0.35">
      <c r="A744" t="s">
        <v>1031</v>
      </c>
      <c r="B744">
        <v>2</v>
      </c>
      <c r="C744">
        <v>18.989999999999998</v>
      </c>
      <c r="D744">
        <v>32.880000000000003</v>
      </c>
      <c r="E744" t="s">
        <v>1032</v>
      </c>
      <c r="F744" t="s">
        <v>1717</v>
      </c>
      <c r="G744" t="s">
        <v>16</v>
      </c>
      <c r="H744">
        <v>12</v>
      </c>
      <c r="I744" t="s">
        <v>12</v>
      </c>
      <c r="J744" t="s">
        <v>42</v>
      </c>
      <c r="K744">
        <v>6</v>
      </c>
      <c r="O744">
        <v>37.979999999999997</v>
      </c>
    </row>
    <row r="745" spans="1:15" x14ac:dyDescent="0.35">
      <c r="A745" t="s">
        <v>1033</v>
      </c>
      <c r="B745">
        <v>1</v>
      </c>
      <c r="C745">
        <v>30.99</v>
      </c>
      <c r="D745">
        <v>30.99</v>
      </c>
      <c r="E745" t="s">
        <v>636</v>
      </c>
      <c r="F745" t="s">
        <v>1718</v>
      </c>
      <c r="G745" t="s">
        <v>16</v>
      </c>
      <c r="H745">
        <v>2</v>
      </c>
      <c r="I745" t="s">
        <v>17</v>
      </c>
      <c r="J745" t="s">
        <v>18</v>
      </c>
      <c r="K745">
        <v>10.5</v>
      </c>
      <c r="O745">
        <v>21.99</v>
      </c>
    </row>
    <row r="746" spans="1:15" x14ac:dyDescent="0.35">
      <c r="A746" t="s">
        <v>1034</v>
      </c>
      <c r="B746">
        <v>1</v>
      </c>
      <c r="C746">
        <v>34.99</v>
      </c>
      <c r="D746">
        <v>34.99</v>
      </c>
      <c r="E746" t="s">
        <v>483</v>
      </c>
      <c r="F746" t="s">
        <v>1719</v>
      </c>
      <c r="G746" t="s">
        <v>16</v>
      </c>
      <c r="H746">
        <v>8</v>
      </c>
      <c r="I746" t="s">
        <v>12</v>
      </c>
      <c r="J746" t="s">
        <v>36</v>
      </c>
      <c r="K746">
        <v>12.5</v>
      </c>
      <c r="O746">
        <v>21.99</v>
      </c>
    </row>
    <row r="747" spans="1:15" x14ac:dyDescent="0.35">
      <c r="A747" t="s">
        <v>1035</v>
      </c>
      <c r="B747">
        <v>2</v>
      </c>
      <c r="C747">
        <v>27.99</v>
      </c>
      <c r="D747">
        <v>48.82</v>
      </c>
      <c r="E747" t="s">
        <v>427</v>
      </c>
      <c r="F747" t="s">
        <v>1720</v>
      </c>
      <c r="G747" t="s">
        <v>16</v>
      </c>
      <c r="H747">
        <v>3</v>
      </c>
      <c r="I747" t="s">
        <v>12</v>
      </c>
      <c r="J747" t="s">
        <v>31</v>
      </c>
      <c r="K747">
        <v>9</v>
      </c>
      <c r="O747">
        <v>37.979999999999997</v>
      </c>
    </row>
    <row r="748" spans="1:15" x14ac:dyDescent="0.35">
      <c r="A748" t="s">
        <v>1036</v>
      </c>
      <c r="B748">
        <v>3</v>
      </c>
      <c r="C748">
        <v>27.99</v>
      </c>
      <c r="D748">
        <v>67.36</v>
      </c>
      <c r="E748" t="s">
        <v>703</v>
      </c>
      <c r="F748" t="s">
        <v>1721</v>
      </c>
      <c r="G748" t="s">
        <v>16</v>
      </c>
      <c r="H748">
        <v>3</v>
      </c>
      <c r="I748" t="s">
        <v>24</v>
      </c>
      <c r="J748" t="s">
        <v>31</v>
      </c>
      <c r="K748">
        <v>9</v>
      </c>
      <c r="O748">
        <v>84.73</v>
      </c>
    </row>
    <row r="749" spans="1:15" x14ac:dyDescent="0.35">
      <c r="A749" t="s">
        <v>1037</v>
      </c>
      <c r="B749">
        <v>3</v>
      </c>
      <c r="C749">
        <v>30.99</v>
      </c>
      <c r="D749">
        <v>73.75</v>
      </c>
      <c r="E749" t="s">
        <v>575</v>
      </c>
      <c r="F749" t="s">
        <v>1722</v>
      </c>
      <c r="G749" t="s">
        <v>16</v>
      </c>
      <c r="H749">
        <v>3</v>
      </c>
      <c r="I749" t="s">
        <v>24</v>
      </c>
      <c r="J749" t="s">
        <v>18</v>
      </c>
      <c r="K749">
        <v>10.5</v>
      </c>
      <c r="O749">
        <v>84.73</v>
      </c>
    </row>
    <row r="750" spans="1:15" x14ac:dyDescent="0.35">
      <c r="A750" t="s">
        <v>1038</v>
      </c>
      <c r="B750">
        <v>1</v>
      </c>
      <c r="C750">
        <v>16.989999999999998</v>
      </c>
      <c r="D750">
        <v>16.989999999999998</v>
      </c>
      <c r="E750" t="s">
        <v>459</v>
      </c>
      <c r="F750" t="s">
        <v>1723</v>
      </c>
      <c r="G750" t="s">
        <v>16</v>
      </c>
      <c r="H750">
        <v>16</v>
      </c>
      <c r="I750" t="s">
        <v>24</v>
      </c>
      <c r="J750" t="s">
        <v>25</v>
      </c>
      <c r="K750">
        <v>5</v>
      </c>
      <c r="O750">
        <v>21.99</v>
      </c>
    </row>
    <row r="751" spans="1:15" x14ac:dyDescent="0.35">
      <c r="A751" t="s">
        <v>1039</v>
      </c>
      <c r="B751">
        <v>1</v>
      </c>
      <c r="C751">
        <v>30.99</v>
      </c>
      <c r="D751">
        <v>30.99</v>
      </c>
      <c r="E751" t="s">
        <v>61</v>
      </c>
      <c r="F751" t="s">
        <v>1724</v>
      </c>
      <c r="G751" t="s">
        <v>28</v>
      </c>
      <c r="H751">
        <v>0</v>
      </c>
      <c r="I751" t="s">
        <v>12</v>
      </c>
      <c r="J751" t="s">
        <v>18</v>
      </c>
      <c r="K751">
        <v>10.5</v>
      </c>
      <c r="O751">
        <v>21.99</v>
      </c>
    </row>
    <row r="752" spans="1:15" x14ac:dyDescent="0.35">
      <c r="A752" t="s">
        <v>1040</v>
      </c>
      <c r="B752">
        <v>1</v>
      </c>
      <c r="C752">
        <v>27.99</v>
      </c>
      <c r="D752">
        <v>27.99</v>
      </c>
      <c r="E752" t="s">
        <v>307</v>
      </c>
      <c r="F752" t="s">
        <v>1725</v>
      </c>
      <c r="G752" t="s">
        <v>16</v>
      </c>
      <c r="H752">
        <v>2</v>
      </c>
      <c r="I752" t="s">
        <v>12</v>
      </c>
      <c r="J752" t="s">
        <v>31</v>
      </c>
      <c r="K752">
        <v>9</v>
      </c>
      <c r="O752">
        <v>21.99</v>
      </c>
    </row>
    <row r="753" spans="1:15" x14ac:dyDescent="0.35">
      <c r="A753" t="s">
        <v>1041</v>
      </c>
      <c r="B753">
        <v>1</v>
      </c>
      <c r="C753">
        <v>27.99</v>
      </c>
      <c r="D753">
        <v>27.99</v>
      </c>
      <c r="E753" t="s">
        <v>158</v>
      </c>
      <c r="F753" t="s">
        <v>1726</v>
      </c>
      <c r="G753" t="s">
        <v>16</v>
      </c>
      <c r="H753">
        <v>3</v>
      </c>
      <c r="I753" t="s">
        <v>12</v>
      </c>
      <c r="J753" t="s">
        <v>31</v>
      </c>
      <c r="K753">
        <v>9</v>
      </c>
      <c r="O753">
        <v>21.99</v>
      </c>
    </row>
    <row r="754" spans="1:15" x14ac:dyDescent="0.35">
      <c r="A754" t="s">
        <v>1042</v>
      </c>
      <c r="B754">
        <v>3</v>
      </c>
      <c r="C754">
        <v>18.989999999999998</v>
      </c>
      <c r="D754">
        <v>45.99</v>
      </c>
      <c r="E754" t="s">
        <v>10</v>
      </c>
      <c r="F754" t="s">
        <v>1727</v>
      </c>
      <c r="G754" t="s">
        <v>16</v>
      </c>
      <c r="H754">
        <v>15</v>
      </c>
      <c r="I754" t="s">
        <v>12</v>
      </c>
      <c r="J754" t="s">
        <v>42</v>
      </c>
      <c r="K754">
        <v>6</v>
      </c>
      <c r="O754">
        <v>84.73</v>
      </c>
    </row>
    <row r="755" spans="1:15" x14ac:dyDescent="0.35">
      <c r="A755" t="s">
        <v>1043</v>
      </c>
      <c r="B755">
        <v>2</v>
      </c>
      <c r="C755">
        <v>34.99</v>
      </c>
      <c r="D755">
        <v>60.99</v>
      </c>
      <c r="E755" t="s">
        <v>925</v>
      </c>
      <c r="F755" t="s">
        <v>1728</v>
      </c>
      <c r="G755" t="s">
        <v>21</v>
      </c>
      <c r="H755">
        <v>0</v>
      </c>
      <c r="I755" t="s">
        <v>24</v>
      </c>
      <c r="J755" t="s">
        <v>36</v>
      </c>
      <c r="K755">
        <v>12.5</v>
      </c>
      <c r="O755">
        <v>37.979999999999997</v>
      </c>
    </row>
    <row r="756" spans="1:15" x14ac:dyDescent="0.35">
      <c r="A756" t="s">
        <v>1044</v>
      </c>
      <c r="B756">
        <v>1</v>
      </c>
      <c r="C756">
        <v>18.989999999999998</v>
      </c>
      <c r="D756">
        <v>18.989999999999998</v>
      </c>
      <c r="E756" t="s">
        <v>429</v>
      </c>
      <c r="F756" t="s">
        <v>1717</v>
      </c>
      <c r="G756" t="s">
        <v>16</v>
      </c>
      <c r="H756">
        <v>14</v>
      </c>
      <c r="I756" t="s">
        <v>17</v>
      </c>
      <c r="J756" t="s">
        <v>42</v>
      </c>
      <c r="K756">
        <v>6</v>
      </c>
      <c r="O756">
        <v>21.99</v>
      </c>
    </row>
    <row r="757" spans="1:15" x14ac:dyDescent="0.35">
      <c r="A757" t="s">
        <v>1045</v>
      </c>
      <c r="B757">
        <v>2</v>
      </c>
      <c r="C757">
        <v>18.989999999999998</v>
      </c>
      <c r="D757">
        <v>32.479999999999997</v>
      </c>
      <c r="E757" t="s">
        <v>534</v>
      </c>
      <c r="F757" t="s">
        <v>1718</v>
      </c>
      <c r="G757" t="s">
        <v>16</v>
      </c>
      <c r="H757">
        <v>10</v>
      </c>
      <c r="I757" t="s">
        <v>24</v>
      </c>
      <c r="J757" t="s">
        <v>42</v>
      </c>
      <c r="K757">
        <v>6</v>
      </c>
      <c r="O757">
        <v>37.979999999999997</v>
      </c>
    </row>
    <row r="758" spans="1:15" x14ac:dyDescent="0.35">
      <c r="A758" t="s">
        <v>1046</v>
      </c>
      <c r="B758">
        <v>2</v>
      </c>
      <c r="C758">
        <v>30.99</v>
      </c>
      <c r="D758">
        <v>53.82</v>
      </c>
      <c r="E758" t="s">
        <v>923</v>
      </c>
      <c r="F758" t="s">
        <v>1719</v>
      </c>
      <c r="G758" t="s">
        <v>21</v>
      </c>
      <c r="H758">
        <v>0</v>
      </c>
      <c r="I758" t="s">
        <v>17</v>
      </c>
      <c r="J758" t="s">
        <v>18</v>
      </c>
      <c r="K758">
        <v>10.5</v>
      </c>
      <c r="O758">
        <v>37.979999999999997</v>
      </c>
    </row>
    <row r="759" spans="1:15" x14ac:dyDescent="0.35">
      <c r="A759" t="s">
        <v>1047</v>
      </c>
      <c r="B759">
        <v>1</v>
      </c>
      <c r="C759">
        <v>21.99</v>
      </c>
      <c r="D759">
        <v>21.99</v>
      </c>
      <c r="E759" t="s">
        <v>1048</v>
      </c>
      <c r="F759" t="s">
        <v>1720</v>
      </c>
      <c r="G759" t="s">
        <v>16</v>
      </c>
      <c r="H759">
        <v>3</v>
      </c>
      <c r="I759" t="s">
        <v>17</v>
      </c>
      <c r="J759" t="s">
        <v>13</v>
      </c>
      <c r="K759">
        <v>7</v>
      </c>
      <c r="O759">
        <v>21.99</v>
      </c>
    </row>
    <row r="760" spans="1:15" x14ac:dyDescent="0.35">
      <c r="A760" t="s">
        <v>1049</v>
      </c>
      <c r="B760">
        <v>2</v>
      </c>
      <c r="C760">
        <v>16.989999999999998</v>
      </c>
      <c r="D760">
        <v>29.1</v>
      </c>
      <c r="E760" t="s">
        <v>1050</v>
      </c>
      <c r="F760" t="s">
        <v>1721</v>
      </c>
      <c r="G760" t="s">
        <v>16</v>
      </c>
      <c r="H760">
        <v>20</v>
      </c>
      <c r="I760" t="s">
        <v>41</v>
      </c>
      <c r="J760" t="s">
        <v>25</v>
      </c>
      <c r="K760">
        <v>5</v>
      </c>
      <c r="O760">
        <v>37.979999999999997</v>
      </c>
    </row>
    <row r="761" spans="1:15" x14ac:dyDescent="0.35">
      <c r="A761" t="s">
        <v>1051</v>
      </c>
      <c r="B761">
        <v>1</v>
      </c>
      <c r="C761">
        <v>18.989999999999998</v>
      </c>
      <c r="D761">
        <v>18.989999999999998</v>
      </c>
      <c r="E761" t="s">
        <v>138</v>
      </c>
      <c r="F761" t="s">
        <v>1722</v>
      </c>
      <c r="G761" t="s">
        <v>16</v>
      </c>
      <c r="H761">
        <v>11</v>
      </c>
      <c r="I761" t="s">
        <v>41</v>
      </c>
      <c r="J761" t="s">
        <v>42</v>
      </c>
      <c r="K761">
        <v>6</v>
      </c>
      <c r="O761">
        <v>21.99</v>
      </c>
    </row>
    <row r="762" spans="1:15" x14ac:dyDescent="0.35">
      <c r="A762" t="s">
        <v>1052</v>
      </c>
      <c r="B762">
        <v>2</v>
      </c>
      <c r="C762">
        <v>18.989999999999998</v>
      </c>
      <c r="D762">
        <v>32.840000000000003</v>
      </c>
      <c r="E762" t="s">
        <v>504</v>
      </c>
      <c r="F762" t="s">
        <v>1723</v>
      </c>
      <c r="G762" t="s">
        <v>16</v>
      </c>
      <c r="H762">
        <v>14</v>
      </c>
      <c r="I762" t="s">
        <v>12</v>
      </c>
      <c r="J762" t="s">
        <v>42</v>
      </c>
      <c r="K762">
        <v>6</v>
      </c>
      <c r="O762">
        <v>37.979999999999997</v>
      </c>
    </row>
    <row r="763" spans="1:15" x14ac:dyDescent="0.35">
      <c r="A763" t="s">
        <v>1053</v>
      </c>
      <c r="B763">
        <v>1</v>
      </c>
      <c r="C763">
        <v>27.99</v>
      </c>
      <c r="D763">
        <v>27.99</v>
      </c>
      <c r="E763" t="s">
        <v>199</v>
      </c>
      <c r="F763" t="s">
        <v>1724</v>
      </c>
      <c r="G763" t="s">
        <v>87</v>
      </c>
      <c r="H763">
        <v>0</v>
      </c>
      <c r="I763" t="s">
        <v>17</v>
      </c>
      <c r="J763" t="s">
        <v>31</v>
      </c>
      <c r="K763">
        <v>9</v>
      </c>
      <c r="O763">
        <v>21.99</v>
      </c>
    </row>
    <row r="764" spans="1:15" x14ac:dyDescent="0.35">
      <c r="A764" t="s">
        <v>1054</v>
      </c>
      <c r="B764">
        <v>1</v>
      </c>
      <c r="C764">
        <v>34.99</v>
      </c>
      <c r="D764">
        <v>34.99</v>
      </c>
      <c r="E764" t="s">
        <v>768</v>
      </c>
      <c r="F764" t="s">
        <v>1725</v>
      </c>
      <c r="G764" t="s">
        <v>16</v>
      </c>
      <c r="H764">
        <v>8</v>
      </c>
      <c r="I764" t="s">
        <v>41</v>
      </c>
      <c r="J764" t="s">
        <v>36</v>
      </c>
      <c r="K764">
        <v>12.5</v>
      </c>
      <c r="O764">
        <v>21.99</v>
      </c>
    </row>
    <row r="765" spans="1:15" x14ac:dyDescent="0.35">
      <c r="A765" t="s">
        <v>1055</v>
      </c>
      <c r="B765">
        <v>3</v>
      </c>
      <c r="C765">
        <v>27.99</v>
      </c>
      <c r="D765">
        <v>67.209999999999994</v>
      </c>
      <c r="E765" t="s">
        <v>1056</v>
      </c>
      <c r="F765" t="s">
        <v>1726</v>
      </c>
      <c r="G765" t="s">
        <v>16</v>
      </c>
      <c r="H765">
        <v>2</v>
      </c>
      <c r="I765" t="s">
        <v>24</v>
      </c>
      <c r="J765" t="s">
        <v>31</v>
      </c>
      <c r="K765">
        <v>9</v>
      </c>
      <c r="O765">
        <v>84.73</v>
      </c>
    </row>
    <row r="766" spans="1:15" x14ac:dyDescent="0.35">
      <c r="A766" t="s">
        <v>1057</v>
      </c>
      <c r="B766">
        <v>2</v>
      </c>
      <c r="C766">
        <v>21.99</v>
      </c>
      <c r="D766">
        <v>37.85</v>
      </c>
      <c r="E766" t="s">
        <v>1058</v>
      </c>
      <c r="F766" t="s">
        <v>1727</v>
      </c>
      <c r="G766" t="s">
        <v>16</v>
      </c>
      <c r="H766">
        <v>2</v>
      </c>
      <c r="I766" t="s">
        <v>24</v>
      </c>
      <c r="J766" t="s">
        <v>13</v>
      </c>
      <c r="K766">
        <v>7</v>
      </c>
      <c r="O766">
        <v>37.979999999999997</v>
      </c>
    </row>
    <row r="767" spans="1:15" x14ac:dyDescent="0.35">
      <c r="A767" t="s">
        <v>1059</v>
      </c>
      <c r="B767">
        <v>3</v>
      </c>
      <c r="C767">
        <v>16.989999999999998</v>
      </c>
      <c r="D767">
        <v>40.08</v>
      </c>
      <c r="E767" s="6">
        <v>46220</v>
      </c>
      <c r="F767" t="s">
        <v>1728</v>
      </c>
      <c r="G767" t="s">
        <v>87</v>
      </c>
      <c r="H767">
        <v>0</v>
      </c>
      <c r="I767" t="s">
        <v>12</v>
      </c>
      <c r="J767" t="s">
        <v>25</v>
      </c>
      <c r="K767">
        <v>5</v>
      </c>
      <c r="O767">
        <v>84.73</v>
      </c>
    </row>
    <row r="768" spans="1:15" x14ac:dyDescent="0.35">
      <c r="A768" t="s">
        <v>1060</v>
      </c>
      <c r="B768">
        <v>1</v>
      </c>
      <c r="C768">
        <v>16.989999999999998</v>
      </c>
      <c r="D768">
        <v>16.989999999999998</v>
      </c>
      <c r="E768" t="s">
        <v>666</v>
      </c>
      <c r="F768" t="s">
        <v>1717</v>
      </c>
      <c r="G768" t="s">
        <v>21</v>
      </c>
      <c r="H768">
        <v>0</v>
      </c>
      <c r="I768" t="s">
        <v>17</v>
      </c>
      <c r="J768" t="s">
        <v>25</v>
      </c>
      <c r="K768">
        <v>5</v>
      </c>
      <c r="O768">
        <v>21.99</v>
      </c>
    </row>
    <row r="769" spans="1:15" x14ac:dyDescent="0.35">
      <c r="A769" t="s">
        <v>1061</v>
      </c>
      <c r="B769">
        <v>1</v>
      </c>
      <c r="C769">
        <v>21.99</v>
      </c>
      <c r="D769">
        <v>21.99</v>
      </c>
      <c r="E769" t="s">
        <v>598</v>
      </c>
      <c r="F769" t="s">
        <v>1718</v>
      </c>
      <c r="G769" t="s">
        <v>16</v>
      </c>
      <c r="H769">
        <v>2</v>
      </c>
      <c r="I769" t="s">
        <v>17</v>
      </c>
      <c r="J769" t="s">
        <v>13</v>
      </c>
      <c r="K769">
        <v>7</v>
      </c>
      <c r="O769">
        <v>21.99</v>
      </c>
    </row>
    <row r="770" spans="1:15" x14ac:dyDescent="0.35">
      <c r="A770" t="s">
        <v>1062</v>
      </c>
      <c r="B770">
        <v>2</v>
      </c>
      <c r="C770">
        <v>18.989999999999998</v>
      </c>
      <c r="D770">
        <v>32.950000000000003</v>
      </c>
      <c r="E770" t="s">
        <v>52</v>
      </c>
      <c r="F770" t="s">
        <v>1719</v>
      </c>
      <c r="G770" t="s">
        <v>21</v>
      </c>
      <c r="H770">
        <v>0</v>
      </c>
      <c r="I770" t="s">
        <v>17</v>
      </c>
      <c r="J770" t="s">
        <v>42</v>
      </c>
      <c r="K770">
        <v>6</v>
      </c>
      <c r="O770">
        <v>37.979999999999997</v>
      </c>
    </row>
    <row r="771" spans="1:15" x14ac:dyDescent="0.35">
      <c r="A771" t="s">
        <v>1063</v>
      </c>
      <c r="B771">
        <v>1</v>
      </c>
      <c r="C771">
        <v>30.99</v>
      </c>
      <c r="D771">
        <v>30.99</v>
      </c>
      <c r="E771" t="s">
        <v>1064</v>
      </c>
      <c r="F771" t="s">
        <v>1720</v>
      </c>
      <c r="G771" t="s">
        <v>16</v>
      </c>
      <c r="H771">
        <v>3</v>
      </c>
      <c r="I771" t="s">
        <v>12</v>
      </c>
      <c r="J771" t="s">
        <v>18</v>
      </c>
      <c r="K771">
        <v>10.5</v>
      </c>
      <c r="O771">
        <v>21.99</v>
      </c>
    </row>
    <row r="772" spans="1:15" x14ac:dyDescent="0.35">
      <c r="A772" t="s">
        <v>1065</v>
      </c>
      <c r="B772">
        <v>1</v>
      </c>
      <c r="C772">
        <v>21.99</v>
      </c>
      <c r="D772">
        <v>21.99</v>
      </c>
      <c r="E772" t="s">
        <v>854</v>
      </c>
      <c r="F772" t="s">
        <v>1721</v>
      </c>
      <c r="G772" t="s">
        <v>16</v>
      </c>
      <c r="H772">
        <v>3</v>
      </c>
      <c r="I772" t="s">
        <v>17</v>
      </c>
      <c r="J772" t="s">
        <v>13</v>
      </c>
      <c r="K772">
        <v>7</v>
      </c>
      <c r="O772">
        <v>21.99</v>
      </c>
    </row>
    <row r="773" spans="1:15" x14ac:dyDescent="0.35">
      <c r="A773" t="s">
        <v>1066</v>
      </c>
      <c r="B773">
        <v>1</v>
      </c>
      <c r="C773">
        <v>34.99</v>
      </c>
      <c r="D773">
        <v>34.99</v>
      </c>
      <c r="E773" t="s">
        <v>736</v>
      </c>
      <c r="F773" t="s">
        <v>1722</v>
      </c>
      <c r="G773" t="s">
        <v>16</v>
      </c>
      <c r="H773">
        <v>10</v>
      </c>
      <c r="I773" t="s">
        <v>41</v>
      </c>
      <c r="J773" t="s">
        <v>36</v>
      </c>
      <c r="K773">
        <v>12.5</v>
      </c>
      <c r="O773">
        <v>21.99</v>
      </c>
    </row>
    <row r="774" spans="1:15" x14ac:dyDescent="0.35">
      <c r="A774" t="s">
        <v>1067</v>
      </c>
      <c r="B774">
        <v>3</v>
      </c>
      <c r="C774">
        <v>16.989999999999998</v>
      </c>
      <c r="D774">
        <v>40.33</v>
      </c>
      <c r="E774" t="s">
        <v>1007</v>
      </c>
      <c r="F774" t="s">
        <v>1723</v>
      </c>
      <c r="G774" t="s">
        <v>28</v>
      </c>
      <c r="H774">
        <v>0</v>
      </c>
      <c r="I774" t="s">
        <v>24</v>
      </c>
      <c r="J774" t="s">
        <v>25</v>
      </c>
      <c r="K774">
        <v>5</v>
      </c>
      <c r="O774">
        <v>84.73</v>
      </c>
    </row>
    <row r="775" spans="1:15" x14ac:dyDescent="0.35">
      <c r="A775" t="s">
        <v>1068</v>
      </c>
      <c r="B775">
        <v>1</v>
      </c>
      <c r="C775">
        <v>30.99</v>
      </c>
      <c r="D775">
        <v>30.99</v>
      </c>
      <c r="E775" t="s">
        <v>725</v>
      </c>
      <c r="F775" t="s">
        <v>1724</v>
      </c>
      <c r="G775" t="s">
        <v>16</v>
      </c>
      <c r="H775">
        <v>7</v>
      </c>
      <c r="I775" t="s">
        <v>24</v>
      </c>
      <c r="J775" t="s">
        <v>18</v>
      </c>
      <c r="K775">
        <v>10.5</v>
      </c>
      <c r="O775">
        <v>21.99</v>
      </c>
    </row>
    <row r="776" spans="1:15" x14ac:dyDescent="0.35">
      <c r="A776" t="s">
        <v>1069</v>
      </c>
      <c r="B776">
        <v>1</v>
      </c>
      <c r="C776">
        <v>21.99</v>
      </c>
      <c r="D776">
        <v>21.99</v>
      </c>
      <c r="E776" t="s">
        <v>765</v>
      </c>
      <c r="F776" t="s">
        <v>1725</v>
      </c>
      <c r="G776" t="s">
        <v>16</v>
      </c>
      <c r="H776">
        <v>8</v>
      </c>
      <c r="I776" t="s">
        <v>24</v>
      </c>
      <c r="J776" t="s">
        <v>13</v>
      </c>
      <c r="K776">
        <v>7</v>
      </c>
      <c r="O776">
        <v>21.99</v>
      </c>
    </row>
    <row r="777" spans="1:15" x14ac:dyDescent="0.35">
      <c r="A777" t="s">
        <v>1070</v>
      </c>
      <c r="B777">
        <v>1</v>
      </c>
      <c r="C777">
        <v>34.99</v>
      </c>
      <c r="D777">
        <v>34.99</v>
      </c>
      <c r="E777" t="s">
        <v>1071</v>
      </c>
      <c r="F777" t="s">
        <v>1726</v>
      </c>
      <c r="G777" t="s">
        <v>16</v>
      </c>
      <c r="H777">
        <v>5</v>
      </c>
      <c r="I777" t="s">
        <v>17</v>
      </c>
      <c r="J777" t="s">
        <v>36</v>
      </c>
      <c r="K777">
        <v>12.5</v>
      </c>
      <c r="O777">
        <v>21.99</v>
      </c>
    </row>
    <row r="778" spans="1:15" x14ac:dyDescent="0.35">
      <c r="A778" t="s">
        <v>1072</v>
      </c>
      <c r="B778">
        <v>2</v>
      </c>
      <c r="C778">
        <v>21.99</v>
      </c>
      <c r="D778">
        <v>38.11</v>
      </c>
      <c r="E778" t="s">
        <v>608</v>
      </c>
      <c r="F778" t="s">
        <v>1727</v>
      </c>
      <c r="G778" t="s">
        <v>16</v>
      </c>
      <c r="H778">
        <v>2</v>
      </c>
      <c r="I778" t="s">
        <v>12</v>
      </c>
      <c r="J778" t="s">
        <v>13</v>
      </c>
      <c r="K778">
        <v>7</v>
      </c>
      <c r="O778">
        <v>37.979999999999997</v>
      </c>
    </row>
    <row r="779" spans="1:15" x14ac:dyDescent="0.35">
      <c r="A779" t="s">
        <v>1073</v>
      </c>
      <c r="B779">
        <v>1</v>
      </c>
      <c r="C779">
        <v>27.99</v>
      </c>
      <c r="D779">
        <v>27.99</v>
      </c>
      <c r="E779" t="s">
        <v>539</v>
      </c>
      <c r="F779" t="s">
        <v>1728</v>
      </c>
      <c r="G779" t="s">
        <v>87</v>
      </c>
      <c r="H779">
        <v>0</v>
      </c>
      <c r="I779" t="s">
        <v>12</v>
      </c>
      <c r="J779" t="s">
        <v>31</v>
      </c>
      <c r="K779">
        <v>9</v>
      </c>
      <c r="O779">
        <v>21.99</v>
      </c>
    </row>
    <row r="780" spans="1:15" x14ac:dyDescent="0.35">
      <c r="A780" t="s">
        <v>1074</v>
      </c>
      <c r="B780">
        <v>1</v>
      </c>
      <c r="C780">
        <v>21.99</v>
      </c>
      <c r="D780">
        <v>21.99</v>
      </c>
      <c r="E780" t="s">
        <v>1075</v>
      </c>
      <c r="F780" t="s">
        <v>1717</v>
      </c>
      <c r="G780" t="s">
        <v>16</v>
      </c>
      <c r="H780">
        <v>2</v>
      </c>
      <c r="I780" t="s">
        <v>17</v>
      </c>
      <c r="J780" t="s">
        <v>13</v>
      </c>
      <c r="K780">
        <v>7</v>
      </c>
      <c r="O780">
        <v>21.99</v>
      </c>
    </row>
    <row r="781" spans="1:15" x14ac:dyDescent="0.35">
      <c r="A781" t="s">
        <v>1076</v>
      </c>
      <c r="B781">
        <v>2</v>
      </c>
      <c r="C781">
        <v>27.99</v>
      </c>
      <c r="D781">
        <v>48.96</v>
      </c>
      <c r="E781" t="s">
        <v>118</v>
      </c>
      <c r="F781" t="s">
        <v>1718</v>
      </c>
      <c r="G781" t="s">
        <v>16</v>
      </c>
      <c r="H781">
        <v>3</v>
      </c>
      <c r="I781" t="s">
        <v>41</v>
      </c>
      <c r="J781" t="s">
        <v>31</v>
      </c>
      <c r="K781">
        <v>9</v>
      </c>
      <c r="O781">
        <v>37.979999999999997</v>
      </c>
    </row>
    <row r="782" spans="1:15" x14ac:dyDescent="0.35">
      <c r="A782" t="s">
        <v>1077</v>
      </c>
      <c r="B782">
        <v>3</v>
      </c>
      <c r="C782">
        <v>30.99</v>
      </c>
      <c r="D782">
        <v>74.67</v>
      </c>
      <c r="E782" t="s">
        <v>657</v>
      </c>
      <c r="F782" t="s">
        <v>1719</v>
      </c>
      <c r="G782" t="s">
        <v>16</v>
      </c>
      <c r="H782">
        <v>2</v>
      </c>
      <c r="I782" t="s">
        <v>12</v>
      </c>
      <c r="J782" t="s">
        <v>18</v>
      </c>
      <c r="K782">
        <v>10.5</v>
      </c>
      <c r="O782">
        <v>84.73</v>
      </c>
    </row>
    <row r="783" spans="1:15" x14ac:dyDescent="0.35">
      <c r="A783" t="s">
        <v>1078</v>
      </c>
      <c r="B783">
        <v>1</v>
      </c>
      <c r="C783">
        <v>21.99</v>
      </c>
      <c r="D783">
        <v>21.99</v>
      </c>
      <c r="E783" t="s">
        <v>788</v>
      </c>
      <c r="F783" t="s">
        <v>1720</v>
      </c>
      <c r="G783" t="s">
        <v>28</v>
      </c>
      <c r="H783">
        <v>0</v>
      </c>
      <c r="I783" t="s">
        <v>24</v>
      </c>
      <c r="J783" t="s">
        <v>13</v>
      </c>
      <c r="K783">
        <v>7</v>
      </c>
      <c r="O783">
        <v>21.99</v>
      </c>
    </row>
    <row r="784" spans="1:15" x14ac:dyDescent="0.35">
      <c r="A784" t="s">
        <v>1079</v>
      </c>
      <c r="B784">
        <v>1</v>
      </c>
      <c r="C784">
        <v>18.989999999999998</v>
      </c>
      <c r="D784">
        <v>18.989999999999998</v>
      </c>
      <c r="E784" t="s">
        <v>290</v>
      </c>
      <c r="F784" t="s">
        <v>1721</v>
      </c>
      <c r="G784" t="s">
        <v>16</v>
      </c>
      <c r="H784">
        <v>12</v>
      </c>
      <c r="I784" t="s">
        <v>24</v>
      </c>
      <c r="J784" t="s">
        <v>42</v>
      </c>
      <c r="K784">
        <v>6</v>
      </c>
      <c r="O784">
        <v>21.99</v>
      </c>
    </row>
    <row r="785" spans="1:15" x14ac:dyDescent="0.35">
      <c r="A785" t="s">
        <v>1080</v>
      </c>
      <c r="B785">
        <v>1</v>
      </c>
      <c r="C785">
        <v>18.989999999999998</v>
      </c>
      <c r="D785">
        <v>18.989999999999998</v>
      </c>
      <c r="E785" t="s">
        <v>947</v>
      </c>
      <c r="F785" t="s">
        <v>1722</v>
      </c>
      <c r="G785" t="s">
        <v>16</v>
      </c>
      <c r="H785">
        <v>13</v>
      </c>
      <c r="I785" t="s">
        <v>24</v>
      </c>
      <c r="J785" t="s">
        <v>42</v>
      </c>
      <c r="K785">
        <v>6</v>
      </c>
      <c r="O785">
        <v>21.99</v>
      </c>
    </row>
    <row r="786" spans="1:15" x14ac:dyDescent="0.35">
      <c r="A786" t="s">
        <v>1081</v>
      </c>
      <c r="B786">
        <v>1</v>
      </c>
      <c r="C786">
        <v>18.989999999999998</v>
      </c>
      <c r="D786">
        <v>18.989999999999998</v>
      </c>
      <c r="E786" t="s">
        <v>725</v>
      </c>
      <c r="F786" t="s">
        <v>1723</v>
      </c>
      <c r="G786" t="s">
        <v>11</v>
      </c>
      <c r="H786">
        <v>18</v>
      </c>
      <c r="I786" t="s">
        <v>24</v>
      </c>
      <c r="J786" t="s">
        <v>42</v>
      </c>
      <c r="K786">
        <v>6</v>
      </c>
      <c r="O786">
        <v>21.99</v>
      </c>
    </row>
    <row r="787" spans="1:15" x14ac:dyDescent="0.35">
      <c r="A787" t="s">
        <v>1082</v>
      </c>
      <c r="B787">
        <v>3</v>
      </c>
      <c r="C787">
        <v>21.99</v>
      </c>
      <c r="D787">
        <v>52.8</v>
      </c>
      <c r="E787" t="s">
        <v>670</v>
      </c>
      <c r="F787" t="s">
        <v>1724</v>
      </c>
      <c r="G787" t="s">
        <v>16</v>
      </c>
      <c r="H787">
        <v>3</v>
      </c>
      <c r="I787" t="s">
        <v>17</v>
      </c>
      <c r="J787" t="s">
        <v>13</v>
      </c>
      <c r="K787">
        <v>7</v>
      </c>
      <c r="O787">
        <v>84.73</v>
      </c>
    </row>
    <row r="788" spans="1:15" x14ac:dyDescent="0.35">
      <c r="A788" t="s">
        <v>1083</v>
      </c>
      <c r="B788">
        <v>1</v>
      </c>
      <c r="C788">
        <v>34.99</v>
      </c>
      <c r="D788">
        <v>34.99</v>
      </c>
      <c r="E788" t="s">
        <v>1084</v>
      </c>
      <c r="F788" t="s">
        <v>1725</v>
      </c>
      <c r="G788" t="s">
        <v>11</v>
      </c>
      <c r="H788">
        <v>5</v>
      </c>
      <c r="I788" t="s">
        <v>24</v>
      </c>
      <c r="J788" t="s">
        <v>36</v>
      </c>
      <c r="K788">
        <v>12.5</v>
      </c>
      <c r="O788">
        <v>21.99</v>
      </c>
    </row>
    <row r="789" spans="1:15" x14ac:dyDescent="0.35">
      <c r="A789" t="s">
        <v>1085</v>
      </c>
      <c r="B789">
        <v>3</v>
      </c>
      <c r="C789">
        <v>30.99</v>
      </c>
      <c r="D789">
        <v>73.64</v>
      </c>
      <c r="E789" t="s">
        <v>333</v>
      </c>
      <c r="F789" t="s">
        <v>1726</v>
      </c>
      <c r="G789" t="s">
        <v>16</v>
      </c>
      <c r="H789">
        <v>2</v>
      </c>
      <c r="I789" t="s">
        <v>24</v>
      </c>
      <c r="J789" t="s">
        <v>18</v>
      </c>
      <c r="K789">
        <v>10.5</v>
      </c>
      <c r="O789">
        <v>84.73</v>
      </c>
    </row>
    <row r="790" spans="1:15" x14ac:dyDescent="0.35">
      <c r="A790" t="s">
        <v>1086</v>
      </c>
      <c r="B790">
        <v>3</v>
      </c>
      <c r="C790">
        <v>30.99</v>
      </c>
      <c r="D790">
        <v>73.69</v>
      </c>
      <c r="E790" t="s">
        <v>23</v>
      </c>
      <c r="F790" t="s">
        <v>1727</v>
      </c>
      <c r="G790" t="s">
        <v>87</v>
      </c>
      <c r="H790">
        <v>0</v>
      </c>
      <c r="I790" t="s">
        <v>17</v>
      </c>
      <c r="J790" t="s">
        <v>18</v>
      </c>
      <c r="K790">
        <v>10.5</v>
      </c>
      <c r="O790">
        <v>84.73</v>
      </c>
    </row>
    <row r="791" spans="1:15" x14ac:dyDescent="0.35">
      <c r="A791" t="s">
        <v>1087</v>
      </c>
      <c r="B791">
        <v>1</v>
      </c>
      <c r="C791">
        <v>30.99</v>
      </c>
      <c r="D791">
        <v>30.99</v>
      </c>
      <c r="E791" t="s">
        <v>506</v>
      </c>
      <c r="F791" t="s">
        <v>1728</v>
      </c>
      <c r="G791" t="s">
        <v>87</v>
      </c>
      <c r="H791">
        <v>0</v>
      </c>
      <c r="I791" t="s">
        <v>24</v>
      </c>
      <c r="J791" t="s">
        <v>18</v>
      </c>
      <c r="K791">
        <v>10.5</v>
      </c>
      <c r="O791">
        <v>21.99</v>
      </c>
    </row>
    <row r="792" spans="1:15" x14ac:dyDescent="0.35">
      <c r="A792" t="s">
        <v>1088</v>
      </c>
      <c r="B792">
        <v>1</v>
      </c>
      <c r="C792">
        <v>21.99</v>
      </c>
      <c r="D792">
        <v>21.99</v>
      </c>
      <c r="E792" t="s">
        <v>132</v>
      </c>
      <c r="F792" t="s">
        <v>1717</v>
      </c>
      <c r="G792" t="s">
        <v>11</v>
      </c>
      <c r="H792">
        <v>2</v>
      </c>
      <c r="I792" t="s">
        <v>17</v>
      </c>
      <c r="J792" t="s">
        <v>13</v>
      </c>
      <c r="K792">
        <v>7</v>
      </c>
      <c r="O792">
        <v>21.99</v>
      </c>
    </row>
    <row r="793" spans="1:15" x14ac:dyDescent="0.35">
      <c r="A793" t="s">
        <v>1089</v>
      </c>
      <c r="B793">
        <v>3</v>
      </c>
      <c r="C793">
        <v>30.99</v>
      </c>
      <c r="D793">
        <v>74.790000000000006</v>
      </c>
      <c r="E793" t="s">
        <v>623</v>
      </c>
      <c r="F793" t="s">
        <v>1718</v>
      </c>
      <c r="G793" t="s">
        <v>21</v>
      </c>
      <c r="H793">
        <v>0</v>
      </c>
      <c r="I793" t="s">
        <v>24</v>
      </c>
      <c r="J793" t="s">
        <v>18</v>
      </c>
      <c r="K793">
        <v>10.5</v>
      </c>
      <c r="O793">
        <v>84.73</v>
      </c>
    </row>
    <row r="794" spans="1:15" x14ac:dyDescent="0.35">
      <c r="A794" t="s">
        <v>1090</v>
      </c>
      <c r="B794">
        <v>1</v>
      </c>
      <c r="C794">
        <v>27.99</v>
      </c>
      <c r="D794">
        <v>27.99</v>
      </c>
      <c r="E794" t="s">
        <v>955</v>
      </c>
      <c r="F794" t="s">
        <v>1719</v>
      </c>
      <c r="G794" t="s">
        <v>16</v>
      </c>
      <c r="H794">
        <v>3</v>
      </c>
      <c r="I794" t="s">
        <v>17</v>
      </c>
      <c r="J794" t="s">
        <v>31</v>
      </c>
      <c r="K794">
        <v>9</v>
      </c>
      <c r="O794">
        <v>21.99</v>
      </c>
    </row>
    <row r="795" spans="1:15" x14ac:dyDescent="0.35">
      <c r="A795" t="s">
        <v>1091</v>
      </c>
      <c r="B795">
        <v>1</v>
      </c>
      <c r="C795">
        <v>34.99</v>
      </c>
      <c r="D795">
        <v>34.99</v>
      </c>
      <c r="E795" s="6">
        <v>46292</v>
      </c>
      <c r="F795" t="s">
        <v>1720</v>
      </c>
      <c r="G795" t="s">
        <v>16</v>
      </c>
      <c r="H795">
        <v>5</v>
      </c>
      <c r="I795" t="s">
        <v>24</v>
      </c>
      <c r="J795" t="s">
        <v>36</v>
      </c>
      <c r="K795">
        <v>12.5</v>
      </c>
      <c r="O795">
        <v>21.99</v>
      </c>
    </row>
    <row r="796" spans="1:15" x14ac:dyDescent="0.35">
      <c r="A796" t="s">
        <v>1092</v>
      </c>
      <c r="B796">
        <v>1</v>
      </c>
      <c r="C796">
        <v>18.989999999999998</v>
      </c>
      <c r="D796">
        <v>18.989999999999998</v>
      </c>
      <c r="E796" t="s">
        <v>543</v>
      </c>
      <c r="F796" t="s">
        <v>1721</v>
      </c>
      <c r="G796" t="s">
        <v>16</v>
      </c>
      <c r="H796">
        <v>11</v>
      </c>
      <c r="I796" t="s">
        <v>41</v>
      </c>
      <c r="J796" t="s">
        <v>42</v>
      </c>
      <c r="K796">
        <v>6</v>
      </c>
      <c r="O796">
        <v>21.99</v>
      </c>
    </row>
    <row r="797" spans="1:15" x14ac:dyDescent="0.35">
      <c r="A797" t="s">
        <v>1093</v>
      </c>
      <c r="B797">
        <v>1</v>
      </c>
      <c r="C797">
        <v>16.989999999999998</v>
      </c>
      <c r="D797">
        <v>16.989999999999998</v>
      </c>
      <c r="E797" t="s">
        <v>657</v>
      </c>
      <c r="F797" t="s">
        <v>1722</v>
      </c>
      <c r="G797" t="s">
        <v>11</v>
      </c>
      <c r="H797">
        <v>15</v>
      </c>
      <c r="I797" t="s">
        <v>41</v>
      </c>
      <c r="J797" t="s">
        <v>25</v>
      </c>
      <c r="K797">
        <v>5</v>
      </c>
      <c r="O797">
        <v>21.99</v>
      </c>
    </row>
    <row r="798" spans="1:15" x14ac:dyDescent="0.35">
      <c r="A798" t="s">
        <v>1094</v>
      </c>
      <c r="B798">
        <v>1</v>
      </c>
      <c r="C798">
        <v>34.99</v>
      </c>
      <c r="D798">
        <v>34.99</v>
      </c>
      <c r="E798" t="s">
        <v>461</v>
      </c>
      <c r="F798" t="s">
        <v>1723</v>
      </c>
      <c r="G798" t="s">
        <v>16</v>
      </c>
      <c r="H798">
        <v>9</v>
      </c>
      <c r="I798" t="s">
        <v>24</v>
      </c>
      <c r="J798" t="s">
        <v>36</v>
      </c>
      <c r="K798">
        <v>12.5</v>
      </c>
      <c r="O798">
        <v>21.99</v>
      </c>
    </row>
    <row r="799" spans="1:15" x14ac:dyDescent="0.35">
      <c r="A799" t="s">
        <v>1095</v>
      </c>
      <c r="B799">
        <v>1</v>
      </c>
      <c r="C799">
        <v>18.989999999999998</v>
      </c>
      <c r="D799">
        <v>18.989999999999998</v>
      </c>
      <c r="E799" t="s">
        <v>240</v>
      </c>
      <c r="F799" t="s">
        <v>1724</v>
      </c>
      <c r="G799" t="s">
        <v>16</v>
      </c>
      <c r="H799">
        <v>15</v>
      </c>
      <c r="I799" t="s">
        <v>41</v>
      </c>
      <c r="J799" t="s">
        <v>42</v>
      </c>
      <c r="K799">
        <v>6</v>
      </c>
      <c r="O799">
        <v>21.99</v>
      </c>
    </row>
    <row r="800" spans="1:15" x14ac:dyDescent="0.35">
      <c r="A800" t="s">
        <v>1096</v>
      </c>
      <c r="B800">
        <v>1</v>
      </c>
      <c r="C800">
        <v>34.99</v>
      </c>
      <c r="D800">
        <v>34.99</v>
      </c>
      <c r="E800" t="s">
        <v>1056</v>
      </c>
      <c r="F800" t="s">
        <v>1725</v>
      </c>
      <c r="G800" t="s">
        <v>21</v>
      </c>
      <c r="H800">
        <v>0</v>
      </c>
      <c r="I800" t="s">
        <v>17</v>
      </c>
      <c r="J800" t="s">
        <v>36</v>
      </c>
      <c r="K800">
        <v>12.5</v>
      </c>
      <c r="O800">
        <v>21.99</v>
      </c>
    </row>
    <row r="801" spans="1:15" x14ac:dyDescent="0.35">
      <c r="A801" t="s">
        <v>1097</v>
      </c>
      <c r="B801">
        <v>1</v>
      </c>
      <c r="C801">
        <v>18.989999999999998</v>
      </c>
      <c r="D801">
        <v>18.989999999999998</v>
      </c>
      <c r="E801" t="s">
        <v>44</v>
      </c>
      <c r="F801" t="s">
        <v>1726</v>
      </c>
      <c r="G801" t="s">
        <v>21</v>
      </c>
      <c r="H801">
        <v>0</v>
      </c>
      <c r="I801" t="s">
        <v>12</v>
      </c>
      <c r="J801" t="s">
        <v>42</v>
      </c>
      <c r="K801">
        <v>6</v>
      </c>
      <c r="O801">
        <v>21.99</v>
      </c>
    </row>
    <row r="802" spans="1:15" x14ac:dyDescent="0.35">
      <c r="A802" t="s">
        <v>1098</v>
      </c>
      <c r="B802">
        <v>2</v>
      </c>
      <c r="C802">
        <v>30.99</v>
      </c>
      <c r="D802">
        <v>53.16</v>
      </c>
      <c r="E802" t="s">
        <v>10</v>
      </c>
      <c r="F802" t="s">
        <v>1727</v>
      </c>
      <c r="G802" t="s">
        <v>16</v>
      </c>
      <c r="H802">
        <v>2</v>
      </c>
      <c r="I802" t="s">
        <v>12</v>
      </c>
      <c r="J802" t="s">
        <v>18</v>
      </c>
      <c r="K802">
        <v>10.5</v>
      </c>
      <c r="O802">
        <v>37.979999999999997</v>
      </c>
    </row>
    <row r="803" spans="1:15" x14ac:dyDescent="0.35">
      <c r="A803" t="s">
        <v>1099</v>
      </c>
      <c r="B803">
        <v>1</v>
      </c>
      <c r="C803">
        <v>18.989999999999998</v>
      </c>
      <c r="D803">
        <v>18.989999999999998</v>
      </c>
      <c r="E803" t="s">
        <v>33</v>
      </c>
      <c r="F803" t="s">
        <v>1728</v>
      </c>
      <c r="G803" t="s">
        <v>16</v>
      </c>
      <c r="H803">
        <v>12</v>
      </c>
      <c r="I803" t="s">
        <v>17</v>
      </c>
      <c r="J803" t="s">
        <v>42</v>
      </c>
      <c r="K803">
        <v>6</v>
      </c>
      <c r="O803">
        <v>21.99</v>
      </c>
    </row>
    <row r="804" spans="1:15" x14ac:dyDescent="0.35">
      <c r="A804" t="s">
        <v>1100</v>
      </c>
      <c r="B804">
        <v>3</v>
      </c>
      <c r="C804">
        <v>21.99</v>
      </c>
      <c r="D804">
        <v>52.37</v>
      </c>
      <c r="E804" s="6">
        <v>46229</v>
      </c>
      <c r="F804" t="s">
        <v>1717</v>
      </c>
      <c r="G804" t="s">
        <v>87</v>
      </c>
      <c r="H804">
        <v>0</v>
      </c>
      <c r="I804" t="s">
        <v>24</v>
      </c>
      <c r="J804" t="s">
        <v>13</v>
      </c>
      <c r="K804">
        <v>7</v>
      </c>
      <c r="O804">
        <v>84.73</v>
      </c>
    </row>
    <row r="805" spans="1:15" x14ac:dyDescent="0.35">
      <c r="A805" t="s">
        <v>1101</v>
      </c>
      <c r="B805">
        <v>1</v>
      </c>
      <c r="C805">
        <v>27.99</v>
      </c>
      <c r="D805">
        <v>27.99</v>
      </c>
      <c r="E805" t="s">
        <v>52</v>
      </c>
      <c r="F805" t="s">
        <v>1718</v>
      </c>
      <c r="G805" t="s">
        <v>21</v>
      </c>
      <c r="H805">
        <v>0</v>
      </c>
      <c r="I805" t="s">
        <v>12</v>
      </c>
      <c r="J805" t="s">
        <v>31</v>
      </c>
      <c r="K805">
        <v>9</v>
      </c>
      <c r="O805">
        <v>21.99</v>
      </c>
    </row>
    <row r="806" spans="1:15" x14ac:dyDescent="0.35">
      <c r="A806" t="s">
        <v>1102</v>
      </c>
      <c r="B806">
        <v>1</v>
      </c>
      <c r="C806">
        <v>18.989999999999998</v>
      </c>
      <c r="D806">
        <v>18.989999999999998</v>
      </c>
      <c r="E806" t="s">
        <v>919</v>
      </c>
      <c r="F806" t="s">
        <v>1719</v>
      </c>
      <c r="G806" t="s">
        <v>16</v>
      </c>
      <c r="H806">
        <v>12</v>
      </c>
      <c r="I806" t="s">
        <v>17</v>
      </c>
      <c r="J806" t="s">
        <v>42</v>
      </c>
      <c r="K806">
        <v>6</v>
      </c>
      <c r="O806">
        <v>21.99</v>
      </c>
    </row>
    <row r="807" spans="1:15" x14ac:dyDescent="0.35">
      <c r="A807" t="s">
        <v>1103</v>
      </c>
      <c r="B807">
        <v>1</v>
      </c>
      <c r="C807">
        <v>34.99</v>
      </c>
      <c r="D807">
        <v>34.99</v>
      </c>
      <c r="E807" t="s">
        <v>1104</v>
      </c>
      <c r="F807" t="s">
        <v>1720</v>
      </c>
      <c r="G807" t="s">
        <v>87</v>
      </c>
      <c r="H807">
        <v>0</v>
      </c>
      <c r="I807" t="s">
        <v>41</v>
      </c>
      <c r="J807" t="s">
        <v>36</v>
      </c>
      <c r="K807">
        <v>12.5</v>
      </c>
      <c r="O807">
        <v>21.99</v>
      </c>
    </row>
    <row r="808" spans="1:15" x14ac:dyDescent="0.35">
      <c r="A808" t="s">
        <v>1105</v>
      </c>
      <c r="B808">
        <v>2</v>
      </c>
      <c r="C808">
        <v>34.99</v>
      </c>
      <c r="D808">
        <v>61.13</v>
      </c>
      <c r="E808" t="s">
        <v>639</v>
      </c>
      <c r="F808" t="s">
        <v>1721</v>
      </c>
      <c r="G808" t="s">
        <v>16</v>
      </c>
      <c r="H808">
        <v>6</v>
      </c>
      <c r="I808" t="s">
        <v>24</v>
      </c>
      <c r="J808" t="s">
        <v>36</v>
      </c>
      <c r="K808">
        <v>12.5</v>
      </c>
      <c r="O808">
        <v>37.979999999999997</v>
      </c>
    </row>
    <row r="809" spans="1:15" x14ac:dyDescent="0.35">
      <c r="A809" t="s">
        <v>1106</v>
      </c>
      <c r="B809">
        <v>1</v>
      </c>
      <c r="C809">
        <v>34.99</v>
      </c>
      <c r="D809">
        <v>34.99</v>
      </c>
      <c r="E809" t="s">
        <v>919</v>
      </c>
      <c r="F809" t="s">
        <v>1722</v>
      </c>
      <c r="G809" t="s">
        <v>16</v>
      </c>
      <c r="H809">
        <v>6</v>
      </c>
      <c r="I809" t="s">
        <v>41</v>
      </c>
      <c r="J809" t="s">
        <v>36</v>
      </c>
      <c r="K809">
        <v>12.5</v>
      </c>
      <c r="O809">
        <v>21.99</v>
      </c>
    </row>
    <row r="810" spans="1:15" x14ac:dyDescent="0.35">
      <c r="A810" t="s">
        <v>1107</v>
      </c>
      <c r="B810">
        <v>3</v>
      </c>
      <c r="C810">
        <v>34.99</v>
      </c>
      <c r="D810">
        <v>83.78</v>
      </c>
      <c r="E810" t="s">
        <v>536</v>
      </c>
      <c r="F810" t="s">
        <v>1723</v>
      </c>
      <c r="G810" t="s">
        <v>16</v>
      </c>
      <c r="H810">
        <v>6</v>
      </c>
      <c r="I810" t="s">
        <v>41</v>
      </c>
      <c r="J810" t="s">
        <v>36</v>
      </c>
      <c r="K810">
        <v>12.5</v>
      </c>
      <c r="O810">
        <v>84.73</v>
      </c>
    </row>
    <row r="811" spans="1:15" x14ac:dyDescent="0.35">
      <c r="A811" t="s">
        <v>1108</v>
      </c>
      <c r="B811">
        <v>1</v>
      </c>
      <c r="C811">
        <v>16.989999999999998</v>
      </c>
      <c r="D811">
        <v>16.989999999999998</v>
      </c>
      <c r="E811" t="s">
        <v>96</v>
      </c>
      <c r="F811" t="s">
        <v>1724</v>
      </c>
      <c r="G811" t="s">
        <v>16</v>
      </c>
      <c r="H811">
        <v>16</v>
      </c>
      <c r="I811" t="s">
        <v>24</v>
      </c>
      <c r="J811" t="s">
        <v>25</v>
      </c>
      <c r="K811">
        <v>5</v>
      </c>
      <c r="O811">
        <v>21.99</v>
      </c>
    </row>
    <row r="812" spans="1:15" x14ac:dyDescent="0.35">
      <c r="A812" t="s">
        <v>1109</v>
      </c>
      <c r="B812">
        <v>1</v>
      </c>
      <c r="C812">
        <v>16.989999999999998</v>
      </c>
      <c r="D812">
        <v>16.989999999999998</v>
      </c>
      <c r="E812" t="s">
        <v>453</v>
      </c>
      <c r="F812" t="s">
        <v>1725</v>
      </c>
      <c r="G812" t="s">
        <v>16</v>
      </c>
      <c r="H812">
        <v>16</v>
      </c>
      <c r="I812" t="s">
        <v>24</v>
      </c>
      <c r="J812" t="s">
        <v>25</v>
      </c>
      <c r="K812">
        <v>5</v>
      </c>
      <c r="O812">
        <v>21.99</v>
      </c>
    </row>
    <row r="813" spans="1:15" x14ac:dyDescent="0.35">
      <c r="A813" t="s">
        <v>1110</v>
      </c>
      <c r="B813">
        <v>2</v>
      </c>
      <c r="C813">
        <v>18.989999999999998</v>
      </c>
      <c r="D813">
        <v>32.979999999999997</v>
      </c>
      <c r="E813" s="6">
        <v>46076</v>
      </c>
      <c r="F813" t="s">
        <v>1726</v>
      </c>
      <c r="G813" t="s">
        <v>16</v>
      </c>
      <c r="H813">
        <v>10</v>
      </c>
      <c r="I813" t="s">
        <v>24</v>
      </c>
      <c r="J813" t="s">
        <v>42</v>
      </c>
      <c r="K813">
        <v>6</v>
      </c>
      <c r="O813">
        <v>37.979999999999997</v>
      </c>
    </row>
    <row r="814" spans="1:15" x14ac:dyDescent="0.35">
      <c r="A814" t="s">
        <v>1111</v>
      </c>
      <c r="B814">
        <v>1</v>
      </c>
      <c r="C814">
        <v>27.99</v>
      </c>
      <c r="D814">
        <v>27.99</v>
      </c>
      <c r="E814" t="s">
        <v>1112</v>
      </c>
      <c r="F814" t="s">
        <v>1727</v>
      </c>
      <c r="G814" t="s">
        <v>16</v>
      </c>
      <c r="H814">
        <v>2</v>
      </c>
      <c r="I814" t="s">
        <v>41</v>
      </c>
      <c r="J814" t="s">
        <v>31</v>
      </c>
      <c r="K814">
        <v>9</v>
      </c>
      <c r="O814">
        <v>21.99</v>
      </c>
    </row>
    <row r="815" spans="1:15" x14ac:dyDescent="0.35">
      <c r="A815" t="s">
        <v>1113</v>
      </c>
      <c r="B815">
        <v>1</v>
      </c>
      <c r="C815">
        <v>21.99</v>
      </c>
      <c r="D815">
        <v>21.99</v>
      </c>
      <c r="E815" t="s">
        <v>1114</v>
      </c>
      <c r="F815" t="s">
        <v>1728</v>
      </c>
      <c r="G815" t="s">
        <v>21</v>
      </c>
      <c r="H815">
        <v>0</v>
      </c>
      <c r="I815" t="s">
        <v>41</v>
      </c>
      <c r="J815" t="s">
        <v>13</v>
      </c>
      <c r="K815">
        <v>7</v>
      </c>
      <c r="O815">
        <v>21.99</v>
      </c>
    </row>
    <row r="816" spans="1:15" x14ac:dyDescent="0.35">
      <c r="A816" t="s">
        <v>1115</v>
      </c>
      <c r="B816">
        <v>3</v>
      </c>
      <c r="C816">
        <v>30.99</v>
      </c>
      <c r="D816">
        <v>74.48</v>
      </c>
      <c r="E816" t="s">
        <v>1116</v>
      </c>
      <c r="F816" t="s">
        <v>1717</v>
      </c>
      <c r="G816" t="s">
        <v>16</v>
      </c>
      <c r="H816">
        <v>2</v>
      </c>
      <c r="I816" t="s">
        <v>17</v>
      </c>
      <c r="J816" t="s">
        <v>18</v>
      </c>
      <c r="K816">
        <v>10.5</v>
      </c>
      <c r="O816">
        <v>84.73</v>
      </c>
    </row>
    <row r="817" spans="1:15" x14ac:dyDescent="0.35">
      <c r="A817" t="s">
        <v>1117</v>
      </c>
      <c r="B817">
        <v>1</v>
      </c>
      <c r="C817">
        <v>34.99</v>
      </c>
      <c r="D817">
        <v>34.99</v>
      </c>
      <c r="E817" t="s">
        <v>575</v>
      </c>
      <c r="F817" t="s">
        <v>1718</v>
      </c>
      <c r="G817" t="s">
        <v>16</v>
      </c>
      <c r="H817">
        <v>6</v>
      </c>
      <c r="I817" t="s">
        <v>17</v>
      </c>
      <c r="J817" t="s">
        <v>36</v>
      </c>
      <c r="K817">
        <v>12.5</v>
      </c>
      <c r="O817">
        <v>21.99</v>
      </c>
    </row>
    <row r="818" spans="1:15" x14ac:dyDescent="0.35">
      <c r="A818" t="s">
        <v>1118</v>
      </c>
      <c r="B818">
        <v>1</v>
      </c>
      <c r="C818">
        <v>30.99</v>
      </c>
      <c r="D818">
        <v>30.99</v>
      </c>
      <c r="E818" t="s">
        <v>1119</v>
      </c>
      <c r="F818" t="s">
        <v>1719</v>
      </c>
      <c r="G818" t="s">
        <v>21</v>
      </c>
      <c r="H818">
        <v>0</v>
      </c>
      <c r="I818" t="s">
        <v>41</v>
      </c>
      <c r="J818" t="s">
        <v>18</v>
      </c>
      <c r="K818">
        <v>10.5</v>
      </c>
      <c r="O818">
        <v>21.99</v>
      </c>
    </row>
    <row r="819" spans="1:15" x14ac:dyDescent="0.35">
      <c r="A819" t="s">
        <v>1120</v>
      </c>
      <c r="B819">
        <v>1</v>
      </c>
      <c r="C819">
        <v>34.99</v>
      </c>
      <c r="D819">
        <v>34.99</v>
      </c>
      <c r="E819" t="s">
        <v>481</v>
      </c>
      <c r="F819" t="s">
        <v>1720</v>
      </c>
      <c r="G819" t="s">
        <v>16</v>
      </c>
      <c r="H819">
        <v>8</v>
      </c>
      <c r="I819" t="s">
        <v>12</v>
      </c>
      <c r="J819" t="s">
        <v>36</v>
      </c>
      <c r="K819">
        <v>12.5</v>
      </c>
      <c r="O819">
        <v>21.99</v>
      </c>
    </row>
    <row r="820" spans="1:15" x14ac:dyDescent="0.35">
      <c r="A820" t="s">
        <v>1121</v>
      </c>
      <c r="B820">
        <v>1</v>
      </c>
      <c r="C820">
        <v>30.99</v>
      </c>
      <c r="D820">
        <v>30.99</v>
      </c>
      <c r="E820" t="s">
        <v>536</v>
      </c>
      <c r="F820" t="s">
        <v>1721</v>
      </c>
      <c r="G820" t="s">
        <v>16</v>
      </c>
      <c r="H820">
        <v>2</v>
      </c>
      <c r="I820" t="s">
        <v>17</v>
      </c>
      <c r="J820" t="s">
        <v>18</v>
      </c>
      <c r="K820">
        <v>10.5</v>
      </c>
      <c r="O820">
        <v>21.99</v>
      </c>
    </row>
    <row r="821" spans="1:15" x14ac:dyDescent="0.35">
      <c r="A821" t="s">
        <v>1122</v>
      </c>
      <c r="B821">
        <v>2</v>
      </c>
      <c r="C821">
        <v>18.989999999999998</v>
      </c>
      <c r="D821">
        <v>33</v>
      </c>
      <c r="E821" t="s">
        <v>1123</v>
      </c>
      <c r="F821" t="s">
        <v>1722</v>
      </c>
      <c r="G821" t="s">
        <v>16</v>
      </c>
      <c r="H821">
        <v>10</v>
      </c>
      <c r="I821" t="s">
        <v>17</v>
      </c>
      <c r="J821" t="s">
        <v>42</v>
      </c>
      <c r="K821">
        <v>6</v>
      </c>
      <c r="O821">
        <v>37.979999999999997</v>
      </c>
    </row>
    <row r="822" spans="1:15" x14ac:dyDescent="0.35">
      <c r="A822" t="s">
        <v>1124</v>
      </c>
      <c r="B822">
        <v>2</v>
      </c>
      <c r="C822">
        <v>18.989999999999998</v>
      </c>
      <c r="D822">
        <v>33.229999999999997</v>
      </c>
      <c r="E822" t="s">
        <v>1125</v>
      </c>
      <c r="F822" t="s">
        <v>1723</v>
      </c>
      <c r="G822" t="s">
        <v>87</v>
      </c>
      <c r="H822">
        <v>0</v>
      </c>
      <c r="I822" t="s">
        <v>24</v>
      </c>
      <c r="J822" t="s">
        <v>42</v>
      </c>
      <c r="K822">
        <v>6</v>
      </c>
      <c r="O822">
        <v>37.979999999999997</v>
      </c>
    </row>
    <row r="823" spans="1:15" x14ac:dyDescent="0.35">
      <c r="A823" t="s">
        <v>1126</v>
      </c>
      <c r="B823">
        <v>1</v>
      </c>
      <c r="C823">
        <v>18.989999999999998</v>
      </c>
      <c r="D823">
        <v>18.989999999999998</v>
      </c>
      <c r="E823" t="s">
        <v>1007</v>
      </c>
      <c r="F823" t="s">
        <v>1724</v>
      </c>
      <c r="G823" t="s">
        <v>21</v>
      </c>
      <c r="H823">
        <v>0</v>
      </c>
      <c r="I823" t="s">
        <v>12</v>
      </c>
      <c r="J823" t="s">
        <v>42</v>
      </c>
      <c r="K823">
        <v>6</v>
      </c>
      <c r="O823">
        <v>21.99</v>
      </c>
    </row>
    <row r="824" spans="1:15" x14ac:dyDescent="0.35">
      <c r="A824" t="s">
        <v>1127</v>
      </c>
      <c r="B824">
        <v>2</v>
      </c>
      <c r="C824">
        <v>27.99</v>
      </c>
      <c r="D824">
        <v>48.81</v>
      </c>
      <c r="E824" t="s">
        <v>320</v>
      </c>
      <c r="F824" t="s">
        <v>1725</v>
      </c>
      <c r="G824" t="s">
        <v>16</v>
      </c>
      <c r="H824">
        <v>2</v>
      </c>
      <c r="I824" t="s">
        <v>12</v>
      </c>
      <c r="J824" t="s">
        <v>31</v>
      </c>
      <c r="K824">
        <v>9</v>
      </c>
      <c r="O824">
        <v>37.979999999999997</v>
      </c>
    </row>
    <row r="825" spans="1:15" x14ac:dyDescent="0.35">
      <c r="A825" t="s">
        <v>1128</v>
      </c>
      <c r="B825">
        <v>1</v>
      </c>
      <c r="C825">
        <v>30.99</v>
      </c>
      <c r="D825">
        <v>30.99</v>
      </c>
      <c r="E825" t="s">
        <v>788</v>
      </c>
      <c r="F825" t="s">
        <v>1726</v>
      </c>
      <c r="G825" t="s">
        <v>16</v>
      </c>
      <c r="H825">
        <v>3</v>
      </c>
      <c r="I825" t="s">
        <v>12</v>
      </c>
      <c r="J825" t="s">
        <v>18</v>
      </c>
      <c r="K825">
        <v>10.5</v>
      </c>
      <c r="O825">
        <v>21.99</v>
      </c>
    </row>
    <row r="826" spans="1:15" x14ac:dyDescent="0.35">
      <c r="A826" t="s">
        <v>1129</v>
      </c>
      <c r="B826">
        <v>3</v>
      </c>
      <c r="C826">
        <v>18.989999999999998</v>
      </c>
      <c r="D826">
        <v>44.89</v>
      </c>
      <c r="E826" t="s">
        <v>589</v>
      </c>
      <c r="F826" t="s">
        <v>1727</v>
      </c>
      <c r="G826" t="s">
        <v>16</v>
      </c>
      <c r="H826">
        <v>20</v>
      </c>
      <c r="I826" t="s">
        <v>24</v>
      </c>
      <c r="J826" t="s">
        <v>42</v>
      </c>
      <c r="K826">
        <v>6</v>
      </c>
      <c r="O826">
        <v>84.73</v>
      </c>
    </row>
    <row r="827" spans="1:15" x14ac:dyDescent="0.35">
      <c r="A827" t="s">
        <v>1130</v>
      </c>
      <c r="B827">
        <v>2</v>
      </c>
      <c r="C827">
        <v>18.989999999999998</v>
      </c>
      <c r="D827">
        <v>32.92</v>
      </c>
      <c r="E827" t="s">
        <v>52</v>
      </c>
      <c r="F827" t="s">
        <v>1728</v>
      </c>
      <c r="G827" t="s">
        <v>21</v>
      </c>
      <c r="H827">
        <v>0</v>
      </c>
      <c r="I827" t="s">
        <v>41</v>
      </c>
      <c r="J827" t="s">
        <v>42</v>
      </c>
      <c r="K827">
        <v>6</v>
      </c>
      <c r="O827">
        <v>37.979999999999997</v>
      </c>
    </row>
    <row r="828" spans="1:15" x14ac:dyDescent="0.35">
      <c r="A828" t="s">
        <v>1131</v>
      </c>
      <c r="B828">
        <v>1</v>
      </c>
      <c r="C828">
        <v>21.99</v>
      </c>
      <c r="D828">
        <v>21.99</v>
      </c>
      <c r="E828" t="s">
        <v>1007</v>
      </c>
      <c r="F828" t="s">
        <v>1717</v>
      </c>
      <c r="G828" t="s">
        <v>21</v>
      </c>
      <c r="H828">
        <v>0</v>
      </c>
      <c r="I828" t="s">
        <v>41</v>
      </c>
      <c r="J828" t="s">
        <v>13</v>
      </c>
      <c r="K828">
        <v>7</v>
      </c>
      <c r="O828">
        <v>21.99</v>
      </c>
    </row>
    <row r="829" spans="1:15" x14ac:dyDescent="0.35">
      <c r="A829" t="s">
        <v>1132</v>
      </c>
      <c r="B829">
        <v>1</v>
      </c>
      <c r="C829">
        <v>18.989999999999998</v>
      </c>
      <c r="D829">
        <v>18.989999999999998</v>
      </c>
      <c r="E829" t="s">
        <v>632</v>
      </c>
      <c r="F829" t="s">
        <v>1718</v>
      </c>
      <c r="G829" t="s">
        <v>11</v>
      </c>
      <c r="H829">
        <v>15</v>
      </c>
      <c r="I829" t="s">
        <v>12</v>
      </c>
      <c r="J829" t="s">
        <v>42</v>
      </c>
      <c r="K829">
        <v>6</v>
      </c>
      <c r="O829">
        <v>21.99</v>
      </c>
    </row>
    <row r="830" spans="1:15" x14ac:dyDescent="0.35">
      <c r="A830" t="s">
        <v>1133</v>
      </c>
      <c r="B830">
        <v>1</v>
      </c>
      <c r="C830">
        <v>16.989999999999998</v>
      </c>
      <c r="D830">
        <v>16.989999999999998</v>
      </c>
      <c r="E830" t="s">
        <v>623</v>
      </c>
      <c r="F830" t="s">
        <v>1719</v>
      </c>
      <c r="G830" t="s">
        <v>11</v>
      </c>
      <c r="H830">
        <v>15</v>
      </c>
      <c r="I830" t="s">
        <v>17</v>
      </c>
      <c r="J830" t="s">
        <v>25</v>
      </c>
      <c r="K830">
        <v>5</v>
      </c>
      <c r="O830">
        <v>21.99</v>
      </c>
    </row>
    <row r="831" spans="1:15" x14ac:dyDescent="0.35">
      <c r="A831" t="s">
        <v>1134</v>
      </c>
      <c r="B831">
        <v>3</v>
      </c>
      <c r="C831">
        <v>16.989999999999998</v>
      </c>
      <c r="D831">
        <v>40.86</v>
      </c>
      <c r="E831" t="s">
        <v>868</v>
      </c>
      <c r="F831" t="s">
        <v>1720</v>
      </c>
      <c r="G831" t="s">
        <v>16</v>
      </c>
      <c r="H831">
        <v>20</v>
      </c>
      <c r="I831" t="s">
        <v>24</v>
      </c>
      <c r="J831" t="s">
        <v>25</v>
      </c>
      <c r="K831">
        <v>5</v>
      </c>
      <c r="O831">
        <v>84.73</v>
      </c>
    </row>
    <row r="832" spans="1:15" x14ac:dyDescent="0.35">
      <c r="A832" t="s">
        <v>1135</v>
      </c>
      <c r="B832">
        <v>1</v>
      </c>
      <c r="C832">
        <v>21.99</v>
      </c>
      <c r="D832">
        <v>21.99</v>
      </c>
      <c r="E832" t="s">
        <v>1030</v>
      </c>
      <c r="F832" t="s">
        <v>1721</v>
      </c>
      <c r="G832" t="s">
        <v>87</v>
      </c>
      <c r="H832">
        <v>0</v>
      </c>
      <c r="I832" t="s">
        <v>12</v>
      </c>
      <c r="J832" t="s">
        <v>13</v>
      </c>
      <c r="K832">
        <v>7</v>
      </c>
      <c r="O832">
        <v>21.99</v>
      </c>
    </row>
    <row r="833" spans="1:15" x14ac:dyDescent="0.35">
      <c r="A833" t="s">
        <v>1136</v>
      </c>
      <c r="B833">
        <v>2</v>
      </c>
      <c r="C833">
        <v>34.99</v>
      </c>
      <c r="D833">
        <v>61.04</v>
      </c>
      <c r="E833" t="s">
        <v>333</v>
      </c>
      <c r="F833" t="s">
        <v>1722</v>
      </c>
      <c r="G833" t="s">
        <v>16</v>
      </c>
      <c r="H833">
        <v>8</v>
      </c>
      <c r="I833" t="s">
        <v>17</v>
      </c>
      <c r="J833" t="s">
        <v>36</v>
      </c>
      <c r="K833">
        <v>12.5</v>
      </c>
      <c r="O833">
        <v>37.979999999999997</v>
      </c>
    </row>
    <row r="834" spans="1:15" x14ac:dyDescent="0.35">
      <c r="A834" t="s">
        <v>1137</v>
      </c>
      <c r="B834">
        <v>1</v>
      </c>
      <c r="C834">
        <v>21.99</v>
      </c>
      <c r="D834">
        <v>21.99</v>
      </c>
      <c r="E834" t="s">
        <v>981</v>
      </c>
      <c r="F834" t="s">
        <v>1723</v>
      </c>
      <c r="G834" t="s">
        <v>16</v>
      </c>
      <c r="H834">
        <v>2</v>
      </c>
      <c r="I834" t="s">
        <v>41</v>
      </c>
      <c r="J834" t="s">
        <v>13</v>
      </c>
      <c r="K834">
        <v>7</v>
      </c>
      <c r="O834">
        <v>21.99</v>
      </c>
    </row>
    <row r="835" spans="1:15" x14ac:dyDescent="0.35">
      <c r="A835" t="s">
        <v>1138</v>
      </c>
      <c r="B835">
        <v>2</v>
      </c>
      <c r="C835">
        <v>18.989999999999998</v>
      </c>
      <c r="D835">
        <v>32.83</v>
      </c>
      <c r="E835" t="s">
        <v>706</v>
      </c>
      <c r="F835" t="s">
        <v>1724</v>
      </c>
      <c r="G835" t="s">
        <v>21</v>
      </c>
      <c r="H835">
        <v>0</v>
      </c>
      <c r="I835" t="s">
        <v>41</v>
      </c>
      <c r="J835" t="s">
        <v>42</v>
      </c>
      <c r="K835">
        <v>6</v>
      </c>
      <c r="O835">
        <v>37.979999999999997</v>
      </c>
    </row>
    <row r="836" spans="1:15" x14ac:dyDescent="0.35">
      <c r="A836" t="s">
        <v>1139</v>
      </c>
      <c r="B836">
        <v>1</v>
      </c>
      <c r="C836">
        <v>27.99</v>
      </c>
      <c r="D836">
        <v>27.99</v>
      </c>
      <c r="E836" t="s">
        <v>455</v>
      </c>
      <c r="F836" t="s">
        <v>1725</v>
      </c>
      <c r="G836" t="s">
        <v>87</v>
      </c>
      <c r="H836">
        <v>0</v>
      </c>
      <c r="I836" t="s">
        <v>12</v>
      </c>
      <c r="J836" t="s">
        <v>31</v>
      </c>
      <c r="K836">
        <v>9</v>
      </c>
      <c r="O836">
        <v>21.99</v>
      </c>
    </row>
    <row r="837" spans="1:15" x14ac:dyDescent="0.35">
      <c r="A837" t="s">
        <v>1140</v>
      </c>
      <c r="B837">
        <v>3</v>
      </c>
      <c r="C837">
        <v>18.989999999999998</v>
      </c>
      <c r="D837">
        <v>45.36</v>
      </c>
      <c r="E837" t="s">
        <v>1141</v>
      </c>
      <c r="F837" t="s">
        <v>1726</v>
      </c>
      <c r="G837" t="s">
        <v>11</v>
      </c>
      <c r="H837">
        <v>15</v>
      </c>
      <c r="I837" t="s">
        <v>12</v>
      </c>
      <c r="J837" t="s">
        <v>42</v>
      </c>
      <c r="K837">
        <v>6</v>
      </c>
      <c r="O837">
        <v>84.73</v>
      </c>
    </row>
    <row r="838" spans="1:15" x14ac:dyDescent="0.35">
      <c r="A838" t="s">
        <v>1142</v>
      </c>
      <c r="B838">
        <v>1</v>
      </c>
      <c r="C838">
        <v>16.989999999999998</v>
      </c>
      <c r="D838">
        <v>16.989999999999998</v>
      </c>
      <c r="E838" t="s">
        <v>893</v>
      </c>
      <c r="F838" t="s">
        <v>1727</v>
      </c>
      <c r="G838" t="s">
        <v>11</v>
      </c>
      <c r="H838">
        <v>19</v>
      </c>
      <c r="I838" t="s">
        <v>12</v>
      </c>
      <c r="J838" t="s">
        <v>25</v>
      </c>
      <c r="K838">
        <v>5</v>
      </c>
      <c r="O838">
        <v>21.99</v>
      </c>
    </row>
    <row r="839" spans="1:15" x14ac:dyDescent="0.35">
      <c r="A839" t="s">
        <v>1143</v>
      </c>
      <c r="B839">
        <v>2</v>
      </c>
      <c r="C839">
        <v>27.99</v>
      </c>
      <c r="D839">
        <v>48.13</v>
      </c>
      <c r="E839" t="s">
        <v>941</v>
      </c>
      <c r="F839" t="s">
        <v>1728</v>
      </c>
      <c r="G839" t="s">
        <v>87</v>
      </c>
      <c r="H839">
        <v>0</v>
      </c>
      <c r="I839" t="s">
        <v>12</v>
      </c>
      <c r="J839" t="s">
        <v>31</v>
      </c>
      <c r="K839">
        <v>9</v>
      </c>
      <c r="O839">
        <v>37.979999999999997</v>
      </c>
    </row>
    <row r="840" spans="1:15" x14ac:dyDescent="0.35">
      <c r="A840" t="s">
        <v>1144</v>
      </c>
      <c r="B840">
        <v>1</v>
      </c>
      <c r="C840">
        <v>30.99</v>
      </c>
      <c r="D840">
        <v>30.99</v>
      </c>
      <c r="E840" t="s">
        <v>79</v>
      </c>
      <c r="F840" t="s">
        <v>1717</v>
      </c>
      <c r="G840" t="s">
        <v>16</v>
      </c>
      <c r="H840">
        <v>3</v>
      </c>
      <c r="I840" t="s">
        <v>41</v>
      </c>
      <c r="J840" t="s">
        <v>18</v>
      </c>
      <c r="K840">
        <v>10.5</v>
      </c>
      <c r="O840">
        <v>21.99</v>
      </c>
    </row>
    <row r="841" spans="1:15" x14ac:dyDescent="0.35">
      <c r="A841" t="s">
        <v>1145</v>
      </c>
      <c r="B841">
        <v>1</v>
      </c>
      <c r="C841">
        <v>16.989999999999998</v>
      </c>
      <c r="D841">
        <v>16.989999999999998</v>
      </c>
      <c r="E841" t="s">
        <v>589</v>
      </c>
      <c r="F841" t="s">
        <v>1718</v>
      </c>
      <c r="G841" t="s">
        <v>16</v>
      </c>
      <c r="H841">
        <v>20</v>
      </c>
      <c r="I841" t="s">
        <v>41</v>
      </c>
      <c r="J841" t="s">
        <v>25</v>
      </c>
      <c r="K841">
        <v>5</v>
      </c>
      <c r="O841">
        <v>21.99</v>
      </c>
    </row>
    <row r="842" spans="1:15" x14ac:dyDescent="0.35">
      <c r="A842" t="s">
        <v>1146</v>
      </c>
      <c r="B842">
        <v>1</v>
      </c>
      <c r="C842">
        <v>18.989999999999998</v>
      </c>
      <c r="D842">
        <v>18.989999999999998</v>
      </c>
      <c r="E842" t="s">
        <v>919</v>
      </c>
      <c r="F842" t="s">
        <v>1719</v>
      </c>
      <c r="G842" t="s">
        <v>28</v>
      </c>
      <c r="H842">
        <v>0</v>
      </c>
      <c r="I842" t="s">
        <v>17</v>
      </c>
      <c r="J842" t="s">
        <v>42</v>
      </c>
      <c r="K842">
        <v>6</v>
      </c>
      <c r="O842">
        <v>21.99</v>
      </c>
    </row>
    <row r="843" spans="1:15" x14ac:dyDescent="0.35">
      <c r="A843" t="s">
        <v>1147</v>
      </c>
      <c r="B843">
        <v>1</v>
      </c>
      <c r="C843">
        <v>34.99</v>
      </c>
      <c r="D843">
        <v>34.99</v>
      </c>
      <c r="E843" t="s">
        <v>467</v>
      </c>
      <c r="F843" t="s">
        <v>1720</v>
      </c>
      <c r="G843" t="s">
        <v>21</v>
      </c>
      <c r="H843">
        <v>0</v>
      </c>
      <c r="I843" t="s">
        <v>12</v>
      </c>
      <c r="J843" t="s">
        <v>36</v>
      </c>
      <c r="K843">
        <v>12.5</v>
      </c>
      <c r="O843">
        <v>21.99</v>
      </c>
    </row>
    <row r="844" spans="1:15" x14ac:dyDescent="0.35">
      <c r="A844" t="s">
        <v>1148</v>
      </c>
      <c r="B844">
        <v>3</v>
      </c>
      <c r="C844">
        <v>21.99</v>
      </c>
      <c r="D844">
        <v>52.26</v>
      </c>
      <c r="E844" t="s">
        <v>1084</v>
      </c>
      <c r="F844" t="s">
        <v>1721</v>
      </c>
      <c r="G844" t="s">
        <v>16</v>
      </c>
      <c r="H844">
        <v>2</v>
      </c>
      <c r="I844" t="s">
        <v>12</v>
      </c>
      <c r="J844" t="s">
        <v>13</v>
      </c>
      <c r="K844">
        <v>7</v>
      </c>
      <c r="O844">
        <v>84.73</v>
      </c>
    </row>
    <row r="845" spans="1:15" x14ac:dyDescent="0.35">
      <c r="A845" t="s">
        <v>1149</v>
      </c>
      <c r="B845">
        <v>1</v>
      </c>
      <c r="C845">
        <v>21.99</v>
      </c>
      <c r="D845">
        <v>21.99</v>
      </c>
      <c r="E845" t="s">
        <v>118</v>
      </c>
      <c r="F845" t="s">
        <v>1722</v>
      </c>
      <c r="G845" t="s">
        <v>16</v>
      </c>
      <c r="H845">
        <v>3</v>
      </c>
      <c r="I845" t="s">
        <v>12</v>
      </c>
      <c r="J845" t="s">
        <v>13</v>
      </c>
      <c r="K845">
        <v>7</v>
      </c>
      <c r="O845">
        <v>21.99</v>
      </c>
    </row>
    <row r="846" spans="1:15" x14ac:dyDescent="0.35">
      <c r="A846" t="s">
        <v>1150</v>
      </c>
      <c r="B846">
        <v>3</v>
      </c>
      <c r="C846">
        <v>27.99</v>
      </c>
      <c r="D846">
        <v>67.010000000000005</v>
      </c>
      <c r="E846" t="s">
        <v>634</v>
      </c>
      <c r="F846" t="s">
        <v>1723</v>
      </c>
      <c r="G846" t="s">
        <v>11</v>
      </c>
      <c r="H846">
        <v>3</v>
      </c>
      <c r="I846" t="s">
        <v>41</v>
      </c>
      <c r="J846" t="s">
        <v>31</v>
      </c>
      <c r="K846">
        <v>9</v>
      </c>
      <c r="O846">
        <v>84.73</v>
      </c>
    </row>
    <row r="847" spans="1:15" x14ac:dyDescent="0.35">
      <c r="A847" t="s">
        <v>1151</v>
      </c>
      <c r="B847">
        <v>2</v>
      </c>
      <c r="C847">
        <v>34.99</v>
      </c>
      <c r="D847">
        <v>60.34</v>
      </c>
      <c r="E847" t="s">
        <v>1152</v>
      </c>
      <c r="F847" t="s">
        <v>1724</v>
      </c>
      <c r="G847" t="s">
        <v>16</v>
      </c>
      <c r="H847">
        <v>6</v>
      </c>
      <c r="I847" t="s">
        <v>24</v>
      </c>
      <c r="J847" t="s">
        <v>36</v>
      </c>
      <c r="K847">
        <v>12.5</v>
      </c>
      <c r="O847">
        <v>37.979999999999997</v>
      </c>
    </row>
    <row r="848" spans="1:15" x14ac:dyDescent="0.35">
      <c r="A848" t="s">
        <v>1153</v>
      </c>
      <c r="B848">
        <v>1</v>
      </c>
      <c r="C848">
        <v>16.989999999999998</v>
      </c>
      <c r="D848">
        <v>16.989999999999998</v>
      </c>
      <c r="E848" t="s">
        <v>1154</v>
      </c>
      <c r="F848" t="s">
        <v>1725</v>
      </c>
      <c r="G848" t="s">
        <v>21</v>
      </c>
      <c r="H848">
        <v>0</v>
      </c>
      <c r="I848" t="s">
        <v>17</v>
      </c>
      <c r="J848" t="s">
        <v>25</v>
      </c>
      <c r="K848">
        <v>5</v>
      </c>
      <c r="O848">
        <v>21.99</v>
      </c>
    </row>
    <row r="849" spans="1:15" x14ac:dyDescent="0.35">
      <c r="A849" t="s">
        <v>1155</v>
      </c>
      <c r="B849">
        <v>3</v>
      </c>
      <c r="C849">
        <v>18.989999999999998</v>
      </c>
      <c r="D849">
        <v>44.92</v>
      </c>
      <c r="E849" t="s">
        <v>1156</v>
      </c>
      <c r="F849" t="s">
        <v>1726</v>
      </c>
      <c r="G849" t="s">
        <v>16</v>
      </c>
      <c r="H849">
        <v>15</v>
      </c>
      <c r="I849" t="s">
        <v>24</v>
      </c>
      <c r="J849" t="s">
        <v>42</v>
      </c>
      <c r="K849">
        <v>6</v>
      </c>
      <c r="O849">
        <v>84.73</v>
      </c>
    </row>
    <row r="850" spans="1:15" x14ac:dyDescent="0.35">
      <c r="A850" t="s">
        <v>1157</v>
      </c>
      <c r="B850">
        <v>2</v>
      </c>
      <c r="C850">
        <v>34.99</v>
      </c>
      <c r="D850">
        <v>61.11</v>
      </c>
      <c r="E850" t="s">
        <v>169</v>
      </c>
      <c r="F850" t="s">
        <v>1727</v>
      </c>
      <c r="G850" t="s">
        <v>16</v>
      </c>
      <c r="H850">
        <v>12</v>
      </c>
      <c r="I850" t="s">
        <v>41</v>
      </c>
      <c r="J850" t="s">
        <v>36</v>
      </c>
      <c r="K850">
        <v>12.5</v>
      </c>
      <c r="O850">
        <v>37.979999999999997</v>
      </c>
    </row>
    <row r="851" spans="1:15" x14ac:dyDescent="0.35">
      <c r="A851" t="s">
        <v>1158</v>
      </c>
      <c r="B851">
        <v>1</v>
      </c>
      <c r="C851">
        <v>34.99</v>
      </c>
      <c r="D851">
        <v>34.99</v>
      </c>
      <c r="E851" t="s">
        <v>1022</v>
      </c>
      <c r="F851" t="s">
        <v>1728</v>
      </c>
      <c r="G851" t="s">
        <v>16</v>
      </c>
      <c r="H851">
        <v>6</v>
      </c>
      <c r="I851" t="s">
        <v>41</v>
      </c>
      <c r="J851" t="s">
        <v>36</v>
      </c>
      <c r="K851">
        <v>12.5</v>
      </c>
      <c r="O851">
        <v>21.99</v>
      </c>
    </row>
    <row r="852" spans="1:15" x14ac:dyDescent="0.35">
      <c r="A852" t="s">
        <v>1159</v>
      </c>
      <c r="B852">
        <v>1</v>
      </c>
      <c r="C852">
        <v>21.99</v>
      </c>
      <c r="D852">
        <v>21.99</v>
      </c>
      <c r="E852" t="s">
        <v>164</v>
      </c>
      <c r="F852" t="s">
        <v>1717</v>
      </c>
      <c r="G852" t="s">
        <v>16</v>
      </c>
      <c r="H852">
        <v>3</v>
      </c>
      <c r="I852" t="s">
        <v>12</v>
      </c>
      <c r="J852" t="s">
        <v>13</v>
      </c>
      <c r="K852">
        <v>7</v>
      </c>
      <c r="O852">
        <v>21.99</v>
      </c>
    </row>
    <row r="853" spans="1:15" x14ac:dyDescent="0.35">
      <c r="A853" t="s">
        <v>1160</v>
      </c>
      <c r="B853">
        <v>1</v>
      </c>
      <c r="C853">
        <v>34.99</v>
      </c>
      <c r="D853">
        <v>34.99</v>
      </c>
      <c r="E853" t="s">
        <v>102</v>
      </c>
      <c r="F853" t="s">
        <v>1718</v>
      </c>
      <c r="G853" t="s">
        <v>28</v>
      </c>
      <c r="H853">
        <v>0</v>
      </c>
      <c r="I853" t="s">
        <v>17</v>
      </c>
      <c r="J853" t="s">
        <v>36</v>
      </c>
      <c r="K853">
        <v>12.5</v>
      </c>
      <c r="O853">
        <v>21.99</v>
      </c>
    </row>
    <row r="854" spans="1:15" x14ac:dyDescent="0.35">
      <c r="A854" t="s">
        <v>1161</v>
      </c>
      <c r="B854">
        <v>3</v>
      </c>
      <c r="C854">
        <v>21.99</v>
      </c>
      <c r="D854">
        <v>52.63</v>
      </c>
      <c r="E854" t="s">
        <v>921</v>
      </c>
      <c r="F854" t="s">
        <v>1719</v>
      </c>
      <c r="G854" t="s">
        <v>16</v>
      </c>
      <c r="H854">
        <v>8</v>
      </c>
      <c r="I854" t="s">
        <v>17</v>
      </c>
      <c r="J854" t="s">
        <v>13</v>
      </c>
      <c r="K854">
        <v>7</v>
      </c>
      <c r="O854">
        <v>84.73</v>
      </c>
    </row>
    <row r="855" spans="1:15" x14ac:dyDescent="0.35">
      <c r="A855" t="s">
        <v>1162</v>
      </c>
      <c r="B855">
        <v>1</v>
      </c>
      <c r="C855">
        <v>21.99</v>
      </c>
      <c r="D855">
        <v>21.99</v>
      </c>
      <c r="E855" t="s">
        <v>504</v>
      </c>
      <c r="F855" t="s">
        <v>1720</v>
      </c>
      <c r="G855" t="s">
        <v>16</v>
      </c>
      <c r="H855">
        <v>3</v>
      </c>
      <c r="I855" t="s">
        <v>41</v>
      </c>
      <c r="J855" t="s">
        <v>13</v>
      </c>
      <c r="K855">
        <v>7</v>
      </c>
      <c r="O855">
        <v>21.99</v>
      </c>
    </row>
    <row r="856" spans="1:15" x14ac:dyDescent="0.35">
      <c r="A856" t="s">
        <v>1163</v>
      </c>
      <c r="B856">
        <v>1</v>
      </c>
      <c r="C856">
        <v>34.99</v>
      </c>
      <c r="D856">
        <v>34.99</v>
      </c>
      <c r="E856" t="s">
        <v>443</v>
      </c>
      <c r="F856" t="s">
        <v>1721</v>
      </c>
      <c r="G856" t="s">
        <v>16</v>
      </c>
      <c r="H856">
        <v>12</v>
      </c>
      <c r="I856" t="s">
        <v>41</v>
      </c>
      <c r="J856" t="s">
        <v>36</v>
      </c>
      <c r="K856">
        <v>12.5</v>
      </c>
      <c r="O856">
        <v>21.99</v>
      </c>
    </row>
    <row r="857" spans="1:15" x14ac:dyDescent="0.35">
      <c r="A857" t="s">
        <v>1164</v>
      </c>
      <c r="B857">
        <v>1</v>
      </c>
      <c r="C857">
        <v>18.989999999999998</v>
      </c>
      <c r="D857">
        <v>18.989999999999998</v>
      </c>
      <c r="E857" t="s">
        <v>760</v>
      </c>
      <c r="F857" t="s">
        <v>1722</v>
      </c>
      <c r="G857" t="s">
        <v>16</v>
      </c>
      <c r="H857">
        <v>19</v>
      </c>
      <c r="I857" t="s">
        <v>12</v>
      </c>
      <c r="J857" t="s">
        <v>42</v>
      </c>
      <c r="K857">
        <v>6</v>
      </c>
      <c r="O857">
        <v>21.99</v>
      </c>
    </row>
    <row r="858" spans="1:15" x14ac:dyDescent="0.35">
      <c r="A858" t="s">
        <v>1165</v>
      </c>
      <c r="B858">
        <v>1</v>
      </c>
      <c r="C858">
        <v>30.99</v>
      </c>
      <c r="D858">
        <v>30.99</v>
      </c>
      <c r="E858" t="s">
        <v>549</v>
      </c>
      <c r="F858" t="s">
        <v>1723</v>
      </c>
      <c r="G858" t="s">
        <v>21</v>
      </c>
      <c r="H858">
        <v>0</v>
      </c>
      <c r="I858" t="s">
        <v>12</v>
      </c>
      <c r="J858" t="s">
        <v>18</v>
      </c>
      <c r="K858">
        <v>10.5</v>
      </c>
      <c r="O858">
        <v>21.99</v>
      </c>
    </row>
    <row r="859" spans="1:15" x14ac:dyDescent="0.35">
      <c r="A859" t="s">
        <v>1166</v>
      </c>
      <c r="B859">
        <v>3</v>
      </c>
      <c r="C859">
        <v>27.99</v>
      </c>
      <c r="D859">
        <v>65.92</v>
      </c>
      <c r="E859" t="s">
        <v>1167</v>
      </c>
      <c r="F859" t="s">
        <v>1724</v>
      </c>
      <c r="G859" t="s">
        <v>16</v>
      </c>
      <c r="H859">
        <v>2</v>
      </c>
      <c r="I859" t="s">
        <v>17</v>
      </c>
      <c r="J859" t="s">
        <v>31</v>
      </c>
      <c r="K859">
        <v>9</v>
      </c>
      <c r="O859">
        <v>84.73</v>
      </c>
    </row>
    <row r="860" spans="1:15" x14ac:dyDescent="0.35">
      <c r="A860" t="s">
        <v>1168</v>
      </c>
      <c r="B860">
        <v>1</v>
      </c>
      <c r="C860">
        <v>18.989999999999998</v>
      </c>
      <c r="D860">
        <v>18.989999999999998</v>
      </c>
      <c r="E860" t="s">
        <v>1167</v>
      </c>
      <c r="F860" t="s">
        <v>1725</v>
      </c>
      <c r="G860" t="s">
        <v>16</v>
      </c>
      <c r="H860">
        <v>12</v>
      </c>
      <c r="I860" t="s">
        <v>17</v>
      </c>
      <c r="J860" t="s">
        <v>42</v>
      </c>
      <c r="K860">
        <v>6</v>
      </c>
      <c r="O860">
        <v>21.99</v>
      </c>
    </row>
    <row r="861" spans="1:15" x14ac:dyDescent="0.35">
      <c r="A861" t="s">
        <v>1169</v>
      </c>
      <c r="B861">
        <v>1</v>
      </c>
      <c r="C861">
        <v>34.99</v>
      </c>
      <c r="D861">
        <v>34.99</v>
      </c>
      <c r="E861" t="s">
        <v>214</v>
      </c>
      <c r="F861" t="s">
        <v>1726</v>
      </c>
      <c r="G861" t="s">
        <v>21</v>
      </c>
      <c r="H861">
        <v>0</v>
      </c>
      <c r="I861" t="s">
        <v>17</v>
      </c>
      <c r="J861" t="s">
        <v>36</v>
      </c>
      <c r="K861">
        <v>12.5</v>
      </c>
      <c r="O861">
        <v>21.99</v>
      </c>
    </row>
    <row r="862" spans="1:15" x14ac:dyDescent="0.35">
      <c r="A862" t="s">
        <v>1170</v>
      </c>
      <c r="B862">
        <v>1</v>
      </c>
      <c r="C862">
        <v>27.99</v>
      </c>
      <c r="D862">
        <v>27.99</v>
      </c>
      <c r="E862" t="s">
        <v>76</v>
      </c>
      <c r="F862" t="s">
        <v>1727</v>
      </c>
      <c r="G862" t="s">
        <v>28</v>
      </c>
      <c r="H862">
        <v>0</v>
      </c>
      <c r="I862" t="s">
        <v>24</v>
      </c>
      <c r="J862" t="s">
        <v>31</v>
      </c>
      <c r="K862">
        <v>9</v>
      </c>
      <c r="O862">
        <v>21.99</v>
      </c>
    </row>
    <row r="863" spans="1:15" x14ac:dyDescent="0.35">
      <c r="A863" t="s">
        <v>1171</v>
      </c>
      <c r="B863">
        <v>3</v>
      </c>
      <c r="C863">
        <v>30.99</v>
      </c>
      <c r="D863">
        <v>73.27</v>
      </c>
      <c r="E863" t="s">
        <v>1172</v>
      </c>
      <c r="F863" t="s">
        <v>1728</v>
      </c>
      <c r="G863" t="s">
        <v>28</v>
      </c>
      <c r="H863">
        <v>0</v>
      </c>
      <c r="I863" t="s">
        <v>17</v>
      </c>
      <c r="J863" t="s">
        <v>18</v>
      </c>
      <c r="K863">
        <v>10.5</v>
      </c>
      <c r="O863">
        <v>84.73</v>
      </c>
    </row>
    <row r="864" spans="1:15" x14ac:dyDescent="0.35">
      <c r="A864" t="s">
        <v>1173</v>
      </c>
      <c r="B864">
        <v>3</v>
      </c>
      <c r="C864">
        <v>16.989999999999998</v>
      </c>
      <c r="D864">
        <v>41.23</v>
      </c>
      <c r="E864" t="s">
        <v>1022</v>
      </c>
      <c r="F864" t="s">
        <v>1717</v>
      </c>
      <c r="G864" t="s">
        <v>16</v>
      </c>
      <c r="H864">
        <v>19</v>
      </c>
      <c r="I864" t="s">
        <v>41</v>
      </c>
      <c r="J864" t="s">
        <v>25</v>
      </c>
      <c r="K864">
        <v>5</v>
      </c>
      <c r="O864">
        <v>84.73</v>
      </c>
    </row>
    <row r="865" spans="1:15" x14ac:dyDescent="0.35">
      <c r="A865" t="s">
        <v>1174</v>
      </c>
      <c r="B865">
        <v>3</v>
      </c>
      <c r="C865">
        <v>34.99</v>
      </c>
      <c r="D865">
        <v>83.89</v>
      </c>
      <c r="E865" t="s">
        <v>122</v>
      </c>
      <c r="F865" t="s">
        <v>1718</v>
      </c>
      <c r="G865" t="s">
        <v>16</v>
      </c>
      <c r="H865">
        <v>5</v>
      </c>
      <c r="I865" t="s">
        <v>41</v>
      </c>
      <c r="J865" t="s">
        <v>36</v>
      </c>
      <c r="K865">
        <v>12.5</v>
      </c>
      <c r="O865">
        <v>84.73</v>
      </c>
    </row>
    <row r="866" spans="1:15" x14ac:dyDescent="0.35">
      <c r="A866" t="s">
        <v>1175</v>
      </c>
      <c r="B866">
        <v>1</v>
      </c>
      <c r="C866">
        <v>18.989999999999998</v>
      </c>
      <c r="D866">
        <v>18.989999999999998</v>
      </c>
      <c r="E866" t="s">
        <v>1176</v>
      </c>
      <c r="F866" t="s">
        <v>1719</v>
      </c>
      <c r="G866" t="s">
        <v>16</v>
      </c>
      <c r="H866">
        <v>11</v>
      </c>
      <c r="I866" t="s">
        <v>41</v>
      </c>
      <c r="J866" t="s">
        <v>42</v>
      </c>
      <c r="K866">
        <v>6</v>
      </c>
      <c r="O866">
        <v>21.99</v>
      </c>
    </row>
    <row r="867" spans="1:15" x14ac:dyDescent="0.35">
      <c r="A867" t="s">
        <v>1177</v>
      </c>
      <c r="B867">
        <v>1</v>
      </c>
      <c r="C867">
        <v>18.989999999999998</v>
      </c>
      <c r="D867">
        <v>18.989999999999998</v>
      </c>
      <c r="E867" t="s">
        <v>1084</v>
      </c>
      <c r="F867" t="s">
        <v>1720</v>
      </c>
      <c r="G867" t="s">
        <v>16</v>
      </c>
      <c r="H867">
        <v>14</v>
      </c>
      <c r="I867" t="s">
        <v>17</v>
      </c>
      <c r="J867" t="s">
        <v>42</v>
      </c>
      <c r="K867">
        <v>6</v>
      </c>
      <c r="O867">
        <v>21.99</v>
      </c>
    </row>
    <row r="868" spans="1:15" x14ac:dyDescent="0.35">
      <c r="A868" t="s">
        <v>1178</v>
      </c>
      <c r="B868">
        <v>1</v>
      </c>
      <c r="C868">
        <v>18.989999999999998</v>
      </c>
      <c r="D868">
        <v>18.989999999999998</v>
      </c>
      <c r="E868" t="s">
        <v>1179</v>
      </c>
      <c r="F868" t="s">
        <v>1721</v>
      </c>
      <c r="G868" t="s">
        <v>11</v>
      </c>
      <c r="H868">
        <v>11</v>
      </c>
      <c r="I868" t="s">
        <v>12</v>
      </c>
      <c r="J868" t="s">
        <v>42</v>
      </c>
      <c r="K868">
        <v>6</v>
      </c>
      <c r="O868">
        <v>21.99</v>
      </c>
    </row>
    <row r="869" spans="1:15" x14ac:dyDescent="0.35">
      <c r="A869" t="s">
        <v>1180</v>
      </c>
      <c r="B869">
        <v>1</v>
      </c>
      <c r="C869">
        <v>34.99</v>
      </c>
      <c r="D869">
        <v>34.99</v>
      </c>
      <c r="E869" t="s">
        <v>122</v>
      </c>
      <c r="F869" t="s">
        <v>1722</v>
      </c>
      <c r="G869" t="s">
        <v>21</v>
      </c>
      <c r="H869">
        <v>0</v>
      </c>
      <c r="I869" t="s">
        <v>17</v>
      </c>
      <c r="J869" t="s">
        <v>36</v>
      </c>
      <c r="K869">
        <v>12.5</v>
      </c>
      <c r="O869">
        <v>21.99</v>
      </c>
    </row>
    <row r="870" spans="1:15" x14ac:dyDescent="0.35">
      <c r="A870" t="s">
        <v>1181</v>
      </c>
      <c r="B870">
        <v>2</v>
      </c>
      <c r="C870">
        <v>30.99</v>
      </c>
      <c r="D870">
        <v>54.18</v>
      </c>
      <c r="E870" t="s">
        <v>732</v>
      </c>
      <c r="F870" t="s">
        <v>1723</v>
      </c>
      <c r="G870" t="s">
        <v>16</v>
      </c>
      <c r="H870">
        <v>2</v>
      </c>
      <c r="I870" t="s">
        <v>17</v>
      </c>
      <c r="J870" t="s">
        <v>18</v>
      </c>
      <c r="K870">
        <v>10.5</v>
      </c>
      <c r="O870">
        <v>37.979999999999997</v>
      </c>
    </row>
    <row r="871" spans="1:15" x14ac:dyDescent="0.35">
      <c r="A871" t="s">
        <v>1182</v>
      </c>
      <c r="B871">
        <v>1</v>
      </c>
      <c r="C871">
        <v>30.99</v>
      </c>
      <c r="D871">
        <v>30.99</v>
      </c>
      <c r="E871" t="s">
        <v>701</v>
      </c>
      <c r="F871" t="s">
        <v>1724</v>
      </c>
      <c r="G871" t="s">
        <v>11</v>
      </c>
      <c r="H871">
        <v>3</v>
      </c>
      <c r="I871" t="s">
        <v>12</v>
      </c>
      <c r="J871" t="s">
        <v>18</v>
      </c>
      <c r="K871">
        <v>10.5</v>
      </c>
      <c r="O871">
        <v>21.99</v>
      </c>
    </row>
    <row r="872" spans="1:15" x14ac:dyDescent="0.35">
      <c r="A872" t="s">
        <v>1183</v>
      </c>
      <c r="B872">
        <v>1</v>
      </c>
      <c r="C872">
        <v>34.99</v>
      </c>
      <c r="D872">
        <v>34.99</v>
      </c>
      <c r="E872" t="s">
        <v>865</v>
      </c>
      <c r="F872" t="s">
        <v>1725</v>
      </c>
      <c r="G872" t="s">
        <v>16</v>
      </c>
      <c r="H872">
        <v>8</v>
      </c>
      <c r="I872" t="s">
        <v>24</v>
      </c>
      <c r="J872" t="s">
        <v>36</v>
      </c>
      <c r="K872">
        <v>12.5</v>
      </c>
      <c r="O872">
        <v>21.99</v>
      </c>
    </row>
    <row r="873" spans="1:15" x14ac:dyDescent="0.35">
      <c r="A873" t="s">
        <v>1184</v>
      </c>
      <c r="B873">
        <v>1</v>
      </c>
      <c r="C873">
        <v>34.99</v>
      </c>
      <c r="D873">
        <v>34.99</v>
      </c>
      <c r="E873" t="s">
        <v>1185</v>
      </c>
      <c r="F873" t="s">
        <v>1726</v>
      </c>
      <c r="G873" t="s">
        <v>16</v>
      </c>
      <c r="H873">
        <v>8</v>
      </c>
      <c r="I873" t="s">
        <v>41</v>
      </c>
      <c r="J873" t="s">
        <v>36</v>
      </c>
      <c r="K873">
        <v>12.5</v>
      </c>
      <c r="O873">
        <v>21.99</v>
      </c>
    </row>
    <row r="874" spans="1:15" x14ac:dyDescent="0.35">
      <c r="A874" t="s">
        <v>1186</v>
      </c>
      <c r="B874">
        <v>1</v>
      </c>
      <c r="C874">
        <v>16.989999999999998</v>
      </c>
      <c r="D874">
        <v>16.989999999999998</v>
      </c>
      <c r="E874" t="s">
        <v>511</v>
      </c>
      <c r="F874" t="s">
        <v>1727</v>
      </c>
      <c r="G874" t="s">
        <v>87</v>
      </c>
      <c r="H874">
        <v>0</v>
      </c>
      <c r="I874" t="s">
        <v>17</v>
      </c>
      <c r="J874" t="s">
        <v>25</v>
      </c>
      <c r="K874">
        <v>5</v>
      </c>
      <c r="O874">
        <v>21.99</v>
      </c>
    </row>
    <row r="875" spans="1:15" x14ac:dyDescent="0.35">
      <c r="A875" t="s">
        <v>1187</v>
      </c>
      <c r="B875">
        <v>1</v>
      </c>
      <c r="C875">
        <v>18.989999999999998</v>
      </c>
      <c r="D875">
        <v>18.989999999999998</v>
      </c>
      <c r="E875" t="s">
        <v>921</v>
      </c>
      <c r="F875" t="s">
        <v>1728</v>
      </c>
      <c r="G875" t="s">
        <v>28</v>
      </c>
      <c r="H875">
        <v>0</v>
      </c>
      <c r="I875" t="s">
        <v>17</v>
      </c>
      <c r="J875" t="s">
        <v>42</v>
      </c>
      <c r="K875">
        <v>6</v>
      </c>
      <c r="O875">
        <v>21.99</v>
      </c>
    </row>
    <row r="876" spans="1:15" x14ac:dyDescent="0.35">
      <c r="A876" t="s">
        <v>1188</v>
      </c>
      <c r="B876">
        <v>1</v>
      </c>
      <c r="C876">
        <v>18.989999999999998</v>
      </c>
      <c r="D876">
        <v>18.989999999999998</v>
      </c>
      <c r="E876" t="s">
        <v>814</v>
      </c>
      <c r="F876" t="s">
        <v>1717</v>
      </c>
      <c r="G876" t="s">
        <v>16</v>
      </c>
      <c r="H876">
        <v>15</v>
      </c>
      <c r="I876" t="s">
        <v>17</v>
      </c>
      <c r="J876" t="s">
        <v>42</v>
      </c>
      <c r="K876">
        <v>6</v>
      </c>
      <c r="O876">
        <v>21.99</v>
      </c>
    </row>
    <row r="877" spans="1:15" x14ac:dyDescent="0.35">
      <c r="A877" t="s">
        <v>1189</v>
      </c>
      <c r="B877">
        <v>3</v>
      </c>
      <c r="C877">
        <v>21.99</v>
      </c>
      <c r="D877">
        <v>53.16</v>
      </c>
      <c r="E877" t="s">
        <v>636</v>
      </c>
      <c r="F877" t="s">
        <v>1718</v>
      </c>
      <c r="G877" t="s">
        <v>16</v>
      </c>
      <c r="H877">
        <v>6</v>
      </c>
      <c r="I877" t="s">
        <v>24</v>
      </c>
      <c r="J877" t="s">
        <v>13</v>
      </c>
      <c r="K877">
        <v>7</v>
      </c>
      <c r="O877">
        <v>84.73</v>
      </c>
    </row>
    <row r="878" spans="1:15" x14ac:dyDescent="0.35">
      <c r="A878" t="s">
        <v>1190</v>
      </c>
      <c r="B878">
        <v>3</v>
      </c>
      <c r="C878">
        <v>18.989999999999998</v>
      </c>
      <c r="D878">
        <v>45.8</v>
      </c>
      <c r="E878" t="s">
        <v>84</v>
      </c>
      <c r="F878" t="s">
        <v>1719</v>
      </c>
      <c r="G878" t="s">
        <v>16</v>
      </c>
      <c r="H878">
        <v>20</v>
      </c>
      <c r="I878" t="s">
        <v>12</v>
      </c>
      <c r="J878" t="s">
        <v>42</v>
      </c>
      <c r="K878">
        <v>6</v>
      </c>
      <c r="O878">
        <v>84.73</v>
      </c>
    </row>
    <row r="879" spans="1:15" x14ac:dyDescent="0.35">
      <c r="A879" t="s">
        <v>1191</v>
      </c>
      <c r="B879">
        <v>1</v>
      </c>
      <c r="C879">
        <v>18.989999999999998</v>
      </c>
      <c r="D879">
        <v>18.989999999999998</v>
      </c>
      <c r="E879" t="s">
        <v>162</v>
      </c>
      <c r="F879" t="s">
        <v>1720</v>
      </c>
      <c r="G879" t="s">
        <v>16</v>
      </c>
      <c r="H879">
        <v>15</v>
      </c>
      <c r="I879" t="s">
        <v>17</v>
      </c>
      <c r="J879" t="s">
        <v>42</v>
      </c>
      <c r="K879">
        <v>6</v>
      </c>
      <c r="O879">
        <v>21.99</v>
      </c>
    </row>
    <row r="880" spans="1:15" x14ac:dyDescent="0.35">
      <c r="A880" t="s">
        <v>1192</v>
      </c>
      <c r="B880">
        <v>1</v>
      </c>
      <c r="C880">
        <v>16.989999999999998</v>
      </c>
      <c r="D880">
        <v>16.989999999999998</v>
      </c>
      <c r="E880" t="s">
        <v>1193</v>
      </c>
      <c r="F880" t="s">
        <v>1721</v>
      </c>
      <c r="G880" t="s">
        <v>11</v>
      </c>
      <c r="H880">
        <v>16</v>
      </c>
      <c r="I880" t="s">
        <v>24</v>
      </c>
      <c r="J880" t="s">
        <v>25</v>
      </c>
      <c r="K880">
        <v>5</v>
      </c>
      <c r="O880">
        <v>21.99</v>
      </c>
    </row>
    <row r="881" spans="1:15" x14ac:dyDescent="0.35">
      <c r="A881" t="s">
        <v>1194</v>
      </c>
      <c r="B881">
        <v>1</v>
      </c>
      <c r="C881">
        <v>18.989999999999998</v>
      </c>
      <c r="D881">
        <v>18.989999999999998</v>
      </c>
      <c r="E881" t="s">
        <v>108</v>
      </c>
      <c r="F881" t="s">
        <v>1722</v>
      </c>
      <c r="G881" t="s">
        <v>28</v>
      </c>
      <c r="H881">
        <v>0</v>
      </c>
      <c r="I881" t="s">
        <v>24</v>
      </c>
      <c r="J881" t="s">
        <v>42</v>
      </c>
      <c r="K881">
        <v>6</v>
      </c>
      <c r="O881">
        <v>21.99</v>
      </c>
    </row>
    <row r="882" spans="1:15" x14ac:dyDescent="0.35">
      <c r="A882" t="s">
        <v>1195</v>
      </c>
      <c r="B882">
        <v>1</v>
      </c>
      <c r="C882">
        <v>34.99</v>
      </c>
      <c r="D882">
        <v>34.99</v>
      </c>
      <c r="E882" t="s">
        <v>1196</v>
      </c>
      <c r="F882" t="s">
        <v>1723</v>
      </c>
      <c r="G882" t="s">
        <v>16</v>
      </c>
      <c r="H882">
        <v>8</v>
      </c>
      <c r="I882" t="s">
        <v>17</v>
      </c>
      <c r="J882" t="s">
        <v>36</v>
      </c>
      <c r="K882">
        <v>12.5</v>
      </c>
      <c r="O882">
        <v>21.99</v>
      </c>
    </row>
    <row r="883" spans="1:15" x14ac:dyDescent="0.35">
      <c r="A883" t="s">
        <v>1197</v>
      </c>
      <c r="B883">
        <v>1</v>
      </c>
      <c r="C883">
        <v>30.99</v>
      </c>
      <c r="D883">
        <v>30.99</v>
      </c>
      <c r="E883" t="s">
        <v>110</v>
      </c>
      <c r="F883" t="s">
        <v>1724</v>
      </c>
      <c r="G883" t="s">
        <v>21</v>
      </c>
      <c r="H883">
        <v>0</v>
      </c>
      <c r="I883" t="s">
        <v>12</v>
      </c>
      <c r="J883" t="s">
        <v>18</v>
      </c>
      <c r="K883">
        <v>10.5</v>
      </c>
      <c r="O883">
        <v>21.99</v>
      </c>
    </row>
    <row r="884" spans="1:15" x14ac:dyDescent="0.35">
      <c r="A884" t="s">
        <v>1198</v>
      </c>
      <c r="B884">
        <v>1</v>
      </c>
      <c r="C884">
        <v>16.989999999999998</v>
      </c>
      <c r="D884">
        <v>16.989999999999998</v>
      </c>
      <c r="E884" t="s">
        <v>527</v>
      </c>
      <c r="F884" t="s">
        <v>1725</v>
      </c>
      <c r="G884" t="s">
        <v>16</v>
      </c>
      <c r="H884">
        <v>17</v>
      </c>
      <c r="I884" t="s">
        <v>12</v>
      </c>
      <c r="J884" t="s">
        <v>25</v>
      </c>
      <c r="K884">
        <v>5</v>
      </c>
      <c r="O884">
        <v>21.99</v>
      </c>
    </row>
    <row r="885" spans="1:15" x14ac:dyDescent="0.35">
      <c r="A885" t="s">
        <v>1199</v>
      </c>
      <c r="B885">
        <v>2</v>
      </c>
      <c r="C885">
        <v>16.989999999999998</v>
      </c>
      <c r="D885">
        <v>29.71</v>
      </c>
      <c r="E885" t="s">
        <v>541</v>
      </c>
      <c r="F885" t="s">
        <v>1726</v>
      </c>
      <c r="G885" t="s">
        <v>16</v>
      </c>
      <c r="H885">
        <v>17</v>
      </c>
      <c r="I885" t="s">
        <v>17</v>
      </c>
      <c r="J885" t="s">
        <v>25</v>
      </c>
      <c r="K885">
        <v>5</v>
      </c>
      <c r="O885">
        <v>37.979999999999997</v>
      </c>
    </row>
    <row r="886" spans="1:15" x14ac:dyDescent="0.35">
      <c r="A886" t="s">
        <v>1200</v>
      </c>
      <c r="B886">
        <v>1</v>
      </c>
      <c r="C886">
        <v>30.99</v>
      </c>
      <c r="D886">
        <v>30.99</v>
      </c>
      <c r="E886" t="s">
        <v>108</v>
      </c>
      <c r="F886" t="s">
        <v>1727</v>
      </c>
      <c r="G886" t="s">
        <v>21</v>
      </c>
      <c r="H886">
        <v>0</v>
      </c>
      <c r="I886" t="s">
        <v>41</v>
      </c>
      <c r="J886" t="s">
        <v>18</v>
      </c>
      <c r="K886">
        <v>10.5</v>
      </c>
      <c r="O886">
        <v>21.99</v>
      </c>
    </row>
    <row r="887" spans="1:15" x14ac:dyDescent="0.35">
      <c r="A887" t="s">
        <v>1201</v>
      </c>
      <c r="B887">
        <v>1</v>
      </c>
      <c r="C887">
        <v>30.99</v>
      </c>
      <c r="D887">
        <v>30.99</v>
      </c>
      <c r="E887" t="s">
        <v>470</v>
      </c>
      <c r="F887" t="s">
        <v>1728</v>
      </c>
      <c r="G887" t="s">
        <v>16</v>
      </c>
      <c r="H887">
        <v>2</v>
      </c>
      <c r="I887" t="s">
        <v>41</v>
      </c>
      <c r="J887" t="s">
        <v>18</v>
      </c>
      <c r="K887">
        <v>10.5</v>
      </c>
      <c r="O887">
        <v>21.99</v>
      </c>
    </row>
    <row r="888" spans="1:15" x14ac:dyDescent="0.35">
      <c r="A888" t="s">
        <v>1202</v>
      </c>
      <c r="B888">
        <v>1</v>
      </c>
      <c r="C888">
        <v>21.99</v>
      </c>
      <c r="D888">
        <v>21.99</v>
      </c>
      <c r="E888" t="s">
        <v>903</v>
      </c>
      <c r="F888" t="s">
        <v>1717</v>
      </c>
      <c r="G888" t="s">
        <v>16</v>
      </c>
      <c r="H888">
        <v>3</v>
      </c>
      <c r="I888" t="s">
        <v>12</v>
      </c>
      <c r="J888" t="s">
        <v>13</v>
      </c>
      <c r="K888">
        <v>7</v>
      </c>
      <c r="O888">
        <v>21.99</v>
      </c>
    </row>
    <row r="889" spans="1:15" x14ac:dyDescent="0.35">
      <c r="A889" t="s">
        <v>1203</v>
      </c>
      <c r="B889">
        <v>1</v>
      </c>
      <c r="C889">
        <v>30.99</v>
      </c>
      <c r="D889">
        <v>30.99</v>
      </c>
      <c r="E889" t="s">
        <v>736</v>
      </c>
      <c r="F889" t="s">
        <v>1718</v>
      </c>
      <c r="G889" t="s">
        <v>16</v>
      </c>
      <c r="H889">
        <v>2</v>
      </c>
      <c r="I889" t="s">
        <v>17</v>
      </c>
      <c r="J889" t="s">
        <v>18</v>
      </c>
      <c r="K889">
        <v>10.5</v>
      </c>
      <c r="O889">
        <v>21.99</v>
      </c>
    </row>
    <row r="890" spans="1:15" x14ac:dyDescent="0.35">
      <c r="A890" t="s">
        <v>1204</v>
      </c>
      <c r="B890">
        <v>1</v>
      </c>
      <c r="C890">
        <v>21.99</v>
      </c>
      <c r="D890">
        <v>21.99</v>
      </c>
      <c r="E890" t="s">
        <v>427</v>
      </c>
      <c r="F890" t="s">
        <v>1719</v>
      </c>
      <c r="G890" t="s">
        <v>16</v>
      </c>
      <c r="H890">
        <v>3</v>
      </c>
      <c r="I890" t="s">
        <v>24</v>
      </c>
      <c r="J890" t="s">
        <v>13</v>
      </c>
      <c r="K890">
        <v>7</v>
      </c>
      <c r="O890">
        <v>21.99</v>
      </c>
    </row>
    <row r="891" spans="1:15" x14ac:dyDescent="0.35">
      <c r="A891" t="s">
        <v>1205</v>
      </c>
      <c r="B891">
        <v>1</v>
      </c>
      <c r="C891">
        <v>34.99</v>
      </c>
      <c r="D891">
        <v>34.99</v>
      </c>
      <c r="E891" t="s">
        <v>465</v>
      </c>
      <c r="F891" t="s">
        <v>1720</v>
      </c>
      <c r="G891" t="s">
        <v>11</v>
      </c>
      <c r="H891">
        <v>5</v>
      </c>
      <c r="I891" t="s">
        <v>17</v>
      </c>
      <c r="J891" t="s">
        <v>36</v>
      </c>
      <c r="K891">
        <v>12.5</v>
      </c>
      <c r="O891">
        <v>21.99</v>
      </c>
    </row>
    <row r="892" spans="1:15" x14ac:dyDescent="0.35">
      <c r="A892" t="s">
        <v>1206</v>
      </c>
      <c r="B892">
        <v>1</v>
      </c>
      <c r="C892">
        <v>21.99</v>
      </c>
      <c r="D892">
        <v>21.99</v>
      </c>
      <c r="E892" t="s">
        <v>527</v>
      </c>
      <c r="F892" t="s">
        <v>1721</v>
      </c>
      <c r="G892" t="s">
        <v>21</v>
      </c>
      <c r="H892">
        <v>0</v>
      </c>
      <c r="I892" t="s">
        <v>12</v>
      </c>
      <c r="J892" t="s">
        <v>13</v>
      </c>
      <c r="K892">
        <v>7</v>
      </c>
      <c r="O892">
        <v>21.99</v>
      </c>
    </row>
    <row r="893" spans="1:15" x14ac:dyDescent="0.35">
      <c r="A893" t="s">
        <v>1207</v>
      </c>
      <c r="B893">
        <v>1</v>
      </c>
      <c r="C893">
        <v>34.99</v>
      </c>
      <c r="D893">
        <v>34.99</v>
      </c>
      <c r="E893" t="s">
        <v>511</v>
      </c>
      <c r="F893" t="s">
        <v>1722</v>
      </c>
      <c r="G893" t="s">
        <v>16</v>
      </c>
      <c r="H893">
        <v>8</v>
      </c>
      <c r="I893" t="s">
        <v>12</v>
      </c>
      <c r="J893" t="s">
        <v>36</v>
      </c>
      <c r="K893">
        <v>12.5</v>
      </c>
      <c r="O893">
        <v>21.99</v>
      </c>
    </row>
    <row r="894" spans="1:15" x14ac:dyDescent="0.35">
      <c r="A894" t="s">
        <v>1208</v>
      </c>
      <c r="B894">
        <v>2</v>
      </c>
      <c r="C894">
        <v>34.99</v>
      </c>
      <c r="D894">
        <v>61.09</v>
      </c>
      <c r="E894" t="s">
        <v>1209</v>
      </c>
      <c r="F894" t="s">
        <v>1723</v>
      </c>
      <c r="G894" t="s">
        <v>16</v>
      </c>
      <c r="H894">
        <v>8</v>
      </c>
      <c r="I894" t="s">
        <v>24</v>
      </c>
      <c r="J894" t="s">
        <v>36</v>
      </c>
      <c r="K894">
        <v>12.5</v>
      </c>
      <c r="O894">
        <v>37.979999999999997</v>
      </c>
    </row>
    <row r="895" spans="1:15" x14ac:dyDescent="0.35">
      <c r="A895" t="s">
        <v>1210</v>
      </c>
      <c r="B895">
        <v>1</v>
      </c>
      <c r="C895">
        <v>21.99</v>
      </c>
      <c r="D895">
        <v>21.99</v>
      </c>
      <c r="E895" t="s">
        <v>86</v>
      </c>
      <c r="F895" t="s">
        <v>1724</v>
      </c>
      <c r="G895" t="s">
        <v>16</v>
      </c>
      <c r="H895">
        <v>3</v>
      </c>
      <c r="I895" t="s">
        <v>41</v>
      </c>
      <c r="J895" t="s">
        <v>13</v>
      </c>
      <c r="K895">
        <v>7</v>
      </c>
      <c r="O895">
        <v>21.99</v>
      </c>
    </row>
    <row r="896" spans="1:15" x14ac:dyDescent="0.35">
      <c r="A896" t="s">
        <v>1211</v>
      </c>
      <c r="B896">
        <v>2</v>
      </c>
      <c r="C896">
        <v>16.989999999999998</v>
      </c>
      <c r="D896">
        <v>29.26</v>
      </c>
      <c r="E896" t="s">
        <v>1084</v>
      </c>
      <c r="F896" t="s">
        <v>1725</v>
      </c>
      <c r="G896" t="s">
        <v>16</v>
      </c>
      <c r="H896">
        <v>19</v>
      </c>
      <c r="I896" t="s">
        <v>41</v>
      </c>
      <c r="J896" t="s">
        <v>25</v>
      </c>
      <c r="K896">
        <v>5</v>
      </c>
      <c r="O896">
        <v>37.979999999999997</v>
      </c>
    </row>
    <row r="897" spans="1:15" x14ac:dyDescent="0.35">
      <c r="A897" t="s">
        <v>1212</v>
      </c>
      <c r="B897">
        <v>1</v>
      </c>
      <c r="C897">
        <v>27.99</v>
      </c>
      <c r="D897">
        <v>27.99</v>
      </c>
      <c r="E897" t="s">
        <v>496</v>
      </c>
      <c r="F897" t="s">
        <v>1726</v>
      </c>
      <c r="G897" t="s">
        <v>16</v>
      </c>
      <c r="H897">
        <v>2</v>
      </c>
      <c r="I897" t="s">
        <v>24</v>
      </c>
      <c r="J897" t="s">
        <v>31</v>
      </c>
      <c r="K897">
        <v>9</v>
      </c>
      <c r="O897">
        <v>21.99</v>
      </c>
    </row>
    <row r="898" spans="1:15" x14ac:dyDescent="0.35">
      <c r="A898" t="s">
        <v>1213</v>
      </c>
      <c r="B898">
        <v>1</v>
      </c>
      <c r="C898">
        <v>30.99</v>
      </c>
      <c r="D898">
        <v>30.99</v>
      </c>
      <c r="E898" t="s">
        <v>110</v>
      </c>
      <c r="F898" t="s">
        <v>1727</v>
      </c>
      <c r="G898" t="s">
        <v>16</v>
      </c>
      <c r="H898">
        <v>2</v>
      </c>
      <c r="I898" t="s">
        <v>17</v>
      </c>
      <c r="J898" t="s">
        <v>18</v>
      </c>
      <c r="K898">
        <v>10.5</v>
      </c>
      <c r="O898">
        <v>21.99</v>
      </c>
    </row>
    <row r="899" spans="1:15" x14ac:dyDescent="0.35">
      <c r="A899" t="s">
        <v>1214</v>
      </c>
      <c r="B899">
        <v>3</v>
      </c>
      <c r="C899">
        <v>27.99</v>
      </c>
      <c r="D899">
        <v>67.02</v>
      </c>
      <c r="E899" t="s">
        <v>27</v>
      </c>
      <c r="F899" t="s">
        <v>1728</v>
      </c>
      <c r="G899" t="s">
        <v>16</v>
      </c>
      <c r="H899">
        <v>3</v>
      </c>
      <c r="I899" t="s">
        <v>17</v>
      </c>
      <c r="J899" t="s">
        <v>31</v>
      </c>
      <c r="K899">
        <v>9</v>
      </c>
      <c r="O899">
        <v>84.73</v>
      </c>
    </row>
    <row r="900" spans="1:15" x14ac:dyDescent="0.35">
      <c r="A900" t="s">
        <v>1215</v>
      </c>
      <c r="B900">
        <v>3</v>
      </c>
      <c r="C900">
        <v>30.99</v>
      </c>
      <c r="D900">
        <v>73.319999999999993</v>
      </c>
      <c r="E900" t="s">
        <v>699</v>
      </c>
      <c r="F900" t="s">
        <v>1717</v>
      </c>
      <c r="G900" t="s">
        <v>87</v>
      </c>
      <c r="H900">
        <v>0</v>
      </c>
      <c r="I900" t="s">
        <v>17</v>
      </c>
      <c r="J900" t="s">
        <v>18</v>
      </c>
      <c r="K900">
        <v>10.5</v>
      </c>
      <c r="O900">
        <v>84.73</v>
      </c>
    </row>
    <row r="901" spans="1:15" x14ac:dyDescent="0.35">
      <c r="A901" t="s">
        <v>1216</v>
      </c>
      <c r="B901">
        <v>1</v>
      </c>
      <c r="C901">
        <v>16.989999999999998</v>
      </c>
      <c r="D901">
        <v>16.989999999999998</v>
      </c>
      <c r="E901" t="s">
        <v>1217</v>
      </c>
      <c r="F901" t="s">
        <v>1718</v>
      </c>
      <c r="G901" t="s">
        <v>16</v>
      </c>
      <c r="H901">
        <v>16</v>
      </c>
      <c r="I901" t="s">
        <v>17</v>
      </c>
      <c r="J901" t="s">
        <v>25</v>
      </c>
      <c r="K901">
        <v>5</v>
      </c>
      <c r="O901">
        <v>21.99</v>
      </c>
    </row>
    <row r="902" spans="1:15" x14ac:dyDescent="0.35">
      <c r="A902" t="s">
        <v>1218</v>
      </c>
      <c r="B902">
        <v>3</v>
      </c>
      <c r="C902">
        <v>27.99</v>
      </c>
      <c r="D902">
        <v>67.39</v>
      </c>
      <c r="E902" t="s">
        <v>82</v>
      </c>
      <c r="F902" t="s">
        <v>1719</v>
      </c>
      <c r="G902" t="s">
        <v>16</v>
      </c>
      <c r="H902">
        <v>2</v>
      </c>
      <c r="I902" t="s">
        <v>41</v>
      </c>
      <c r="J902" t="s">
        <v>31</v>
      </c>
      <c r="K902">
        <v>9</v>
      </c>
      <c r="O902">
        <v>84.73</v>
      </c>
    </row>
    <row r="903" spans="1:15" x14ac:dyDescent="0.35">
      <c r="A903" t="s">
        <v>1219</v>
      </c>
      <c r="B903">
        <v>3</v>
      </c>
      <c r="C903">
        <v>18.989999999999998</v>
      </c>
      <c r="D903">
        <v>45.14</v>
      </c>
      <c r="E903" t="s">
        <v>176</v>
      </c>
      <c r="F903" t="s">
        <v>1720</v>
      </c>
      <c r="G903" t="s">
        <v>16</v>
      </c>
      <c r="H903">
        <v>19</v>
      </c>
      <c r="I903" t="s">
        <v>41</v>
      </c>
      <c r="J903" t="s">
        <v>42</v>
      </c>
      <c r="K903">
        <v>6</v>
      </c>
      <c r="O903">
        <v>84.73</v>
      </c>
    </row>
    <row r="904" spans="1:15" x14ac:dyDescent="0.35">
      <c r="A904" t="s">
        <v>1220</v>
      </c>
      <c r="B904">
        <v>1</v>
      </c>
      <c r="C904">
        <v>30.99</v>
      </c>
      <c r="D904">
        <v>30.99</v>
      </c>
      <c r="E904" t="s">
        <v>681</v>
      </c>
      <c r="F904" t="s">
        <v>1721</v>
      </c>
      <c r="G904" t="s">
        <v>16</v>
      </c>
      <c r="H904">
        <v>3</v>
      </c>
      <c r="I904" t="s">
        <v>17</v>
      </c>
      <c r="J904" t="s">
        <v>18</v>
      </c>
      <c r="K904">
        <v>10.5</v>
      </c>
      <c r="O904">
        <v>21.99</v>
      </c>
    </row>
    <row r="905" spans="1:15" x14ac:dyDescent="0.35">
      <c r="A905" t="s">
        <v>1221</v>
      </c>
      <c r="B905">
        <v>1</v>
      </c>
      <c r="C905">
        <v>34.99</v>
      </c>
      <c r="D905">
        <v>34.99</v>
      </c>
      <c r="E905" t="s">
        <v>541</v>
      </c>
      <c r="F905" t="s">
        <v>1722</v>
      </c>
      <c r="G905" t="s">
        <v>21</v>
      </c>
      <c r="H905">
        <v>0</v>
      </c>
      <c r="I905" t="s">
        <v>41</v>
      </c>
      <c r="J905" t="s">
        <v>36</v>
      </c>
      <c r="K905">
        <v>12.5</v>
      </c>
      <c r="O905">
        <v>21.99</v>
      </c>
    </row>
    <row r="906" spans="1:15" x14ac:dyDescent="0.35">
      <c r="A906" t="s">
        <v>1222</v>
      </c>
      <c r="B906">
        <v>3</v>
      </c>
      <c r="C906">
        <v>34.99</v>
      </c>
      <c r="D906">
        <v>83.76</v>
      </c>
      <c r="E906" t="s">
        <v>547</v>
      </c>
      <c r="F906" t="s">
        <v>1723</v>
      </c>
      <c r="G906" t="s">
        <v>16</v>
      </c>
      <c r="H906">
        <v>8</v>
      </c>
      <c r="I906" t="s">
        <v>12</v>
      </c>
      <c r="J906" t="s">
        <v>36</v>
      </c>
      <c r="K906">
        <v>12.5</v>
      </c>
      <c r="O906">
        <v>84.73</v>
      </c>
    </row>
    <row r="907" spans="1:15" x14ac:dyDescent="0.35">
      <c r="A907" t="s">
        <v>1223</v>
      </c>
      <c r="B907">
        <v>2</v>
      </c>
      <c r="C907">
        <v>27.99</v>
      </c>
      <c r="D907">
        <v>48.78</v>
      </c>
      <c r="E907" t="s">
        <v>76</v>
      </c>
      <c r="F907" t="s">
        <v>1724</v>
      </c>
      <c r="G907" t="s">
        <v>16</v>
      </c>
      <c r="H907">
        <v>2</v>
      </c>
      <c r="I907" t="s">
        <v>41</v>
      </c>
      <c r="J907" t="s">
        <v>31</v>
      </c>
      <c r="K907">
        <v>9</v>
      </c>
      <c r="O907">
        <v>37.979999999999997</v>
      </c>
    </row>
    <row r="908" spans="1:15" x14ac:dyDescent="0.35">
      <c r="A908" t="s">
        <v>1224</v>
      </c>
      <c r="B908">
        <v>1</v>
      </c>
      <c r="C908">
        <v>30.99</v>
      </c>
      <c r="D908">
        <v>30.99</v>
      </c>
      <c r="E908" t="s">
        <v>627</v>
      </c>
      <c r="F908" t="s">
        <v>1725</v>
      </c>
      <c r="G908" t="s">
        <v>16</v>
      </c>
      <c r="H908">
        <v>6</v>
      </c>
      <c r="I908" t="s">
        <v>41</v>
      </c>
      <c r="J908" t="s">
        <v>18</v>
      </c>
      <c r="K908">
        <v>10.5</v>
      </c>
      <c r="O908">
        <v>21.99</v>
      </c>
    </row>
    <row r="909" spans="1:15" x14ac:dyDescent="0.35">
      <c r="A909" t="s">
        <v>1225</v>
      </c>
      <c r="B909">
        <v>1</v>
      </c>
      <c r="C909">
        <v>27.99</v>
      </c>
      <c r="D909">
        <v>27.99</v>
      </c>
      <c r="E909" t="s">
        <v>134</v>
      </c>
      <c r="F909" t="s">
        <v>1726</v>
      </c>
      <c r="G909" t="s">
        <v>16</v>
      </c>
      <c r="H909">
        <v>6</v>
      </c>
      <c r="I909" t="s">
        <v>24</v>
      </c>
      <c r="J909" t="s">
        <v>31</v>
      </c>
      <c r="K909">
        <v>9</v>
      </c>
      <c r="O909">
        <v>21.99</v>
      </c>
    </row>
    <row r="910" spans="1:15" x14ac:dyDescent="0.35">
      <c r="A910" t="s">
        <v>1226</v>
      </c>
      <c r="B910">
        <v>3</v>
      </c>
      <c r="C910">
        <v>27.99</v>
      </c>
      <c r="D910">
        <v>65.98</v>
      </c>
      <c r="E910" s="6">
        <v>46259</v>
      </c>
      <c r="F910" t="s">
        <v>1727</v>
      </c>
      <c r="G910" t="s">
        <v>21</v>
      </c>
      <c r="H910">
        <v>0</v>
      </c>
      <c r="I910" t="s">
        <v>17</v>
      </c>
      <c r="J910" t="s">
        <v>31</v>
      </c>
      <c r="K910">
        <v>9</v>
      </c>
      <c r="O910">
        <v>84.73</v>
      </c>
    </row>
    <row r="911" spans="1:15" x14ac:dyDescent="0.35">
      <c r="A911" t="s">
        <v>1227</v>
      </c>
      <c r="B911">
        <v>1</v>
      </c>
      <c r="C911">
        <v>27.99</v>
      </c>
      <c r="D911">
        <v>27.99</v>
      </c>
      <c r="E911" s="6">
        <v>46162</v>
      </c>
      <c r="F911" t="s">
        <v>1728</v>
      </c>
      <c r="G911" t="s">
        <v>28</v>
      </c>
      <c r="H911">
        <v>0</v>
      </c>
      <c r="I911" t="s">
        <v>17</v>
      </c>
      <c r="J911" t="s">
        <v>31</v>
      </c>
      <c r="K911">
        <v>9</v>
      </c>
      <c r="O911">
        <v>21.99</v>
      </c>
    </row>
    <row r="912" spans="1:15" x14ac:dyDescent="0.35">
      <c r="A912" t="s">
        <v>1228</v>
      </c>
      <c r="B912">
        <v>1</v>
      </c>
      <c r="C912">
        <v>21.99</v>
      </c>
      <c r="D912">
        <v>21.99</v>
      </c>
      <c r="E912" t="s">
        <v>1125</v>
      </c>
      <c r="F912" t="s">
        <v>1717</v>
      </c>
      <c r="G912" t="s">
        <v>16</v>
      </c>
      <c r="H912">
        <v>3</v>
      </c>
      <c r="I912" t="s">
        <v>17</v>
      </c>
      <c r="J912" t="s">
        <v>13</v>
      </c>
      <c r="K912">
        <v>7</v>
      </c>
      <c r="O912">
        <v>21.99</v>
      </c>
    </row>
    <row r="913" spans="1:15" x14ac:dyDescent="0.35">
      <c r="A913" t="s">
        <v>1229</v>
      </c>
      <c r="B913">
        <v>1</v>
      </c>
      <c r="C913">
        <v>34.99</v>
      </c>
      <c r="D913">
        <v>34.99</v>
      </c>
      <c r="E913" t="s">
        <v>1230</v>
      </c>
      <c r="F913" t="s">
        <v>1718</v>
      </c>
      <c r="G913" t="s">
        <v>16</v>
      </c>
      <c r="H913">
        <v>6</v>
      </c>
      <c r="I913" t="s">
        <v>17</v>
      </c>
      <c r="J913" t="s">
        <v>36</v>
      </c>
      <c r="K913">
        <v>12.5</v>
      </c>
      <c r="O913">
        <v>21.99</v>
      </c>
    </row>
    <row r="914" spans="1:15" x14ac:dyDescent="0.35">
      <c r="A914" t="s">
        <v>1231</v>
      </c>
      <c r="B914">
        <v>2</v>
      </c>
      <c r="C914">
        <v>18.989999999999998</v>
      </c>
      <c r="D914">
        <v>32.76</v>
      </c>
      <c r="E914" t="s">
        <v>1232</v>
      </c>
      <c r="F914" t="s">
        <v>1719</v>
      </c>
      <c r="G914" t="s">
        <v>11</v>
      </c>
      <c r="H914">
        <v>15</v>
      </c>
      <c r="I914" t="s">
        <v>41</v>
      </c>
      <c r="J914" t="s">
        <v>42</v>
      </c>
      <c r="K914">
        <v>6</v>
      </c>
      <c r="O914">
        <v>37.979999999999997</v>
      </c>
    </row>
    <row r="915" spans="1:15" x14ac:dyDescent="0.35">
      <c r="A915" t="s">
        <v>1233</v>
      </c>
      <c r="B915">
        <v>3</v>
      </c>
      <c r="C915">
        <v>34.99</v>
      </c>
      <c r="D915">
        <v>83.85</v>
      </c>
      <c r="E915" t="s">
        <v>240</v>
      </c>
      <c r="F915" t="s">
        <v>1720</v>
      </c>
      <c r="G915" t="s">
        <v>16</v>
      </c>
      <c r="H915">
        <v>5</v>
      </c>
      <c r="I915" t="s">
        <v>41</v>
      </c>
      <c r="J915" t="s">
        <v>36</v>
      </c>
      <c r="K915">
        <v>12.5</v>
      </c>
      <c r="O915">
        <v>84.73</v>
      </c>
    </row>
    <row r="916" spans="1:15" x14ac:dyDescent="0.35">
      <c r="A916" t="s">
        <v>1234</v>
      </c>
      <c r="B916">
        <v>2</v>
      </c>
      <c r="C916">
        <v>30.99</v>
      </c>
      <c r="D916">
        <v>53.47</v>
      </c>
      <c r="E916" t="s">
        <v>903</v>
      </c>
      <c r="F916" t="s">
        <v>1721</v>
      </c>
      <c r="G916" t="s">
        <v>16</v>
      </c>
      <c r="H916">
        <v>2</v>
      </c>
      <c r="I916" t="s">
        <v>24</v>
      </c>
      <c r="J916" t="s">
        <v>18</v>
      </c>
      <c r="K916">
        <v>10.5</v>
      </c>
      <c r="O916">
        <v>37.979999999999997</v>
      </c>
    </row>
    <row r="917" spans="1:15" x14ac:dyDescent="0.35">
      <c r="A917" t="s">
        <v>1235</v>
      </c>
      <c r="B917">
        <v>1</v>
      </c>
      <c r="C917">
        <v>27.99</v>
      </c>
      <c r="D917">
        <v>27.99</v>
      </c>
      <c r="E917" t="s">
        <v>23</v>
      </c>
      <c r="F917" t="s">
        <v>1722</v>
      </c>
      <c r="G917" t="s">
        <v>21</v>
      </c>
      <c r="H917">
        <v>0</v>
      </c>
      <c r="I917" t="s">
        <v>24</v>
      </c>
      <c r="J917" t="s">
        <v>31</v>
      </c>
      <c r="K917">
        <v>9</v>
      </c>
      <c r="O917">
        <v>21.99</v>
      </c>
    </row>
    <row r="918" spans="1:15" x14ac:dyDescent="0.35">
      <c r="A918" t="s">
        <v>1236</v>
      </c>
      <c r="B918">
        <v>1</v>
      </c>
      <c r="C918">
        <v>27.99</v>
      </c>
      <c r="D918">
        <v>27.99</v>
      </c>
      <c r="E918" t="s">
        <v>575</v>
      </c>
      <c r="F918" t="s">
        <v>1723</v>
      </c>
      <c r="G918" t="s">
        <v>21</v>
      </c>
      <c r="H918">
        <v>0</v>
      </c>
      <c r="I918" t="s">
        <v>17</v>
      </c>
      <c r="J918" t="s">
        <v>31</v>
      </c>
      <c r="K918">
        <v>9</v>
      </c>
      <c r="O918">
        <v>21.99</v>
      </c>
    </row>
    <row r="919" spans="1:15" x14ac:dyDescent="0.35">
      <c r="A919" t="s">
        <v>1237</v>
      </c>
      <c r="B919">
        <v>3</v>
      </c>
      <c r="C919">
        <v>27.99</v>
      </c>
      <c r="D919">
        <v>66.14</v>
      </c>
      <c r="E919" t="s">
        <v>1238</v>
      </c>
      <c r="F919" t="s">
        <v>1724</v>
      </c>
      <c r="G919" t="s">
        <v>16</v>
      </c>
      <c r="H919">
        <v>2</v>
      </c>
      <c r="I919" t="s">
        <v>41</v>
      </c>
      <c r="J919" t="s">
        <v>31</v>
      </c>
      <c r="K919">
        <v>9</v>
      </c>
      <c r="O919">
        <v>84.73</v>
      </c>
    </row>
    <row r="920" spans="1:15" x14ac:dyDescent="0.35">
      <c r="A920" t="s">
        <v>1239</v>
      </c>
      <c r="B920">
        <v>1</v>
      </c>
      <c r="C920">
        <v>27.99</v>
      </c>
      <c r="D920">
        <v>27.99</v>
      </c>
      <c r="E920" t="s">
        <v>575</v>
      </c>
      <c r="F920" t="s">
        <v>1725</v>
      </c>
      <c r="G920" t="s">
        <v>16</v>
      </c>
      <c r="H920">
        <v>2</v>
      </c>
      <c r="I920" t="s">
        <v>24</v>
      </c>
      <c r="J920" t="s">
        <v>31</v>
      </c>
      <c r="K920">
        <v>9</v>
      </c>
      <c r="O920">
        <v>21.99</v>
      </c>
    </row>
    <row r="921" spans="1:15" x14ac:dyDescent="0.35">
      <c r="A921" t="s">
        <v>1240</v>
      </c>
      <c r="B921">
        <v>1</v>
      </c>
      <c r="C921">
        <v>21.99</v>
      </c>
      <c r="D921">
        <v>21.99</v>
      </c>
      <c r="E921" t="s">
        <v>64</v>
      </c>
      <c r="F921" t="s">
        <v>1726</v>
      </c>
      <c r="G921" t="s">
        <v>16</v>
      </c>
      <c r="H921">
        <v>2</v>
      </c>
      <c r="I921" t="s">
        <v>12</v>
      </c>
      <c r="J921" t="s">
        <v>13</v>
      </c>
      <c r="K921">
        <v>7</v>
      </c>
      <c r="O921">
        <v>21.99</v>
      </c>
    </row>
    <row r="922" spans="1:15" x14ac:dyDescent="0.35">
      <c r="A922" t="s">
        <v>1241</v>
      </c>
      <c r="B922">
        <v>1</v>
      </c>
      <c r="C922">
        <v>30.99</v>
      </c>
      <c r="D922">
        <v>30.99</v>
      </c>
      <c r="E922" t="s">
        <v>1114</v>
      </c>
      <c r="F922" t="s">
        <v>1727</v>
      </c>
      <c r="G922" t="s">
        <v>16</v>
      </c>
      <c r="H922">
        <v>3</v>
      </c>
      <c r="I922" t="s">
        <v>41</v>
      </c>
      <c r="J922" t="s">
        <v>18</v>
      </c>
      <c r="K922">
        <v>10.5</v>
      </c>
      <c r="O922">
        <v>21.99</v>
      </c>
    </row>
    <row r="923" spans="1:15" x14ac:dyDescent="0.35">
      <c r="A923" t="s">
        <v>1242</v>
      </c>
      <c r="B923">
        <v>1</v>
      </c>
      <c r="C923">
        <v>16.989999999999998</v>
      </c>
      <c r="D923">
        <v>16.989999999999998</v>
      </c>
      <c r="E923" t="s">
        <v>38</v>
      </c>
      <c r="F923" t="s">
        <v>1728</v>
      </c>
      <c r="G923" t="s">
        <v>16</v>
      </c>
      <c r="H923">
        <v>20</v>
      </c>
      <c r="I923" t="s">
        <v>12</v>
      </c>
      <c r="J923" t="s">
        <v>25</v>
      </c>
      <c r="K923">
        <v>5</v>
      </c>
      <c r="O923">
        <v>21.99</v>
      </c>
    </row>
    <row r="924" spans="1:15" x14ac:dyDescent="0.35">
      <c r="A924" t="s">
        <v>1243</v>
      </c>
      <c r="B924">
        <v>1</v>
      </c>
      <c r="C924">
        <v>30.99</v>
      </c>
      <c r="D924">
        <v>30.99</v>
      </c>
      <c r="E924" t="s">
        <v>1244</v>
      </c>
      <c r="F924" t="s">
        <v>1717</v>
      </c>
      <c r="G924" t="s">
        <v>16</v>
      </c>
      <c r="H924">
        <v>3</v>
      </c>
      <c r="I924" t="s">
        <v>12</v>
      </c>
      <c r="J924" t="s">
        <v>18</v>
      </c>
      <c r="K924">
        <v>10.5</v>
      </c>
      <c r="O924">
        <v>21.99</v>
      </c>
    </row>
    <row r="925" spans="1:15" x14ac:dyDescent="0.35">
      <c r="A925" t="s">
        <v>1245</v>
      </c>
      <c r="B925">
        <v>1</v>
      </c>
      <c r="C925">
        <v>18.989999999999998</v>
      </c>
      <c r="D925">
        <v>18.989999999999998</v>
      </c>
      <c r="E925" s="6">
        <v>46140</v>
      </c>
      <c r="F925" t="s">
        <v>1718</v>
      </c>
      <c r="G925" t="s">
        <v>16</v>
      </c>
      <c r="H925">
        <v>14</v>
      </c>
      <c r="I925" t="s">
        <v>41</v>
      </c>
      <c r="J925" t="s">
        <v>42</v>
      </c>
      <c r="K925">
        <v>6</v>
      </c>
      <c r="O925">
        <v>21.99</v>
      </c>
    </row>
    <row r="926" spans="1:15" x14ac:dyDescent="0.35">
      <c r="A926" t="s">
        <v>1246</v>
      </c>
      <c r="B926">
        <v>1</v>
      </c>
      <c r="C926">
        <v>34.99</v>
      </c>
      <c r="D926">
        <v>34.99</v>
      </c>
      <c r="E926" t="s">
        <v>86</v>
      </c>
      <c r="F926" t="s">
        <v>1719</v>
      </c>
      <c r="G926" t="s">
        <v>16</v>
      </c>
      <c r="H926">
        <v>8</v>
      </c>
      <c r="I926" t="s">
        <v>24</v>
      </c>
      <c r="J926" t="s">
        <v>36</v>
      </c>
      <c r="K926">
        <v>12.5</v>
      </c>
      <c r="O926">
        <v>21.99</v>
      </c>
    </row>
    <row r="927" spans="1:15" x14ac:dyDescent="0.35">
      <c r="A927" t="s">
        <v>1247</v>
      </c>
      <c r="B927">
        <v>1</v>
      </c>
      <c r="C927">
        <v>34.99</v>
      </c>
      <c r="D927">
        <v>34.99</v>
      </c>
      <c r="E927" t="s">
        <v>655</v>
      </c>
      <c r="F927" t="s">
        <v>1720</v>
      </c>
      <c r="G927" t="s">
        <v>87</v>
      </c>
      <c r="H927">
        <v>0</v>
      </c>
      <c r="I927" t="s">
        <v>17</v>
      </c>
      <c r="J927" t="s">
        <v>36</v>
      </c>
      <c r="K927">
        <v>12.5</v>
      </c>
      <c r="O927">
        <v>21.99</v>
      </c>
    </row>
    <row r="928" spans="1:15" x14ac:dyDescent="0.35">
      <c r="A928" t="s">
        <v>1248</v>
      </c>
      <c r="B928">
        <v>2</v>
      </c>
      <c r="C928">
        <v>16.989999999999998</v>
      </c>
      <c r="D928">
        <v>29.3</v>
      </c>
      <c r="E928" t="s">
        <v>1249</v>
      </c>
      <c r="F928" t="s">
        <v>1721</v>
      </c>
      <c r="G928" t="s">
        <v>16</v>
      </c>
      <c r="H928">
        <v>16</v>
      </c>
      <c r="I928" t="s">
        <v>41</v>
      </c>
      <c r="J928" t="s">
        <v>25</v>
      </c>
      <c r="K928">
        <v>5</v>
      </c>
      <c r="O928">
        <v>37.979999999999997</v>
      </c>
    </row>
    <row r="929" spans="1:15" x14ac:dyDescent="0.35">
      <c r="A929" t="s">
        <v>1250</v>
      </c>
      <c r="B929">
        <v>3</v>
      </c>
      <c r="C929">
        <v>16.989999999999998</v>
      </c>
      <c r="D929">
        <v>40.96</v>
      </c>
      <c r="E929" t="s">
        <v>449</v>
      </c>
      <c r="F929" t="s">
        <v>1722</v>
      </c>
      <c r="G929" t="s">
        <v>16</v>
      </c>
      <c r="H929">
        <v>17</v>
      </c>
      <c r="I929" t="s">
        <v>17</v>
      </c>
      <c r="J929" t="s">
        <v>25</v>
      </c>
      <c r="K929">
        <v>5</v>
      </c>
      <c r="O929">
        <v>84.73</v>
      </c>
    </row>
    <row r="930" spans="1:15" x14ac:dyDescent="0.35">
      <c r="A930" t="s">
        <v>1251</v>
      </c>
      <c r="B930">
        <v>3</v>
      </c>
      <c r="C930">
        <v>27.99</v>
      </c>
      <c r="D930">
        <v>66.09</v>
      </c>
      <c r="E930" t="s">
        <v>522</v>
      </c>
      <c r="F930" t="s">
        <v>1723</v>
      </c>
      <c r="G930" t="s">
        <v>16</v>
      </c>
      <c r="H930">
        <v>3</v>
      </c>
      <c r="I930" t="s">
        <v>12</v>
      </c>
      <c r="J930" t="s">
        <v>31</v>
      </c>
      <c r="K930">
        <v>9</v>
      </c>
      <c r="O930">
        <v>84.73</v>
      </c>
    </row>
    <row r="931" spans="1:15" x14ac:dyDescent="0.35">
      <c r="A931" t="s">
        <v>1252</v>
      </c>
      <c r="B931">
        <v>1</v>
      </c>
      <c r="C931">
        <v>27.99</v>
      </c>
      <c r="D931">
        <v>27.99</v>
      </c>
      <c r="E931" t="s">
        <v>320</v>
      </c>
      <c r="F931" t="s">
        <v>1724</v>
      </c>
      <c r="G931" t="s">
        <v>16</v>
      </c>
      <c r="H931">
        <v>3</v>
      </c>
      <c r="I931" t="s">
        <v>17</v>
      </c>
      <c r="J931" t="s">
        <v>31</v>
      </c>
      <c r="K931">
        <v>9</v>
      </c>
      <c r="O931">
        <v>21.99</v>
      </c>
    </row>
    <row r="932" spans="1:15" x14ac:dyDescent="0.35">
      <c r="A932" t="s">
        <v>1253</v>
      </c>
      <c r="B932">
        <v>1</v>
      </c>
      <c r="C932">
        <v>21.99</v>
      </c>
      <c r="D932">
        <v>21.99</v>
      </c>
      <c r="E932" t="s">
        <v>577</v>
      </c>
      <c r="F932" t="s">
        <v>1725</v>
      </c>
      <c r="G932" t="s">
        <v>16</v>
      </c>
      <c r="H932">
        <v>3</v>
      </c>
      <c r="I932" t="s">
        <v>17</v>
      </c>
      <c r="J932" t="s">
        <v>13</v>
      </c>
      <c r="K932">
        <v>7</v>
      </c>
      <c r="O932">
        <v>21.99</v>
      </c>
    </row>
    <row r="933" spans="1:15" x14ac:dyDescent="0.35">
      <c r="A933" t="s">
        <v>1254</v>
      </c>
      <c r="B933">
        <v>3</v>
      </c>
      <c r="C933">
        <v>16.989999999999998</v>
      </c>
      <c r="D933">
        <v>40.92</v>
      </c>
      <c r="E933" t="s">
        <v>539</v>
      </c>
      <c r="F933" t="s">
        <v>1726</v>
      </c>
      <c r="G933" t="s">
        <v>11</v>
      </c>
      <c r="H933">
        <v>18</v>
      </c>
      <c r="I933" t="s">
        <v>24</v>
      </c>
      <c r="J933" t="s">
        <v>25</v>
      </c>
      <c r="K933">
        <v>5</v>
      </c>
      <c r="O933">
        <v>84.73</v>
      </c>
    </row>
    <row r="934" spans="1:15" x14ac:dyDescent="0.35">
      <c r="A934" t="s">
        <v>1255</v>
      </c>
      <c r="B934">
        <v>1</v>
      </c>
      <c r="C934">
        <v>30.99</v>
      </c>
      <c r="D934">
        <v>30.99</v>
      </c>
      <c r="E934" t="s">
        <v>905</v>
      </c>
      <c r="F934" t="s">
        <v>1727</v>
      </c>
      <c r="G934" t="s">
        <v>16</v>
      </c>
      <c r="H934">
        <v>2</v>
      </c>
      <c r="I934" t="s">
        <v>24</v>
      </c>
      <c r="J934" t="s">
        <v>18</v>
      </c>
      <c r="K934">
        <v>10.5</v>
      </c>
      <c r="O934">
        <v>21.99</v>
      </c>
    </row>
    <row r="935" spans="1:15" x14ac:dyDescent="0.35">
      <c r="A935" t="s">
        <v>1256</v>
      </c>
      <c r="B935">
        <v>3</v>
      </c>
      <c r="C935">
        <v>18.989999999999998</v>
      </c>
      <c r="D935">
        <v>45.8</v>
      </c>
      <c r="E935" t="s">
        <v>264</v>
      </c>
      <c r="F935" t="s">
        <v>1728</v>
      </c>
      <c r="G935" t="s">
        <v>16</v>
      </c>
      <c r="H935">
        <v>14</v>
      </c>
      <c r="I935" t="s">
        <v>41</v>
      </c>
      <c r="J935" t="s">
        <v>42</v>
      </c>
      <c r="K935">
        <v>6</v>
      </c>
      <c r="O935">
        <v>84.73</v>
      </c>
    </row>
    <row r="936" spans="1:15" x14ac:dyDescent="0.35">
      <c r="A936" t="s">
        <v>1257</v>
      </c>
      <c r="B936">
        <v>1</v>
      </c>
      <c r="C936">
        <v>16.989999999999998</v>
      </c>
      <c r="D936">
        <v>16.989999999999998</v>
      </c>
      <c r="E936" t="s">
        <v>1112</v>
      </c>
      <c r="F936" t="s">
        <v>1717</v>
      </c>
      <c r="G936" t="s">
        <v>16</v>
      </c>
      <c r="H936">
        <v>20</v>
      </c>
      <c r="I936" t="s">
        <v>12</v>
      </c>
      <c r="J936" t="s">
        <v>25</v>
      </c>
      <c r="K936">
        <v>5</v>
      </c>
      <c r="O936">
        <v>21.99</v>
      </c>
    </row>
    <row r="937" spans="1:15" x14ac:dyDescent="0.35">
      <c r="A937" t="s">
        <v>1258</v>
      </c>
      <c r="B937">
        <v>1</v>
      </c>
      <c r="C937">
        <v>27.99</v>
      </c>
      <c r="D937">
        <v>27.99</v>
      </c>
      <c r="E937" t="s">
        <v>732</v>
      </c>
      <c r="F937" t="s">
        <v>1718</v>
      </c>
      <c r="G937" t="s">
        <v>16</v>
      </c>
      <c r="H937">
        <v>3</v>
      </c>
      <c r="I937" t="s">
        <v>12</v>
      </c>
      <c r="J937" t="s">
        <v>31</v>
      </c>
      <c r="K937">
        <v>9</v>
      </c>
      <c r="O937">
        <v>21.99</v>
      </c>
    </row>
    <row r="938" spans="1:15" x14ac:dyDescent="0.35">
      <c r="A938" t="s">
        <v>1259</v>
      </c>
      <c r="B938">
        <v>1</v>
      </c>
      <c r="C938">
        <v>34.99</v>
      </c>
      <c r="D938">
        <v>34.99</v>
      </c>
      <c r="E938" t="s">
        <v>1260</v>
      </c>
      <c r="F938" t="s">
        <v>1719</v>
      </c>
      <c r="G938" t="s">
        <v>21</v>
      </c>
      <c r="H938">
        <v>0</v>
      </c>
      <c r="I938" t="s">
        <v>24</v>
      </c>
      <c r="J938" t="s">
        <v>36</v>
      </c>
      <c r="K938">
        <v>12.5</v>
      </c>
      <c r="O938">
        <v>21.99</v>
      </c>
    </row>
    <row r="939" spans="1:15" x14ac:dyDescent="0.35">
      <c r="A939" t="s">
        <v>1261</v>
      </c>
      <c r="B939">
        <v>1</v>
      </c>
      <c r="C939">
        <v>21.99</v>
      </c>
      <c r="D939">
        <v>21.99</v>
      </c>
      <c r="E939" s="6">
        <v>46112</v>
      </c>
      <c r="F939" t="s">
        <v>1720</v>
      </c>
      <c r="G939" t="s">
        <v>16</v>
      </c>
      <c r="H939">
        <v>2</v>
      </c>
      <c r="I939" t="s">
        <v>12</v>
      </c>
      <c r="J939" t="s">
        <v>13</v>
      </c>
      <c r="K939">
        <v>7</v>
      </c>
      <c r="O939">
        <v>21.99</v>
      </c>
    </row>
    <row r="940" spans="1:15" x14ac:dyDescent="0.35">
      <c r="A940" t="s">
        <v>1262</v>
      </c>
      <c r="B940">
        <v>3</v>
      </c>
      <c r="C940">
        <v>16.989999999999998</v>
      </c>
      <c r="D940">
        <v>40.619999999999997</v>
      </c>
      <c r="E940" t="s">
        <v>664</v>
      </c>
      <c r="F940" t="s">
        <v>1721</v>
      </c>
      <c r="G940" t="s">
        <v>16</v>
      </c>
      <c r="H940">
        <v>19</v>
      </c>
      <c r="I940" t="s">
        <v>12</v>
      </c>
      <c r="J940" t="s">
        <v>25</v>
      </c>
      <c r="K940">
        <v>5</v>
      </c>
      <c r="O940">
        <v>84.73</v>
      </c>
    </row>
    <row r="941" spans="1:15" x14ac:dyDescent="0.35">
      <c r="A941" t="s">
        <v>1263</v>
      </c>
      <c r="B941">
        <v>1</v>
      </c>
      <c r="C941">
        <v>16.989999999999998</v>
      </c>
      <c r="D941">
        <v>16.989999999999998</v>
      </c>
      <c r="E941" t="s">
        <v>118</v>
      </c>
      <c r="F941" t="s">
        <v>1722</v>
      </c>
      <c r="G941" t="s">
        <v>16</v>
      </c>
      <c r="H941">
        <v>18</v>
      </c>
      <c r="I941" t="s">
        <v>17</v>
      </c>
      <c r="J941" t="s">
        <v>25</v>
      </c>
      <c r="K941">
        <v>5</v>
      </c>
      <c r="O941">
        <v>21.99</v>
      </c>
    </row>
    <row r="942" spans="1:15" x14ac:dyDescent="0.35">
      <c r="A942" t="s">
        <v>1264</v>
      </c>
      <c r="B942">
        <v>1</v>
      </c>
      <c r="C942">
        <v>18.989999999999998</v>
      </c>
      <c r="D942">
        <v>18.989999999999998</v>
      </c>
      <c r="E942" t="s">
        <v>46</v>
      </c>
      <c r="F942" t="s">
        <v>1723</v>
      </c>
      <c r="G942" t="s">
        <v>16</v>
      </c>
      <c r="H942">
        <v>14</v>
      </c>
      <c r="I942" t="s">
        <v>17</v>
      </c>
      <c r="J942" t="s">
        <v>42</v>
      </c>
      <c r="K942">
        <v>6</v>
      </c>
      <c r="O942">
        <v>21.99</v>
      </c>
    </row>
    <row r="943" spans="1:15" x14ac:dyDescent="0.35">
      <c r="A943" t="s">
        <v>1265</v>
      </c>
      <c r="B943">
        <v>1</v>
      </c>
      <c r="C943">
        <v>16.989999999999998</v>
      </c>
      <c r="D943">
        <v>16.989999999999998</v>
      </c>
      <c r="E943" t="s">
        <v>1232</v>
      </c>
      <c r="F943" t="s">
        <v>1724</v>
      </c>
      <c r="G943" t="s">
        <v>16</v>
      </c>
      <c r="H943">
        <v>19</v>
      </c>
      <c r="I943" t="s">
        <v>12</v>
      </c>
      <c r="J943" t="s">
        <v>25</v>
      </c>
      <c r="K943">
        <v>5</v>
      </c>
      <c r="O943">
        <v>21.99</v>
      </c>
    </row>
    <row r="944" spans="1:15" x14ac:dyDescent="0.35">
      <c r="A944" t="s">
        <v>1266</v>
      </c>
      <c r="B944">
        <v>1</v>
      </c>
      <c r="C944">
        <v>16.989999999999998</v>
      </c>
      <c r="D944">
        <v>16.989999999999998</v>
      </c>
      <c r="E944" t="s">
        <v>132</v>
      </c>
      <c r="F944" t="s">
        <v>1725</v>
      </c>
      <c r="G944" t="s">
        <v>16</v>
      </c>
      <c r="H944">
        <v>15</v>
      </c>
      <c r="I944" t="s">
        <v>12</v>
      </c>
      <c r="J944" t="s">
        <v>25</v>
      </c>
      <c r="K944">
        <v>5</v>
      </c>
      <c r="O944">
        <v>21.99</v>
      </c>
    </row>
    <row r="945" spans="1:15" x14ac:dyDescent="0.35">
      <c r="A945" t="s">
        <v>1267</v>
      </c>
      <c r="B945">
        <v>1</v>
      </c>
      <c r="C945">
        <v>18.989999999999998</v>
      </c>
      <c r="D945">
        <v>18.989999999999998</v>
      </c>
      <c r="E945" t="s">
        <v>1268</v>
      </c>
      <c r="F945" t="s">
        <v>1726</v>
      </c>
      <c r="G945" t="s">
        <v>16</v>
      </c>
      <c r="H945">
        <v>13</v>
      </c>
      <c r="I945" t="s">
        <v>41</v>
      </c>
      <c r="J945" t="s">
        <v>42</v>
      </c>
      <c r="K945">
        <v>6</v>
      </c>
      <c r="O945">
        <v>21.99</v>
      </c>
    </row>
    <row r="946" spans="1:15" x14ac:dyDescent="0.35">
      <c r="A946" t="s">
        <v>1269</v>
      </c>
      <c r="B946">
        <v>2</v>
      </c>
      <c r="C946">
        <v>27.99</v>
      </c>
      <c r="D946">
        <v>48.98</v>
      </c>
      <c r="E946" t="s">
        <v>1116</v>
      </c>
      <c r="F946" t="s">
        <v>1727</v>
      </c>
      <c r="G946" t="s">
        <v>16</v>
      </c>
      <c r="H946">
        <v>5</v>
      </c>
      <c r="I946" t="s">
        <v>17</v>
      </c>
      <c r="J946" t="s">
        <v>31</v>
      </c>
      <c r="K946">
        <v>9</v>
      </c>
      <c r="O946">
        <v>37.979999999999997</v>
      </c>
    </row>
    <row r="947" spans="1:15" x14ac:dyDescent="0.35">
      <c r="A947" t="s">
        <v>1270</v>
      </c>
      <c r="B947">
        <v>1</v>
      </c>
      <c r="C947">
        <v>18.989999999999998</v>
      </c>
      <c r="D947">
        <v>18.989999999999998</v>
      </c>
      <c r="E947" t="s">
        <v>96</v>
      </c>
      <c r="F947" t="s">
        <v>1728</v>
      </c>
      <c r="G947" t="s">
        <v>87</v>
      </c>
      <c r="H947">
        <v>0</v>
      </c>
      <c r="I947" t="s">
        <v>41</v>
      </c>
      <c r="J947" t="s">
        <v>42</v>
      </c>
      <c r="K947">
        <v>6</v>
      </c>
      <c r="O947">
        <v>21.99</v>
      </c>
    </row>
    <row r="948" spans="1:15" x14ac:dyDescent="0.35">
      <c r="A948" t="s">
        <v>1271</v>
      </c>
      <c r="B948">
        <v>1</v>
      </c>
      <c r="C948">
        <v>16.989999999999998</v>
      </c>
      <c r="D948">
        <v>16.989999999999998</v>
      </c>
      <c r="E948" t="s">
        <v>1272</v>
      </c>
      <c r="F948" t="s">
        <v>1717</v>
      </c>
      <c r="G948" t="s">
        <v>21</v>
      </c>
      <c r="H948">
        <v>0</v>
      </c>
      <c r="I948" t="s">
        <v>17</v>
      </c>
      <c r="J948" t="s">
        <v>25</v>
      </c>
      <c r="K948">
        <v>5</v>
      </c>
      <c r="O948">
        <v>21.99</v>
      </c>
    </row>
    <row r="949" spans="1:15" x14ac:dyDescent="0.35">
      <c r="A949" t="s">
        <v>1273</v>
      </c>
      <c r="B949">
        <v>1</v>
      </c>
      <c r="C949">
        <v>16.989999999999998</v>
      </c>
      <c r="D949">
        <v>16.989999999999998</v>
      </c>
      <c r="E949" t="s">
        <v>429</v>
      </c>
      <c r="F949" t="s">
        <v>1718</v>
      </c>
      <c r="G949" t="s">
        <v>11</v>
      </c>
      <c r="H949">
        <v>23</v>
      </c>
      <c r="I949" t="s">
        <v>24</v>
      </c>
      <c r="J949" t="s">
        <v>25</v>
      </c>
      <c r="K949">
        <v>5</v>
      </c>
      <c r="O949">
        <v>21.99</v>
      </c>
    </row>
    <row r="950" spans="1:15" x14ac:dyDescent="0.35">
      <c r="A950" t="s">
        <v>1274</v>
      </c>
      <c r="B950">
        <v>1</v>
      </c>
      <c r="C950">
        <v>30.99</v>
      </c>
      <c r="D950">
        <v>30.99</v>
      </c>
      <c r="E950" t="s">
        <v>500</v>
      </c>
      <c r="F950" t="s">
        <v>1719</v>
      </c>
      <c r="G950" t="s">
        <v>28</v>
      </c>
      <c r="H950">
        <v>0</v>
      </c>
      <c r="I950" t="s">
        <v>17</v>
      </c>
      <c r="J950" t="s">
        <v>18</v>
      </c>
      <c r="K950">
        <v>10.5</v>
      </c>
      <c r="O950">
        <v>21.99</v>
      </c>
    </row>
    <row r="951" spans="1:15" x14ac:dyDescent="0.35">
      <c r="A951" t="s">
        <v>1275</v>
      </c>
      <c r="B951">
        <v>1</v>
      </c>
      <c r="C951">
        <v>18.989999999999998</v>
      </c>
      <c r="D951">
        <v>18.989999999999998</v>
      </c>
      <c r="E951" t="s">
        <v>70</v>
      </c>
      <c r="F951" t="s">
        <v>1720</v>
      </c>
      <c r="G951" t="s">
        <v>21</v>
      </c>
      <c r="H951">
        <v>0</v>
      </c>
      <c r="I951" t="s">
        <v>24</v>
      </c>
      <c r="J951" t="s">
        <v>42</v>
      </c>
      <c r="K951">
        <v>6</v>
      </c>
      <c r="O951">
        <v>21.99</v>
      </c>
    </row>
    <row r="952" spans="1:15" x14ac:dyDescent="0.35">
      <c r="A952" t="s">
        <v>1276</v>
      </c>
      <c r="B952">
        <v>1</v>
      </c>
      <c r="C952">
        <v>34.99</v>
      </c>
      <c r="D952">
        <v>34.99</v>
      </c>
      <c r="E952" t="s">
        <v>1277</v>
      </c>
      <c r="F952" t="s">
        <v>1721</v>
      </c>
      <c r="G952" t="s">
        <v>11</v>
      </c>
      <c r="H952">
        <v>7</v>
      </c>
      <c r="I952" t="s">
        <v>24</v>
      </c>
      <c r="J952" t="s">
        <v>36</v>
      </c>
      <c r="K952">
        <v>12.5</v>
      </c>
      <c r="O952">
        <v>21.99</v>
      </c>
    </row>
    <row r="953" spans="1:15" x14ac:dyDescent="0.35">
      <c r="A953" t="s">
        <v>1278</v>
      </c>
      <c r="B953">
        <v>1</v>
      </c>
      <c r="C953">
        <v>21.99</v>
      </c>
      <c r="D953">
        <v>21.99</v>
      </c>
      <c r="E953" t="s">
        <v>634</v>
      </c>
      <c r="F953" t="s">
        <v>1722</v>
      </c>
      <c r="G953" t="s">
        <v>11</v>
      </c>
      <c r="H953">
        <v>8</v>
      </c>
      <c r="I953" t="s">
        <v>17</v>
      </c>
      <c r="J953" t="s">
        <v>13</v>
      </c>
      <c r="K953">
        <v>7</v>
      </c>
      <c r="O953">
        <v>21.99</v>
      </c>
    </row>
    <row r="954" spans="1:15" x14ac:dyDescent="0.35">
      <c r="A954" t="s">
        <v>1279</v>
      </c>
      <c r="B954">
        <v>1</v>
      </c>
      <c r="C954">
        <v>18.989999999999998</v>
      </c>
      <c r="D954">
        <v>18.989999999999998</v>
      </c>
      <c r="E954" t="s">
        <v>50</v>
      </c>
      <c r="F954" t="s">
        <v>1723</v>
      </c>
      <c r="G954" t="s">
        <v>11</v>
      </c>
      <c r="H954">
        <v>11</v>
      </c>
      <c r="I954" t="s">
        <v>17</v>
      </c>
      <c r="J954" t="s">
        <v>42</v>
      </c>
      <c r="K954">
        <v>6</v>
      </c>
      <c r="O954">
        <v>21.99</v>
      </c>
    </row>
    <row r="955" spans="1:15" x14ac:dyDescent="0.35">
      <c r="A955" t="s">
        <v>1280</v>
      </c>
      <c r="B955">
        <v>1</v>
      </c>
      <c r="C955">
        <v>18.989999999999998</v>
      </c>
      <c r="D955">
        <v>18.989999999999998</v>
      </c>
      <c r="E955" t="s">
        <v>788</v>
      </c>
      <c r="F955" t="s">
        <v>1724</v>
      </c>
      <c r="G955" t="s">
        <v>16</v>
      </c>
      <c r="H955">
        <v>16</v>
      </c>
      <c r="I955" t="s">
        <v>41</v>
      </c>
      <c r="J955" t="s">
        <v>42</v>
      </c>
      <c r="K955">
        <v>6</v>
      </c>
      <c r="O955">
        <v>21.99</v>
      </c>
    </row>
    <row r="956" spans="1:15" x14ac:dyDescent="0.35">
      <c r="A956" t="s">
        <v>1281</v>
      </c>
      <c r="B956">
        <v>1</v>
      </c>
      <c r="C956">
        <v>27.99</v>
      </c>
      <c r="D956">
        <v>27.99</v>
      </c>
      <c r="E956" t="s">
        <v>797</v>
      </c>
      <c r="F956" t="s">
        <v>1725</v>
      </c>
      <c r="G956" t="s">
        <v>16</v>
      </c>
      <c r="H956">
        <v>5</v>
      </c>
      <c r="I956" t="s">
        <v>12</v>
      </c>
      <c r="J956" t="s">
        <v>31</v>
      </c>
      <c r="K956">
        <v>9</v>
      </c>
      <c r="O956">
        <v>21.99</v>
      </c>
    </row>
    <row r="957" spans="1:15" x14ac:dyDescent="0.35">
      <c r="A957" t="s">
        <v>1282</v>
      </c>
      <c r="B957">
        <v>1</v>
      </c>
      <c r="C957">
        <v>30.99</v>
      </c>
      <c r="D957">
        <v>30.99</v>
      </c>
      <c r="E957" t="s">
        <v>786</v>
      </c>
      <c r="F957" t="s">
        <v>1726</v>
      </c>
      <c r="G957" t="s">
        <v>16</v>
      </c>
      <c r="H957">
        <v>4</v>
      </c>
      <c r="I957" t="s">
        <v>24</v>
      </c>
      <c r="J957" t="s">
        <v>18</v>
      </c>
      <c r="K957">
        <v>10.5</v>
      </c>
      <c r="O957">
        <v>21.99</v>
      </c>
    </row>
    <row r="958" spans="1:15" x14ac:dyDescent="0.35">
      <c r="A958" t="s">
        <v>1283</v>
      </c>
      <c r="B958">
        <v>1</v>
      </c>
      <c r="C958">
        <v>18.989999999999998</v>
      </c>
      <c r="D958">
        <v>18.989999999999998</v>
      </c>
      <c r="E958" t="s">
        <v>808</v>
      </c>
      <c r="F958" t="s">
        <v>1727</v>
      </c>
      <c r="G958" t="s">
        <v>16</v>
      </c>
      <c r="H958">
        <v>10</v>
      </c>
      <c r="I958" t="s">
        <v>12</v>
      </c>
      <c r="J958" t="s">
        <v>42</v>
      </c>
      <c r="K958">
        <v>6</v>
      </c>
      <c r="O958">
        <v>21.99</v>
      </c>
    </row>
    <row r="959" spans="1:15" x14ac:dyDescent="0.35">
      <c r="A959" t="s">
        <v>1284</v>
      </c>
      <c r="B959">
        <v>2</v>
      </c>
      <c r="C959">
        <v>18.989999999999998</v>
      </c>
      <c r="D959">
        <v>32.880000000000003</v>
      </c>
      <c r="E959" s="6">
        <v>46188</v>
      </c>
      <c r="F959" t="s">
        <v>1728</v>
      </c>
      <c r="G959" t="s">
        <v>21</v>
      </c>
      <c r="H959">
        <v>0</v>
      </c>
      <c r="I959" t="s">
        <v>17</v>
      </c>
      <c r="J959" t="s">
        <v>42</v>
      </c>
      <c r="K959">
        <v>6</v>
      </c>
      <c r="O959">
        <v>37.979999999999997</v>
      </c>
    </row>
    <row r="960" spans="1:15" x14ac:dyDescent="0.35">
      <c r="A960" t="s">
        <v>1285</v>
      </c>
      <c r="B960">
        <v>1</v>
      </c>
      <c r="C960">
        <v>18.989999999999998</v>
      </c>
      <c r="D960">
        <v>18.989999999999998</v>
      </c>
      <c r="E960" t="s">
        <v>120</v>
      </c>
      <c r="F960" t="s">
        <v>1717</v>
      </c>
      <c r="G960" t="s">
        <v>87</v>
      </c>
      <c r="H960">
        <v>0</v>
      </c>
      <c r="I960" t="s">
        <v>17</v>
      </c>
      <c r="J960" t="s">
        <v>42</v>
      </c>
      <c r="K960">
        <v>6</v>
      </c>
      <c r="O960">
        <v>21.99</v>
      </c>
    </row>
    <row r="961" spans="1:15" x14ac:dyDescent="0.35">
      <c r="A961" t="s">
        <v>1286</v>
      </c>
      <c r="B961">
        <v>2</v>
      </c>
      <c r="C961">
        <v>27.99</v>
      </c>
      <c r="D961">
        <v>48</v>
      </c>
      <c r="E961" t="s">
        <v>82</v>
      </c>
      <c r="F961" t="s">
        <v>1718</v>
      </c>
      <c r="G961" t="s">
        <v>16</v>
      </c>
      <c r="H961">
        <v>2</v>
      </c>
      <c r="I961" t="s">
        <v>17</v>
      </c>
      <c r="J961" t="s">
        <v>31</v>
      </c>
      <c r="K961">
        <v>9</v>
      </c>
      <c r="O961">
        <v>37.979999999999997</v>
      </c>
    </row>
    <row r="962" spans="1:15" x14ac:dyDescent="0.35">
      <c r="A962" t="s">
        <v>1287</v>
      </c>
      <c r="B962">
        <v>1</v>
      </c>
      <c r="C962">
        <v>16.989999999999998</v>
      </c>
      <c r="D962">
        <v>16.989999999999998</v>
      </c>
      <c r="E962" t="s">
        <v>35</v>
      </c>
      <c r="F962" t="s">
        <v>1719</v>
      </c>
      <c r="G962" t="s">
        <v>28</v>
      </c>
      <c r="H962">
        <v>0</v>
      </c>
      <c r="I962" t="s">
        <v>12</v>
      </c>
      <c r="J962" t="s">
        <v>25</v>
      </c>
      <c r="K962">
        <v>5</v>
      </c>
      <c r="O962">
        <v>21.99</v>
      </c>
    </row>
    <row r="963" spans="1:15" x14ac:dyDescent="0.35">
      <c r="A963" t="s">
        <v>1288</v>
      </c>
      <c r="B963">
        <v>3</v>
      </c>
      <c r="C963">
        <v>21.99</v>
      </c>
      <c r="D963">
        <v>52.91</v>
      </c>
      <c r="E963" t="s">
        <v>768</v>
      </c>
      <c r="F963" t="s">
        <v>1720</v>
      </c>
      <c r="G963" t="s">
        <v>16</v>
      </c>
      <c r="H963">
        <v>3</v>
      </c>
      <c r="I963" t="s">
        <v>24</v>
      </c>
      <c r="J963" t="s">
        <v>13</v>
      </c>
      <c r="K963">
        <v>7</v>
      </c>
      <c r="O963">
        <v>84.73</v>
      </c>
    </row>
    <row r="964" spans="1:15" x14ac:dyDescent="0.35">
      <c r="A964" t="s">
        <v>1289</v>
      </c>
      <c r="B964">
        <v>1</v>
      </c>
      <c r="C964">
        <v>27.99</v>
      </c>
      <c r="D964">
        <v>27.99</v>
      </c>
      <c r="E964" t="s">
        <v>453</v>
      </c>
      <c r="F964" t="s">
        <v>1721</v>
      </c>
      <c r="G964" t="s">
        <v>16</v>
      </c>
      <c r="H964">
        <v>7</v>
      </c>
      <c r="I964" t="s">
        <v>24</v>
      </c>
      <c r="J964" t="s">
        <v>31</v>
      </c>
      <c r="K964">
        <v>9</v>
      </c>
      <c r="O964">
        <v>21.99</v>
      </c>
    </row>
    <row r="965" spans="1:15" x14ac:dyDescent="0.35">
      <c r="A965" t="s">
        <v>1290</v>
      </c>
      <c r="B965">
        <v>1</v>
      </c>
      <c r="C965">
        <v>27.99</v>
      </c>
      <c r="D965">
        <v>27.99</v>
      </c>
      <c r="E965" t="s">
        <v>1291</v>
      </c>
      <c r="F965" t="s">
        <v>1722</v>
      </c>
      <c r="G965" t="s">
        <v>16</v>
      </c>
      <c r="H965">
        <v>2</v>
      </c>
      <c r="I965" t="s">
        <v>17</v>
      </c>
      <c r="J965" t="s">
        <v>31</v>
      </c>
      <c r="K965">
        <v>9</v>
      </c>
      <c r="O965">
        <v>21.99</v>
      </c>
    </row>
    <row r="966" spans="1:15" x14ac:dyDescent="0.35">
      <c r="A966" t="s">
        <v>1292</v>
      </c>
      <c r="B966">
        <v>3</v>
      </c>
      <c r="C966">
        <v>21.99</v>
      </c>
      <c r="D966">
        <v>52.38</v>
      </c>
      <c r="E966" t="s">
        <v>162</v>
      </c>
      <c r="F966" t="s">
        <v>1723</v>
      </c>
      <c r="G966" t="s">
        <v>16</v>
      </c>
      <c r="H966">
        <v>3</v>
      </c>
      <c r="I966" t="s">
        <v>12</v>
      </c>
      <c r="J966" t="s">
        <v>13</v>
      </c>
      <c r="K966">
        <v>7</v>
      </c>
      <c r="O966">
        <v>84.73</v>
      </c>
    </row>
    <row r="967" spans="1:15" x14ac:dyDescent="0.35">
      <c r="A967" t="s">
        <v>1293</v>
      </c>
      <c r="B967">
        <v>1</v>
      </c>
      <c r="C967">
        <v>18.989999999999998</v>
      </c>
      <c r="D967">
        <v>18.989999999999998</v>
      </c>
      <c r="E967" t="s">
        <v>648</v>
      </c>
      <c r="F967" t="s">
        <v>1724</v>
      </c>
      <c r="G967" t="s">
        <v>16</v>
      </c>
      <c r="H967">
        <v>10</v>
      </c>
      <c r="I967" t="s">
        <v>24</v>
      </c>
      <c r="J967" t="s">
        <v>42</v>
      </c>
      <c r="K967">
        <v>6</v>
      </c>
      <c r="O967">
        <v>21.99</v>
      </c>
    </row>
    <row r="968" spans="1:15" x14ac:dyDescent="0.35">
      <c r="A968" t="s">
        <v>1294</v>
      </c>
      <c r="B968">
        <v>1</v>
      </c>
      <c r="C968">
        <v>30.99</v>
      </c>
      <c r="D968">
        <v>30.99</v>
      </c>
      <c r="E968" t="s">
        <v>567</v>
      </c>
      <c r="F968" t="s">
        <v>1725</v>
      </c>
      <c r="G968" t="s">
        <v>16</v>
      </c>
      <c r="H968">
        <v>2</v>
      </c>
      <c r="I968" t="s">
        <v>41</v>
      </c>
      <c r="J968" t="s">
        <v>18</v>
      </c>
      <c r="K968">
        <v>10.5</v>
      </c>
      <c r="O968">
        <v>21.99</v>
      </c>
    </row>
    <row r="969" spans="1:15" x14ac:dyDescent="0.35">
      <c r="A969" t="s">
        <v>1295</v>
      </c>
      <c r="B969">
        <v>3</v>
      </c>
      <c r="C969">
        <v>16.989999999999998</v>
      </c>
      <c r="D969">
        <v>40.51</v>
      </c>
      <c r="E969" t="s">
        <v>616</v>
      </c>
      <c r="F969" t="s">
        <v>1726</v>
      </c>
      <c r="G969" t="s">
        <v>21</v>
      </c>
      <c r="H969">
        <v>0</v>
      </c>
      <c r="I969" t="s">
        <v>41</v>
      </c>
      <c r="J969" t="s">
        <v>25</v>
      </c>
      <c r="K969">
        <v>5</v>
      </c>
      <c r="O969">
        <v>84.73</v>
      </c>
    </row>
    <row r="970" spans="1:15" x14ac:dyDescent="0.35">
      <c r="A970" t="s">
        <v>1296</v>
      </c>
      <c r="B970">
        <v>1</v>
      </c>
      <c r="C970">
        <v>16.989999999999998</v>
      </c>
      <c r="D970">
        <v>16.989999999999998</v>
      </c>
      <c r="E970" t="s">
        <v>600</v>
      </c>
      <c r="F970" t="s">
        <v>1727</v>
      </c>
      <c r="G970" t="s">
        <v>16</v>
      </c>
      <c r="H970">
        <v>19</v>
      </c>
      <c r="I970" t="s">
        <v>12</v>
      </c>
      <c r="J970" t="s">
        <v>25</v>
      </c>
      <c r="K970">
        <v>5</v>
      </c>
      <c r="O970">
        <v>21.99</v>
      </c>
    </row>
    <row r="971" spans="1:15" x14ac:dyDescent="0.35">
      <c r="A971" t="s">
        <v>1297</v>
      </c>
      <c r="B971">
        <v>2</v>
      </c>
      <c r="C971">
        <v>30.99</v>
      </c>
      <c r="D971">
        <v>53.02</v>
      </c>
      <c r="E971" t="s">
        <v>1298</v>
      </c>
      <c r="F971" t="s">
        <v>1728</v>
      </c>
      <c r="G971" t="s">
        <v>28</v>
      </c>
      <c r="H971">
        <v>0</v>
      </c>
      <c r="I971" t="s">
        <v>24</v>
      </c>
      <c r="J971" t="s">
        <v>18</v>
      </c>
      <c r="K971">
        <v>10.5</v>
      </c>
      <c r="O971">
        <v>37.979999999999997</v>
      </c>
    </row>
    <row r="972" spans="1:15" x14ac:dyDescent="0.35">
      <c r="A972" t="s">
        <v>1299</v>
      </c>
      <c r="B972">
        <v>3</v>
      </c>
      <c r="C972">
        <v>30.99</v>
      </c>
      <c r="D972">
        <v>74.400000000000006</v>
      </c>
      <c r="E972" t="s">
        <v>1104</v>
      </c>
      <c r="F972" t="s">
        <v>1717</v>
      </c>
      <c r="G972" t="s">
        <v>16</v>
      </c>
      <c r="H972">
        <v>3</v>
      </c>
      <c r="I972" t="s">
        <v>17</v>
      </c>
      <c r="J972" t="s">
        <v>18</v>
      </c>
      <c r="K972">
        <v>10.5</v>
      </c>
      <c r="O972">
        <v>84.73</v>
      </c>
    </row>
    <row r="973" spans="1:15" x14ac:dyDescent="0.35">
      <c r="A973" t="s">
        <v>1300</v>
      </c>
      <c r="B973">
        <v>1</v>
      </c>
      <c r="C973">
        <v>21.99</v>
      </c>
      <c r="D973">
        <v>21.99</v>
      </c>
      <c r="E973" t="s">
        <v>413</v>
      </c>
      <c r="F973" t="s">
        <v>1718</v>
      </c>
      <c r="G973" t="s">
        <v>16</v>
      </c>
      <c r="H973">
        <v>3</v>
      </c>
      <c r="I973" t="s">
        <v>17</v>
      </c>
      <c r="J973" t="s">
        <v>13</v>
      </c>
      <c r="K973">
        <v>7</v>
      </c>
      <c r="O973">
        <v>21.99</v>
      </c>
    </row>
    <row r="974" spans="1:15" x14ac:dyDescent="0.35">
      <c r="A974" t="s">
        <v>1301</v>
      </c>
      <c r="B974">
        <v>1</v>
      </c>
      <c r="C974">
        <v>18.989999999999998</v>
      </c>
      <c r="D974">
        <v>18.989999999999998</v>
      </c>
      <c r="E974" t="s">
        <v>907</v>
      </c>
      <c r="F974" t="s">
        <v>1719</v>
      </c>
      <c r="G974" t="s">
        <v>16</v>
      </c>
      <c r="H974">
        <v>12</v>
      </c>
      <c r="I974" t="s">
        <v>41</v>
      </c>
      <c r="J974" t="s">
        <v>42</v>
      </c>
      <c r="K974">
        <v>6</v>
      </c>
      <c r="O974">
        <v>21.99</v>
      </c>
    </row>
    <row r="975" spans="1:15" x14ac:dyDescent="0.35">
      <c r="A975" t="s">
        <v>1302</v>
      </c>
      <c r="B975">
        <v>1</v>
      </c>
      <c r="C975">
        <v>16.989999999999998</v>
      </c>
      <c r="D975">
        <v>16.989999999999998</v>
      </c>
      <c r="E975" t="s">
        <v>616</v>
      </c>
      <c r="F975" t="s">
        <v>1720</v>
      </c>
      <c r="G975" t="s">
        <v>16</v>
      </c>
      <c r="H975">
        <v>20</v>
      </c>
      <c r="I975" t="s">
        <v>12</v>
      </c>
      <c r="J975" t="s">
        <v>25</v>
      </c>
      <c r="K975">
        <v>5</v>
      </c>
      <c r="O975">
        <v>21.99</v>
      </c>
    </row>
    <row r="976" spans="1:15" x14ac:dyDescent="0.35">
      <c r="A976" t="s">
        <v>1303</v>
      </c>
      <c r="B976">
        <v>1</v>
      </c>
      <c r="C976">
        <v>27.99</v>
      </c>
      <c r="D976">
        <v>27.99</v>
      </c>
      <c r="E976" t="s">
        <v>573</v>
      </c>
      <c r="F976" t="s">
        <v>1721</v>
      </c>
      <c r="G976" t="s">
        <v>16</v>
      </c>
      <c r="H976">
        <v>3</v>
      </c>
      <c r="I976" t="s">
        <v>12</v>
      </c>
      <c r="J976" t="s">
        <v>31</v>
      </c>
      <c r="K976">
        <v>9</v>
      </c>
      <c r="O976">
        <v>21.99</v>
      </c>
    </row>
    <row r="977" spans="1:15" x14ac:dyDescent="0.35">
      <c r="A977" t="s">
        <v>1304</v>
      </c>
      <c r="B977">
        <v>3</v>
      </c>
      <c r="C977">
        <v>30.99</v>
      </c>
      <c r="D977">
        <v>75.11</v>
      </c>
      <c r="E977" t="s">
        <v>775</v>
      </c>
      <c r="F977" t="s">
        <v>1722</v>
      </c>
      <c r="G977" t="s">
        <v>87</v>
      </c>
      <c r="H977">
        <v>0</v>
      </c>
      <c r="I977" t="s">
        <v>41</v>
      </c>
      <c r="J977" t="s">
        <v>18</v>
      </c>
      <c r="K977">
        <v>10.5</v>
      </c>
      <c r="O977">
        <v>84.73</v>
      </c>
    </row>
    <row r="978" spans="1:15" x14ac:dyDescent="0.35">
      <c r="A978" t="s">
        <v>1305</v>
      </c>
      <c r="B978">
        <v>3</v>
      </c>
      <c r="C978">
        <v>21.99</v>
      </c>
      <c r="D978">
        <v>52.23</v>
      </c>
      <c r="E978" t="s">
        <v>1306</v>
      </c>
      <c r="F978" t="s">
        <v>1723</v>
      </c>
      <c r="G978" t="s">
        <v>16</v>
      </c>
      <c r="H978">
        <v>2</v>
      </c>
      <c r="I978" t="s">
        <v>12</v>
      </c>
      <c r="J978" t="s">
        <v>13</v>
      </c>
      <c r="K978">
        <v>7</v>
      </c>
      <c r="O978">
        <v>84.73</v>
      </c>
    </row>
    <row r="979" spans="1:15" x14ac:dyDescent="0.35">
      <c r="A979" t="s">
        <v>1307</v>
      </c>
      <c r="B979">
        <v>1</v>
      </c>
      <c r="C979">
        <v>21.99</v>
      </c>
      <c r="D979">
        <v>21.99</v>
      </c>
      <c r="E979" t="s">
        <v>674</v>
      </c>
      <c r="F979" t="s">
        <v>1724</v>
      </c>
      <c r="G979" t="s">
        <v>16</v>
      </c>
      <c r="H979">
        <v>3</v>
      </c>
      <c r="I979" t="s">
        <v>41</v>
      </c>
      <c r="J979" t="s">
        <v>13</v>
      </c>
      <c r="K979">
        <v>7</v>
      </c>
      <c r="O979">
        <v>21.99</v>
      </c>
    </row>
    <row r="980" spans="1:15" x14ac:dyDescent="0.35">
      <c r="A980" t="s">
        <v>1308</v>
      </c>
      <c r="B980">
        <v>2</v>
      </c>
      <c r="C980">
        <v>34.99</v>
      </c>
      <c r="D980">
        <v>60.42</v>
      </c>
      <c r="E980" t="s">
        <v>416</v>
      </c>
      <c r="F980" t="s">
        <v>1725</v>
      </c>
      <c r="G980" t="s">
        <v>11</v>
      </c>
      <c r="H980">
        <v>8</v>
      </c>
      <c r="I980" t="s">
        <v>24</v>
      </c>
      <c r="J980" t="s">
        <v>36</v>
      </c>
      <c r="K980">
        <v>12.5</v>
      </c>
      <c r="O980">
        <v>37.979999999999997</v>
      </c>
    </row>
    <row r="981" spans="1:15" x14ac:dyDescent="0.35">
      <c r="A981" t="s">
        <v>1309</v>
      </c>
      <c r="B981">
        <v>1</v>
      </c>
      <c r="C981">
        <v>34.99</v>
      </c>
      <c r="D981">
        <v>34.99</v>
      </c>
      <c r="E981" t="s">
        <v>320</v>
      </c>
      <c r="F981" t="s">
        <v>1726</v>
      </c>
      <c r="G981" t="s">
        <v>21</v>
      </c>
      <c r="H981">
        <v>0</v>
      </c>
      <c r="I981" t="s">
        <v>24</v>
      </c>
      <c r="J981" t="s">
        <v>36</v>
      </c>
      <c r="K981">
        <v>12.5</v>
      </c>
      <c r="O981">
        <v>21.99</v>
      </c>
    </row>
    <row r="982" spans="1:15" x14ac:dyDescent="0.35">
      <c r="A982" t="s">
        <v>1310</v>
      </c>
      <c r="B982">
        <v>1</v>
      </c>
      <c r="C982">
        <v>18.989999999999998</v>
      </c>
      <c r="D982">
        <v>18.989999999999998</v>
      </c>
      <c r="E982" t="s">
        <v>539</v>
      </c>
      <c r="F982" t="s">
        <v>1727</v>
      </c>
      <c r="G982" t="s">
        <v>16</v>
      </c>
      <c r="H982">
        <v>10</v>
      </c>
      <c r="I982" t="s">
        <v>17</v>
      </c>
      <c r="J982" t="s">
        <v>42</v>
      </c>
      <c r="K982">
        <v>6</v>
      </c>
      <c r="O982">
        <v>21.99</v>
      </c>
    </row>
    <row r="983" spans="1:15" x14ac:dyDescent="0.35">
      <c r="A983" t="s">
        <v>1311</v>
      </c>
      <c r="B983">
        <v>3</v>
      </c>
      <c r="C983">
        <v>34.99</v>
      </c>
      <c r="D983">
        <v>84.02</v>
      </c>
      <c r="E983" t="s">
        <v>1312</v>
      </c>
      <c r="F983" t="s">
        <v>1728</v>
      </c>
      <c r="G983" t="s">
        <v>16</v>
      </c>
      <c r="H983">
        <v>5</v>
      </c>
      <c r="I983" t="s">
        <v>17</v>
      </c>
      <c r="J983" t="s">
        <v>36</v>
      </c>
      <c r="K983">
        <v>12.5</v>
      </c>
      <c r="O983">
        <v>84.73</v>
      </c>
    </row>
    <row r="984" spans="1:15" x14ac:dyDescent="0.35">
      <c r="A984" t="s">
        <v>1313</v>
      </c>
      <c r="B984">
        <v>2</v>
      </c>
      <c r="C984">
        <v>30.99</v>
      </c>
      <c r="D984">
        <v>54.22</v>
      </c>
      <c r="E984" t="s">
        <v>1314</v>
      </c>
      <c r="F984" t="s">
        <v>1717</v>
      </c>
      <c r="G984" t="s">
        <v>16</v>
      </c>
      <c r="H984">
        <v>3</v>
      </c>
      <c r="I984" t="s">
        <v>12</v>
      </c>
      <c r="J984" t="s">
        <v>18</v>
      </c>
      <c r="K984">
        <v>10.5</v>
      </c>
      <c r="O984">
        <v>37.979999999999997</v>
      </c>
    </row>
    <row r="985" spans="1:15" x14ac:dyDescent="0.35">
      <c r="A985" t="s">
        <v>1315</v>
      </c>
      <c r="B985">
        <v>3</v>
      </c>
      <c r="C985">
        <v>34.99</v>
      </c>
      <c r="D985">
        <v>84.97</v>
      </c>
      <c r="E985" t="s">
        <v>657</v>
      </c>
      <c r="F985" t="s">
        <v>1718</v>
      </c>
      <c r="G985" t="s">
        <v>87</v>
      </c>
      <c r="H985">
        <v>0</v>
      </c>
      <c r="I985" t="s">
        <v>17</v>
      </c>
      <c r="J985" t="s">
        <v>36</v>
      </c>
      <c r="K985">
        <v>12.5</v>
      </c>
      <c r="O985">
        <v>84.73</v>
      </c>
    </row>
    <row r="986" spans="1:15" x14ac:dyDescent="0.35">
      <c r="A986" t="s">
        <v>1316</v>
      </c>
      <c r="B986">
        <v>1</v>
      </c>
      <c r="C986">
        <v>30.99</v>
      </c>
      <c r="D986">
        <v>30.99</v>
      </c>
      <c r="E986" t="s">
        <v>35</v>
      </c>
      <c r="F986" t="s">
        <v>1719</v>
      </c>
      <c r="G986" t="s">
        <v>16</v>
      </c>
      <c r="H986">
        <v>2</v>
      </c>
      <c r="I986" t="s">
        <v>12</v>
      </c>
      <c r="J986" t="s">
        <v>18</v>
      </c>
      <c r="K986">
        <v>10.5</v>
      </c>
      <c r="O986">
        <v>21.99</v>
      </c>
    </row>
    <row r="987" spans="1:15" x14ac:dyDescent="0.35">
      <c r="A987" t="s">
        <v>1317</v>
      </c>
      <c r="B987">
        <v>3</v>
      </c>
      <c r="C987">
        <v>18.989999999999998</v>
      </c>
      <c r="D987">
        <v>44.98</v>
      </c>
      <c r="E987" t="s">
        <v>808</v>
      </c>
      <c r="F987" t="s">
        <v>1720</v>
      </c>
      <c r="G987" t="s">
        <v>28</v>
      </c>
      <c r="H987">
        <v>0</v>
      </c>
      <c r="I987" t="s">
        <v>17</v>
      </c>
      <c r="J987" t="s">
        <v>42</v>
      </c>
      <c r="K987">
        <v>6</v>
      </c>
      <c r="O987">
        <v>84.73</v>
      </c>
    </row>
    <row r="988" spans="1:15" x14ac:dyDescent="0.35">
      <c r="A988" t="s">
        <v>1318</v>
      </c>
      <c r="B988">
        <v>1</v>
      </c>
      <c r="C988">
        <v>27.99</v>
      </c>
      <c r="D988">
        <v>27.99</v>
      </c>
      <c r="E988" t="s">
        <v>1319</v>
      </c>
      <c r="F988" t="s">
        <v>1721</v>
      </c>
      <c r="G988" t="s">
        <v>21</v>
      </c>
      <c r="H988">
        <v>0</v>
      </c>
      <c r="I988" t="s">
        <v>12</v>
      </c>
      <c r="J988" t="s">
        <v>31</v>
      </c>
      <c r="K988">
        <v>9</v>
      </c>
      <c r="O988">
        <v>21.99</v>
      </c>
    </row>
    <row r="989" spans="1:15" x14ac:dyDescent="0.35">
      <c r="A989" t="s">
        <v>1320</v>
      </c>
      <c r="B989">
        <v>1</v>
      </c>
      <c r="C989">
        <v>27.99</v>
      </c>
      <c r="D989">
        <v>27.99</v>
      </c>
      <c r="E989" t="s">
        <v>688</v>
      </c>
      <c r="F989" t="s">
        <v>1722</v>
      </c>
      <c r="G989" t="s">
        <v>21</v>
      </c>
      <c r="H989">
        <v>0</v>
      </c>
      <c r="I989" t="s">
        <v>24</v>
      </c>
      <c r="J989" t="s">
        <v>31</v>
      </c>
      <c r="K989">
        <v>9</v>
      </c>
      <c r="O989">
        <v>21.99</v>
      </c>
    </row>
    <row r="990" spans="1:15" x14ac:dyDescent="0.35">
      <c r="A990" t="s">
        <v>1321</v>
      </c>
      <c r="B990">
        <v>3</v>
      </c>
      <c r="C990">
        <v>21.99</v>
      </c>
      <c r="D990">
        <v>52.52</v>
      </c>
      <c r="E990" t="s">
        <v>1064</v>
      </c>
      <c r="F990" t="s">
        <v>1723</v>
      </c>
      <c r="G990" t="s">
        <v>28</v>
      </c>
      <c r="H990">
        <v>0</v>
      </c>
      <c r="I990" t="s">
        <v>24</v>
      </c>
      <c r="J990" t="s">
        <v>13</v>
      </c>
      <c r="K990">
        <v>7</v>
      </c>
      <c r="O990">
        <v>84.73</v>
      </c>
    </row>
    <row r="991" spans="1:15" x14ac:dyDescent="0.35">
      <c r="A991" t="s">
        <v>1322</v>
      </c>
      <c r="B991">
        <v>1</v>
      </c>
      <c r="C991">
        <v>30.99</v>
      </c>
      <c r="D991">
        <v>30.99</v>
      </c>
      <c r="E991" t="s">
        <v>941</v>
      </c>
      <c r="F991" t="s">
        <v>1724</v>
      </c>
      <c r="G991" t="s">
        <v>11</v>
      </c>
      <c r="H991">
        <v>3</v>
      </c>
      <c r="I991" t="s">
        <v>24</v>
      </c>
      <c r="J991" t="s">
        <v>18</v>
      </c>
      <c r="K991">
        <v>10.5</v>
      </c>
      <c r="O991">
        <v>21.99</v>
      </c>
    </row>
    <row r="992" spans="1:15" x14ac:dyDescent="0.35">
      <c r="A992" t="s">
        <v>1323</v>
      </c>
      <c r="B992">
        <v>1</v>
      </c>
      <c r="C992">
        <v>30.99</v>
      </c>
      <c r="D992">
        <v>30.99</v>
      </c>
      <c r="E992" t="s">
        <v>1324</v>
      </c>
      <c r="F992" t="s">
        <v>1725</v>
      </c>
      <c r="G992" t="s">
        <v>11</v>
      </c>
      <c r="H992">
        <v>2</v>
      </c>
      <c r="I992" t="s">
        <v>12</v>
      </c>
      <c r="J992" t="s">
        <v>18</v>
      </c>
      <c r="K992">
        <v>10.5</v>
      </c>
      <c r="O992">
        <v>21.99</v>
      </c>
    </row>
    <row r="993" spans="1:15" x14ac:dyDescent="0.35">
      <c r="A993" t="s">
        <v>1325</v>
      </c>
      <c r="B993">
        <v>1</v>
      </c>
      <c r="C993">
        <v>27.99</v>
      </c>
      <c r="D993">
        <v>27.99</v>
      </c>
      <c r="E993" t="s">
        <v>1326</v>
      </c>
      <c r="F993" t="s">
        <v>1726</v>
      </c>
      <c r="G993" t="s">
        <v>21</v>
      </c>
      <c r="H993">
        <v>0</v>
      </c>
      <c r="I993" t="s">
        <v>24</v>
      </c>
      <c r="J993" t="s">
        <v>31</v>
      </c>
      <c r="K993">
        <v>9</v>
      </c>
      <c r="O993">
        <v>21.99</v>
      </c>
    </row>
    <row r="994" spans="1:15" x14ac:dyDescent="0.35">
      <c r="A994" t="s">
        <v>1327</v>
      </c>
      <c r="B994">
        <v>1</v>
      </c>
      <c r="C994">
        <v>27.99</v>
      </c>
      <c r="D994">
        <v>27.99</v>
      </c>
      <c r="E994" t="s">
        <v>1328</v>
      </c>
      <c r="F994" t="s">
        <v>1727</v>
      </c>
      <c r="G994" t="s">
        <v>16</v>
      </c>
      <c r="H994">
        <v>2</v>
      </c>
      <c r="I994" t="s">
        <v>17</v>
      </c>
      <c r="J994" t="s">
        <v>31</v>
      </c>
      <c r="K994">
        <v>9</v>
      </c>
      <c r="O994">
        <v>21.99</v>
      </c>
    </row>
    <row r="995" spans="1:15" x14ac:dyDescent="0.35">
      <c r="A995" t="s">
        <v>1329</v>
      </c>
      <c r="B995">
        <v>1</v>
      </c>
      <c r="C995">
        <v>34.99</v>
      </c>
      <c r="D995">
        <v>34.99</v>
      </c>
      <c r="E995" t="s">
        <v>1330</v>
      </c>
      <c r="F995" t="s">
        <v>1728</v>
      </c>
      <c r="G995" t="s">
        <v>16</v>
      </c>
      <c r="H995">
        <v>8</v>
      </c>
      <c r="I995" t="s">
        <v>41</v>
      </c>
      <c r="J995" t="s">
        <v>36</v>
      </c>
      <c r="K995">
        <v>12.5</v>
      </c>
      <c r="O995">
        <v>21.99</v>
      </c>
    </row>
    <row r="996" spans="1:15" x14ac:dyDescent="0.35">
      <c r="A996" t="s">
        <v>1331</v>
      </c>
      <c r="B996">
        <v>3</v>
      </c>
      <c r="C996">
        <v>18.989999999999998</v>
      </c>
      <c r="D996">
        <v>45.19</v>
      </c>
      <c r="E996" t="s">
        <v>897</v>
      </c>
      <c r="F996" t="s">
        <v>1717</v>
      </c>
      <c r="G996" t="s">
        <v>21</v>
      </c>
      <c r="H996">
        <v>0</v>
      </c>
      <c r="I996" t="s">
        <v>12</v>
      </c>
      <c r="J996" t="s">
        <v>42</v>
      </c>
      <c r="K996">
        <v>6</v>
      </c>
      <c r="O996">
        <v>84.73</v>
      </c>
    </row>
    <row r="997" spans="1:15" x14ac:dyDescent="0.35">
      <c r="A997" t="s">
        <v>1332</v>
      </c>
      <c r="B997">
        <v>2</v>
      </c>
      <c r="C997">
        <v>21.99</v>
      </c>
      <c r="D997">
        <v>38.130000000000003</v>
      </c>
      <c r="E997" t="s">
        <v>102</v>
      </c>
      <c r="F997" t="s">
        <v>1718</v>
      </c>
      <c r="G997" t="s">
        <v>16</v>
      </c>
      <c r="H997">
        <v>3</v>
      </c>
      <c r="I997" t="s">
        <v>41</v>
      </c>
      <c r="J997" t="s">
        <v>13</v>
      </c>
      <c r="K997">
        <v>7</v>
      </c>
      <c r="O997">
        <v>37.979999999999997</v>
      </c>
    </row>
    <row r="998" spans="1:15" x14ac:dyDescent="0.35">
      <c r="A998" t="s">
        <v>1333</v>
      </c>
      <c r="B998">
        <v>2</v>
      </c>
      <c r="C998">
        <v>16.989999999999998</v>
      </c>
      <c r="D998">
        <v>29.31</v>
      </c>
      <c r="E998" t="s">
        <v>1056</v>
      </c>
      <c r="F998" t="s">
        <v>1719</v>
      </c>
      <c r="G998" t="s">
        <v>16</v>
      </c>
      <c r="H998">
        <v>19</v>
      </c>
      <c r="I998" t="s">
        <v>24</v>
      </c>
      <c r="J998" t="s">
        <v>25</v>
      </c>
      <c r="K998">
        <v>5</v>
      </c>
      <c r="O998">
        <v>37.979999999999997</v>
      </c>
    </row>
    <row r="999" spans="1:15" x14ac:dyDescent="0.35">
      <c r="A999" t="s">
        <v>1334</v>
      </c>
      <c r="B999">
        <v>1</v>
      </c>
      <c r="C999">
        <v>16.989999999999998</v>
      </c>
      <c r="D999">
        <v>16.989999999999998</v>
      </c>
      <c r="E999" t="s">
        <v>1209</v>
      </c>
      <c r="F999" t="s">
        <v>1720</v>
      </c>
      <c r="G999" t="s">
        <v>16</v>
      </c>
      <c r="H999">
        <v>16</v>
      </c>
      <c r="I999" t="s">
        <v>12</v>
      </c>
      <c r="J999" t="s">
        <v>25</v>
      </c>
      <c r="K999">
        <v>5</v>
      </c>
      <c r="O999">
        <v>21.99</v>
      </c>
    </row>
    <row r="1000" spans="1:15" x14ac:dyDescent="0.35">
      <c r="A1000" t="s">
        <v>1335</v>
      </c>
      <c r="B1000">
        <v>1</v>
      </c>
      <c r="C1000">
        <v>30.99</v>
      </c>
      <c r="D1000">
        <v>30.99</v>
      </c>
      <c r="E1000" t="s">
        <v>431</v>
      </c>
      <c r="F1000" t="s">
        <v>1721</v>
      </c>
      <c r="G1000" t="s">
        <v>21</v>
      </c>
      <c r="H1000">
        <v>0</v>
      </c>
      <c r="I1000" t="s">
        <v>17</v>
      </c>
      <c r="J1000" t="s">
        <v>18</v>
      </c>
      <c r="K1000">
        <v>10.5</v>
      </c>
      <c r="O1000">
        <v>21.99</v>
      </c>
    </row>
    <row r="1001" spans="1:15" x14ac:dyDescent="0.35">
      <c r="A1001" t="s">
        <v>1336</v>
      </c>
      <c r="B1001">
        <v>3</v>
      </c>
      <c r="C1001">
        <v>34.99</v>
      </c>
      <c r="D1001">
        <v>82.82</v>
      </c>
      <c r="E1001" t="s">
        <v>1337</v>
      </c>
      <c r="F1001" t="s">
        <v>1722</v>
      </c>
      <c r="G1001" t="s">
        <v>21</v>
      </c>
      <c r="H1001">
        <v>0</v>
      </c>
      <c r="I1001" t="s">
        <v>17</v>
      </c>
      <c r="J1001" t="s">
        <v>36</v>
      </c>
      <c r="K1001">
        <v>12.5</v>
      </c>
      <c r="O1001">
        <v>84.73</v>
      </c>
    </row>
    <row r="1002" spans="1:15" x14ac:dyDescent="0.35">
      <c r="A1002" t="s">
        <v>1338</v>
      </c>
      <c r="B1002">
        <v>1</v>
      </c>
      <c r="C1002">
        <v>27.99</v>
      </c>
      <c r="D1002">
        <v>27.99</v>
      </c>
      <c r="E1002" t="s">
        <v>1005</v>
      </c>
      <c r="F1002" t="s">
        <v>1723</v>
      </c>
      <c r="G1002" t="s">
        <v>16</v>
      </c>
      <c r="H1002">
        <v>2</v>
      </c>
      <c r="I1002" t="s">
        <v>17</v>
      </c>
      <c r="J1002" t="s">
        <v>31</v>
      </c>
      <c r="K1002">
        <v>9</v>
      </c>
      <c r="O1002">
        <v>21.99</v>
      </c>
    </row>
    <row r="1003" spans="1:15" x14ac:dyDescent="0.35">
      <c r="A1003" t="s">
        <v>1339</v>
      </c>
      <c r="B1003">
        <v>1</v>
      </c>
      <c r="C1003">
        <v>18.989999999999998</v>
      </c>
      <c r="D1003">
        <v>18.989999999999998</v>
      </c>
      <c r="E1003" t="s">
        <v>1005</v>
      </c>
      <c r="F1003" t="s">
        <v>1724</v>
      </c>
      <c r="G1003" t="s">
        <v>16</v>
      </c>
      <c r="H1003">
        <v>19</v>
      </c>
      <c r="I1003" t="s">
        <v>12</v>
      </c>
      <c r="J1003" t="s">
        <v>42</v>
      </c>
      <c r="K1003">
        <v>6</v>
      </c>
      <c r="O1003">
        <v>21.99</v>
      </c>
    </row>
    <row r="1004" spans="1:15" x14ac:dyDescent="0.35">
      <c r="A1004" t="s">
        <v>1340</v>
      </c>
      <c r="B1004">
        <v>1</v>
      </c>
      <c r="C1004">
        <v>16.989999999999998</v>
      </c>
      <c r="D1004">
        <v>16.989999999999998</v>
      </c>
      <c r="E1004" s="6">
        <v>46223</v>
      </c>
      <c r="F1004" t="s">
        <v>1725</v>
      </c>
      <c r="G1004" t="s">
        <v>16</v>
      </c>
      <c r="H1004">
        <v>18</v>
      </c>
      <c r="I1004" t="s">
        <v>12</v>
      </c>
      <c r="J1004" t="s">
        <v>25</v>
      </c>
      <c r="K1004">
        <v>5</v>
      </c>
      <c r="O1004">
        <v>21.99</v>
      </c>
    </row>
    <row r="1005" spans="1:15" x14ac:dyDescent="0.35">
      <c r="A1005" t="s">
        <v>1341</v>
      </c>
      <c r="B1005">
        <v>1</v>
      </c>
      <c r="C1005">
        <v>27.99</v>
      </c>
      <c r="D1005">
        <v>27.99</v>
      </c>
      <c r="E1005" t="s">
        <v>176</v>
      </c>
      <c r="F1005" t="s">
        <v>1726</v>
      </c>
      <c r="G1005" t="s">
        <v>16</v>
      </c>
      <c r="H1005">
        <v>2</v>
      </c>
      <c r="I1005" t="s">
        <v>17</v>
      </c>
      <c r="J1005" t="s">
        <v>31</v>
      </c>
      <c r="K1005">
        <v>9</v>
      </c>
      <c r="O1005">
        <v>21.99</v>
      </c>
    </row>
    <row r="1006" spans="1:15" x14ac:dyDescent="0.35">
      <c r="A1006" t="s">
        <v>1342</v>
      </c>
      <c r="B1006">
        <v>1</v>
      </c>
      <c r="C1006">
        <v>21.99</v>
      </c>
      <c r="D1006">
        <v>21.99</v>
      </c>
      <c r="E1006" t="s">
        <v>958</v>
      </c>
      <c r="F1006" t="s">
        <v>1727</v>
      </c>
      <c r="G1006" t="s">
        <v>16</v>
      </c>
      <c r="H1006">
        <v>2</v>
      </c>
      <c r="I1006" t="s">
        <v>41</v>
      </c>
      <c r="J1006" t="s">
        <v>13</v>
      </c>
      <c r="K1006">
        <v>7</v>
      </c>
      <c r="O1006">
        <v>21.99</v>
      </c>
    </row>
    <row r="1007" spans="1:15" x14ac:dyDescent="0.35">
      <c r="A1007" t="s">
        <v>1343</v>
      </c>
      <c r="B1007">
        <v>2</v>
      </c>
      <c r="C1007">
        <v>34.99</v>
      </c>
      <c r="D1007">
        <v>61.02</v>
      </c>
      <c r="E1007" t="s">
        <v>429</v>
      </c>
      <c r="F1007" t="s">
        <v>1728</v>
      </c>
      <c r="G1007" t="s">
        <v>16</v>
      </c>
      <c r="H1007">
        <v>7</v>
      </c>
      <c r="I1007" t="s">
        <v>17</v>
      </c>
      <c r="J1007" t="s">
        <v>36</v>
      </c>
      <c r="K1007">
        <v>12.5</v>
      </c>
      <c r="O1007">
        <v>37.979999999999997</v>
      </c>
    </row>
    <row r="1008" spans="1:15" x14ac:dyDescent="0.35">
      <c r="A1008" t="s">
        <v>1344</v>
      </c>
      <c r="B1008">
        <v>1</v>
      </c>
      <c r="C1008">
        <v>34.99</v>
      </c>
      <c r="D1008">
        <v>34.99</v>
      </c>
      <c r="E1008" t="s">
        <v>1345</v>
      </c>
      <c r="F1008" t="s">
        <v>1717</v>
      </c>
      <c r="G1008" t="s">
        <v>16</v>
      </c>
      <c r="H1008">
        <v>6</v>
      </c>
      <c r="I1008" t="s">
        <v>17</v>
      </c>
      <c r="J1008" t="s">
        <v>36</v>
      </c>
      <c r="K1008">
        <v>12.5</v>
      </c>
      <c r="O1008">
        <v>21.99</v>
      </c>
    </row>
    <row r="1009" spans="1:15" x14ac:dyDescent="0.35">
      <c r="A1009" t="s">
        <v>1346</v>
      </c>
      <c r="B1009">
        <v>1</v>
      </c>
      <c r="C1009">
        <v>34.99</v>
      </c>
      <c r="D1009">
        <v>34.99</v>
      </c>
      <c r="E1009" t="s">
        <v>582</v>
      </c>
      <c r="F1009" t="s">
        <v>1718</v>
      </c>
      <c r="G1009" t="s">
        <v>21</v>
      </c>
      <c r="H1009">
        <v>0</v>
      </c>
      <c r="I1009" t="s">
        <v>24</v>
      </c>
      <c r="J1009" t="s">
        <v>36</v>
      </c>
      <c r="K1009">
        <v>12.5</v>
      </c>
      <c r="O1009">
        <v>21.99</v>
      </c>
    </row>
    <row r="1010" spans="1:15" x14ac:dyDescent="0.35">
      <c r="A1010" t="s">
        <v>1347</v>
      </c>
      <c r="B1010">
        <v>1</v>
      </c>
      <c r="C1010">
        <v>30.99</v>
      </c>
      <c r="D1010">
        <v>30.99</v>
      </c>
      <c r="E1010" t="s">
        <v>579</v>
      </c>
      <c r="F1010" t="s">
        <v>1719</v>
      </c>
      <c r="G1010" t="s">
        <v>16</v>
      </c>
      <c r="H1010">
        <v>2</v>
      </c>
      <c r="I1010" t="s">
        <v>24</v>
      </c>
      <c r="J1010" t="s">
        <v>18</v>
      </c>
      <c r="K1010">
        <v>10.5</v>
      </c>
      <c r="O1010">
        <v>21.99</v>
      </c>
    </row>
    <row r="1011" spans="1:15" x14ac:dyDescent="0.35">
      <c r="A1011" t="s">
        <v>1348</v>
      </c>
      <c r="B1011">
        <v>2</v>
      </c>
      <c r="C1011">
        <v>27.99</v>
      </c>
      <c r="D1011">
        <v>48.61</v>
      </c>
      <c r="E1011" t="s">
        <v>793</v>
      </c>
      <c r="F1011" t="s">
        <v>1720</v>
      </c>
      <c r="G1011" t="s">
        <v>87</v>
      </c>
      <c r="H1011">
        <v>0</v>
      </c>
      <c r="I1011" t="s">
        <v>41</v>
      </c>
      <c r="J1011" t="s">
        <v>31</v>
      </c>
      <c r="K1011">
        <v>9</v>
      </c>
      <c r="O1011">
        <v>37.979999999999997</v>
      </c>
    </row>
    <row r="1012" spans="1:15" x14ac:dyDescent="0.35">
      <c r="A1012" t="s">
        <v>1349</v>
      </c>
      <c r="B1012">
        <v>1</v>
      </c>
      <c r="C1012">
        <v>34.99</v>
      </c>
      <c r="D1012">
        <v>34.99</v>
      </c>
      <c r="E1012" t="s">
        <v>775</v>
      </c>
      <c r="F1012" t="s">
        <v>1721</v>
      </c>
      <c r="G1012" t="s">
        <v>28</v>
      </c>
      <c r="H1012">
        <v>0</v>
      </c>
      <c r="I1012" t="s">
        <v>24</v>
      </c>
      <c r="J1012" t="s">
        <v>36</v>
      </c>
      <c r="K1012">
        <v>12.5</v>
      </c>
      <c r="O1012">
        <v>21.99</v>
      </c>
    </row>
    <row r="1013" spans="1:15" x14ac:dyDescent="0.35">
      <c r="A1013" t="s">
        <v>1350</v>
      </c>
      <c r="B1013">
        <v>1</v>
      </c>
      <c r="C1013">
        <v>27.99</v>
      </c>
      <c r="D1013">
        <v>27.99</v>
      </c>
      <c r="E1013" t="s">
        <v>1156</v>
      </c>
      <c r="F1013" t="s">
        <v>1722</v>
      </c>
      <c r="G1013" t="s">
        <v>16</v>
      </c>
      <c r="H1013">
        <v>3</v>
      </c>
      <c r="I1013" t="s">
        <v>24</v>
      </c>
      <c r="J1013" t="s">
        <v>31</v>
      </c>
      <c r="K1013">
        <v>9</v>
      </c>
      <c r="O1013">
        <v>21.99</v>
      </c>
    </row>
    <row r="1014" spans="1:15" x14ac:dyDescent="0.35">
      <c r="A1014" t="s">
        <v>1351</v>
      </c>
      <c r="B1014">
        <v>1</v>
      </c>
      <c r="C1014">
        <v>16.989999999999998</v>
      </c>
      <c r="D1014">
        <v>16.989999999999998</v>
      </c>
      <c r="E1014" t="s">
        <v>1352</v>
      </c>
      <c r="F1014" t="s">
        <v>1723</v>
      </c>
      <c r="G1014" t="s">
        <v>16</v>
      </c>
      <c r="H1014">
        <v>16</v>
      </c>
      <c r="I1014" t="s">
        <v>12</v>
      </c>
      <c r="J1014" t="s">
        <v>25</v>
      </c>
      <c r="K1014">
        <v>5</v>
      </c>
      <c r="O1014">
        <v>21.99</v>
      </c>
    </row>
    <row r="1015" spans="1:15" x14ac:dyDescent="0.35">
      <c r="A1015" t="s">
        <v>1353</v>
      </c>
      <c r="B1015">
        <v>3</v>
      </c>
      <c r="C1015">
        <v>21.99</v>
      </c>
      <c r="D1015">
        <v>52.66</v>
      </c>
      <c r="E1015" t="s">
        <v>657</v>
      </c>
      <c r="F1015" t="s">
        <v>1724</v>
      </c>
      <c r="G1015" t="s">
        <v>16</v>
      </c>
      <c r="H1015">
        <v>3</v>
      </c>
      <c r="I1015" t="s">
        <v>17</v>
      </c>
      <c r="J1015" t="s">
        <v>13</v>
      </c>
      <c r="K1015">
        <v>7</v>
      </c>
      <c r="O1015">
        <v>84.73</v>
      </c>
    </row>
    <row r="1016" spans="1:15" x14ac:dyDescent="0.35">
      <c r="A1016" t="s">
        <v>1354</v>
      </c>
      <c r="B1016">
        <v>1</v>
      </c>
      <c r="C1016">
        <v>30.99</v>
      </c>
      <c r="D1016">
        <v>30.99</v>
      </c>
      <c r="E1016" t="s">
        <v>84</v>
      </c>
      <c r="F1016" t="s">
        <v>1725</v>
      </c>
      <c r="G1016" t="s">
        <v>16</v>
      </c>
      <c r="H1016">
        <v>2</v>
      </c>
      <c r="I1016" t="s">
        <v>17</v>
      </c>
      <c r="J1016" t="s">
        <v>18</v>
      </c>
      <c r="K1016">
        <v>10.5</v>
      </c>
      <c r="O1016">
        <v>21.99</v>
      </c>
    </row>
    <row r="1017" spans="1:15" x14ac:dyDescent="0.35">
      <c r="A1017" t="s">
        <v>1355</v>
      </c>
      <c r="B1017">
        <v>3</v>
      </c>
      <c r="C1017">
        <v>21.99</v>
      </c>
      <c r="D1017">
        <v>51.96</v>
      </c>
      <c r="E1017" t="s">
        <v>1306</v>
      </c>
      <c r="F1017" t="s">
        <v>1726</v>
      </c>
      <c r="G1017" t="s">
        <v>87</v>
      </c>
      <c r="H1017">
        <v>0</v>
      </c>
      <c r="I1017" t="s">
        <v>24</v>
      </c>
      <c r="J1017" t="s">
        <v>13</v>
      </c>
      <c r="K1017">
        <v>7</v>
      </c>
      <c r="O1017">
        <v>84.73</v>
      </c>
    </row>
    <row r="1018" spans="1:15" x14ac:dyDescent="0.35">
      <c r="A1018" t="s">
        <v>1356</v>
      </c>
      <c r="B1018">
        <v>2</v>
      </c>
      <c r="C1018">
        <v>27.99</v>
      </c>
      <c r="D1018">
        <v>48.1</v>
      </c>
      <c r="E1018" t="s">
        <v>431</v>
      </c>
      <c r="F1018" t="s">
        <v>1727</v>
      </c>
      <c r="G1018" t="s">
        <v>16</v>
      </c>
      <c r="H1018">
        <v>2</v>
      </c>
      <c r="I1018" t="s">
        <v>24</v>
      </c>
      <c r="J1018" t="s">
        <v>31</v>
      </c>
      <c r="K1018">
        <v>9</v>
      </c>
      <c r="O1018">
        <v>37.979999999999997</v>
      </c>
    </row>
    <row r="1019" spans="1:15" x14ac:dyDescent="0.35">
      <c r="A1019" t="s">
        <v>1357</v>
      </c>
      <c r="B1019">
        <v>1</v>
      </c>
      <c r="C1019">
        <v>30.99</v>
      </c>
      <c r="D1019">
        <v>30.99</v>
      </c>
      <c r="E1019" t="s">
        <v>176</v>
      </c>
      <c r="F1019" t="s">
        <v>1728</v>
      </c>
      <c r="G1019" t="s">
        <v>16</v>
      </c>
      <c r="H1019">
        <v>3</v>
      </c>
      <c r="I1019" t="s">
        <v>41</v>
      </c>
      <c r="J1019" t="s">
        <v>18</v>
      </c>
      <c r="K1019">
        <v>10.5</v>
      </c>
      <c r="O1019">
        <v>21.99</v>
      </c>
    </row>
    <row r="1020" spans="1:15" x14ac:dyDescent="0.35">
      <c r="A1020" t="s">
        <v>1358</v>
      </c>
      <c r="B1020">
        <v>3</v>
      </c>
      <c r="C1020">
        <v>18.989999999999998</v>
      </c>
      <c r="D1020">
        <v>45.28</v>
      </c>
      <c r="E1020" t="s">
        <v>1022</v>
      </c>
      <c r="F1020" t="s">
        <v>1717</v>
      </c>
      <c r="G1020" t="s">
        <v>16</v>
      </c>
      <c r="H1020">
        <v>14</v>
      </c>
      <c r="I1020" t="s">
        <v>12</v>
      </c>
      <c r="J1020" t="s">
        <v>42</v>
      </c>
      <c r="K1020">
        <v>6</v>
      </c>
      <c r="O1020">
        <v>84.73</v>
      </c>
    </row>
    <row r="1021" spans="1:15" x14ac:dyDescent="0.35">
      <c r="A1021" t="s">
        <v>1359</v>
      </c>
      <c r="B1021">
        <v>3</v>
      </c>
      <c r="C1021">
        <v>27.99</v>
      </c>
      <c r="D1021">
        <v>66.239999999999995</v>
      </c>
      <c r="E1021" t="s">
        <v>1268</v>
      </c>
      <c r="F1021" t="s">
        <v>1718</v>
      </c>
      <c r="G1021" t="s">
        <v>21</v>
      </c>
      <c r="H1021">
        <v>0</v>
      </c>
      <c r="I1021" t="s">
        <v>17</v>
      </c>
      <c r="J1021" t="s">
        <v>31</v>
      </c>
      <c r="K1021">
        <v>9</v>
      </c>
      <c r="O1021">
        <v>84.73</v>
      </c>
    </row>
    <row r="1022" spans="1:15" x14ac:dyDescent="0.35">
      <c r="A1022" t="s">
        <v>1360</v>
      </c>
      <c r="B1022">
        <v>1</v>
      </c>
      <c r="C1022">
        <v>27.99</v>
      </c>
      <c r="D1022">
        <v>27.99</v>
      </c>
      <c r="E1022" t="s">
        <v>122</v>
      </c>
      <c r="F1022" t="s">
        <v>1719</v>
      </c>
      <c r="G1022" t="s">
        <v>16</v>
      </c>
      <c r="H1022">
        <v>3</v>
      </c>
      <c r="I1022" t="s">
        <v>24</v>
      </c>
      <c r="J1022" t="s">
        <v>31</v>
      </c>
      <c r="K1022">
        <v>9</v>
      </c>
      <c r="O1022">
        <v>21.99</v>
      </c>
    </row>
    <row r="1023" spans="1:15" x14ac:dyDescent="0.35">
      <c r="A1023" t="s">
        <v>1361</v>
      </c>
      <c r="B1023">
        <v>1</v>
      </c>
      <c r="C1023">
        <v>18.989999999999998</v>
      </c>
      <c r="D1023">
        <v>18.989999999999998</v>
      </c>
      <c r="E1023" t="s">
        <v>148</v>
      </c>
      <c r="F1023" t="s">
        <v>1720</v>
      </c>
      <c r="G1023" t="s">
        <v>16</v>
      </c>
      <c r="H1023">
        <v>10</v>
      </c>
      <c r="I1023" t="s">
        <v>12</v>
      </c>
      <c r="J1023" t="s">
        <v>42</v>
      </c>
      <c r="K1023">
        <v>6</v>
      </c>
      <c r="O1023">
        <v>21.99</v>
      </c>
    </row>
    <row r="1024" spans="1:15" x14ac:dyDescent="0.35">
      <c r="A1024" t="s">
        <v>1362</v>
      </c>
      <c r="B1024">
        <v>2</v>
      </c>
      <c r="C1024">
        <v>27.99</v>
      </c>
      <c r="D1024">
        <v>48.54</v>
      </c>
      <c r="E1024" t="s">
        <v>857</v>
      </c>
      <c r="F1024" t="s">
        <v>1721</v>
      </c>
      <c r="G1024" t="s">
        <v>28</v>
      </c>
      <c r="H1024">
        <v>0</v>
      </c>
      <c r="I1024" t="s">
        <v>17</v>
      </c>
      <c r="J1024" t="s">
        <v>31</v>
      </c>
      <c r="K1024">
        <v>9</v>
      </c>
      <c r="O1024">
        <v>37.979999999999997</v>
      </c>
    </row>
    <row r="1025" spans="1:15" x14ac:dyDescent="0.35">
      <c r="A1025" t="s">
        <v>1363</v>
      </c>
      <c r="B1025">
        <v>3</v>
      </c>
      <c r="C1025">
        <v>16.989999999999998</v>
      </c>
      <c r="D1025">
        <v>41.09</v>
      </c>
      <c r="E1025" t="s">
        <v>699</v>
      </c>
      <c r="F1025" t="s">
        <v>1722</v>
      </c>
      <c r="G1025" t="s">
        <v>87</v>
      </c>
      <c r="H1025">
        <v>0</v>
      </c>
      <c r="I1025" t="s">
        <v>12</v>
      </c>
      <c r="J1025" t="s">
        <v>25</v>
      </c>
      <c r="K1025">
        <v>5</v>
      </c>
      <c r="O1025">
        <v>84.73</v>
      </c>
    </row>
    <row r="1026" spans="1:15" x14ac:dyDescent="0.35">
      <c r="A1026" t="s">
        <v>1364</v>
      </c>
      <c r="B1026">
        <v>1</v>
      </c>
      <c r="C1026">
        <v>30.99</v>
      </c>
      <c r="D1026">
        <v>30.99</v>
      </c>
      <c r="E1026" t="s">
        <v>1114</v>
      </c>
      <c r="F1026" t="s">
        <v>1723</v>
      </c>
      <c r="G1026" t="s">
        <v>16</v>
      </c>
      <c r="H1026">
        <v>3</v>
      </c>
      <c r="I1026" t="s">
        <v>41</v>
      </c>
      <c r="J1026" t="s">
        <v>18</v>
      </c>
      <c r="K1026">
        <v>10.5</v>
      </c>
      <c r="O1026">
        <v>21.99</v>
      </c>
    </row>
    <row r="1027" spans="1:15" x14ac:dyDescent="0.35">
      <c r="A1027" t="s">
        <v>1365</v>
      </c>
      <c r="B1027">
        <v>1</v>
      </c>
      <c r="C1027">
        <v>18.989999999999998</v>
      </c>
      <c r="D1027">
        <v>18.989999999999998</v>
      </c>
      <c r="E1027" t="s">
        <v>703</v>
      </c>
      <c r="F1027" t="s">
        <v>1724</v>
      </c>
      <c r="G1027" t="s">
        <v>21</v>
      </c>
      <c r="H1027">
        <v>0</v>
      </c>
      <c r="I1027" t="s">
        <v>12</v>
      </c>
      <c r="J1027" t="s">
        <v>42</v>
      </c>
      <c r="K1027">
        <v>6</v>
      </c>
      <c r="O1027">
        <v>21.99</v>
      </c>
    </row>
    <row r="1028" spans="1:15" x14ac:dyDescent="0.35">
      <c r="A1028" t="s">
        <v>1366</v>
      </c>
      <c r="B1028">
        <v>3</v>
      </c>
      <c r="C1028">
        <v>16.989999999999998</v>
      </c>
      <c r="D1028">
        <v>41.25</v>
      </c>
      <c r="E1028" t="s">
        <v>1367</v>
      </c>
      <c r="F1028" t="s">
        <v>1725</v>
      </c>
      <c r="G1028" t="s">
        <v>16</v>
      </c>
      <c r="H1028">
        <v>18</v>
      </c>
      <c r="I1028" t="s">
        <v>41</v>
      </c>
      <c r="J1028" t="s">
        <v>25</v>
      </c>
      <c r="K1028">
        <v>5</v>
      </c>
      <c r="O1028">
        <v>84.73</v>
      </c>
    </row>
    <row r="1029" spans="1:15" x14ac:dyDescent="0.35">
      <c r="A1029" t="s">
        <v>1368</v>
      </c>
      <c r="B1029">
        <v>2</v>
      </c>
      <c r="C1029">
        <v>27.99</v>
      </c>
      <c r="D1029">
        <v>48.89</v>
      </c>
      <c r="E1029" t="s">
        <v>1369</v>
      </c>
      <c r="F1029" t="s">
        <v>1726</v>
      </c>
      <c r="G1029" t="s">
        <v>16</v>
      </c>
      <c r="H1029">
        <v>3</v>
      </c>
      <c r="I1029" t="s">
        <v>24</v>
      </c>
      <c r="J1029" t="s">
        <v>31</v>
      </c>
      <c r="K1029">
        <v>9</v>
      </c>
      <c r="O1029">
        <v>37.979999999999997</v>
      </c>
    </row>
    <row r="1030" spans="1:15" x14ac:dyDescent="0.35">
      <c r="A1030" t="s">
        <v>1370</v>
      </c>
      <c r="B1030">
        <v>1</v>
      </c>
      <c r="C1030">
        <v>34.99</v>
      </c>
      <c r="D1030">
        <v>34.99</v>
      </c>
      <c r="E1030" t="s">
        <v>655</v>
      </c>
      <c r="F1030" t="s">
        <v>1727</v>
      </c>
      <c r="G1030" t="s">
        <v>21</v>
      </c>
      <c r="H1030">
        <v>0</v>
      </c>
      <c r="I1030" t="s">
        <v>17</v>
      </c>
      <c r="J1030" t="s">
        <v>36</v>
      </c>
      <c r="K1030">
        <v>12.5</v>
      </c>
      <c r="O1030">
        <v>21.99</v>
      </c>
    </row>
    <row r="1031" spans="1:15" x14ac:dyDescent="0.35">
      <c r="A1031" t="s">
        <v>1371</v>
      </c>
      <c r="B1031">
        <v>2</v>
      </c>
      <c r="C1031">
        <v>30.99</v>
      </c>
      <c r="D1031">
        <v>53.02</v>
      </c>
      <c r="E1031" t="s">
        <v>134</v>
      </c>
      <c r="F1031" t="s">
        <v>1728</v>
      </c>
      <c r="G1031" t="s">
        <v>16</v>
      </c>
      <c r="H1031">
        <v>3</v>
      </c>
      <c r="I1031" t="s">
        <v>12</v>
      </c>
      <c r="J1031" t="s">
        <v>18</v>
      </c>
      <c r="K1031">
        <v>10.5</v>
      </c>
      <c r="O1031">
        <v>37.979999999999997</v>
      </c>
    </row>
    <row r="1032" spans="1:15" x14ac:dyDescent="0.35">
      <c r="A1032" t="s">
        <v>1372</v>
      </c>
      <c r="B1032">
        <v>2</v>
      </c>
      <c r="C1032">
        <v>18.989999999999998</v>
      </c>
      <c r="D1032">
        <v>32.770000000000003</v>
      </c>
      <c r="E1032" t="s">
        <v>923</v>
      </c>
      <c r="F1032" t="s">
        <v>1717</v>
      </c>
      <c r="G1032" t="s">
        <v>87</v>
      </c>
      <c r="H1032">
        <v>0</v>
      </c>
      <c r="I1032" t="s">
        <v>12</v>
      </c>
      <c r="J1032" t="s">
        <v>42</v>
      </c>
      <c r="K1032">
        <v>6</v>
      </c>
      <c r="O1032">
        <v>37.979999999999997</v>
      </c>
    </row>
    <row r="1033" spans="1:15" x14ac:dyDescent="0.35">
      <c r="A1033" t="s">
        <v>1373</v>
      </c>
      <c r="B1033">
        <v>1</v>
      </c>
      <c r="C1033">
        <v>27.99</v>
      </c>
      <c r="D1033">
        <v>27.99</v>
      </c>
      <c r="E1033" t="s">
        <v>549</v>
      </c>
      <c r="F1033" t="s">
        <v>1718</v>
      </c>
      <c r="G1033" t="s">
        <v>11</v>
      </c>
      <c r="H1033">
        <v>2</v>
      </c>
      <c r="I1033" t="s">
        <v>12</v>
      </c>
      <c r="J1033" t="s">
        <v>31</v>
      </c>
      <c r="K1033">
        <v>9</v>
      </c>
      <c r="O1033">
        <v>21.99</v>
      </c>
    </row>
    <row r="1034" spans="1:15" x14ac:dyDescent="0.35">
      <c r="A1034" t="s">
        <v>1374</v>
      </c>
      <c r="B1034">
        <v>1</v>
      </c>
      <c r="C1034">
        <v>21.99</v>
      </c>
      <c r="D1034">
        <v>21.99</v>
      </c>
      <c r="E1034" t="s">
        <v>1123</v>
      </c>
      <c r="F1034" t="s">
        <v>1719</v>
      </c>
      <c r="G1034" t="s">
        <v>11</v>
      </c>
      <c r="H1034">
        <v>3</v>
      </c>
      <c r="I1034" t="s">
        <v>24</v>
      </c>
      <c r="J1034" t="s">
        <v>13</v>
      </c>
      <c r="K1034">
        <v>7</v>
      </c>
      <c r="O1034">
        <v>21.99</v>
      </c>
    </row>
    <row r="1035" spans="1:15" x14ac:dyDescent="0.35">
      <c r="A1035" t="s">
        <v>1375</v>
      </c>
      <c r="B1035">
        <v>1</v>
      </c>
      <c r="C1035">
        <v>21.99</v>
      </c>
      <c r="D1035">
        <v>21.99</v>
      </c>
      <c r="E1035" s="6">
        <v>46165</v>
      </c>
      <c r="F1035" t="s">
        <v>1720</v>
      </c>
      <c r="G1035" t="s">
        <v>87</v>
      </c>
      <c r="H1035">
        <v>0</v>
      </c>
      <c r="I1035" t="s">
        <v>17</v>
      </c>
      <c r="J1035" t="s">
        <v>13</v>
      </c>
      <c r="K1035">
        <v>7</v>
      </c>
      <c r="O1035">
        <v>21.99</v>
      </c>
    </row>
    <row r="1036" spans="1:15" x14ac:dyDescent="0.35">
      <c r="A1036" t="s">
        <v>1376</v>
      </c>
      <c r="B1036">
        <v>2</v>
      </c>
      <c r="C1036">
        <v>34.99</v>
      </c>
      <c r="D1036">
        <v>61.18</v>
      </c>
      <c r="E1036" t="s">
        <v>66</v>
      </c>
      <c r="F1036" t="s">
        <v>1721</v>
      </c>
      <c r="G1036" t="s">
        <v>16</v>
      </c>
      <c r="H1036">
        <v>8</v>
      </c>
      <c r="I1036" t="s">
        <v>24</v>
      </c>
      <c r="J1036" t="s">
        <v>36</v>
      </c>
      <c r="K1036">
        <v>12.5</v>
      </c>
      <c r="O1036">
        <v>37.979999999999997</v>
      </c>
    </row>
    <row r="1037" spans="1:15" x14ac:dyDescent="0.35">
      <c r="A1037" t="s">
        <v>1377</v>
      </c>
      <c r="B1037">
        <v>1</v>
      </c>
      <c r="C1037">
        <v>16.989999999999998</v>
      </c>
      <c r="D1037">
        <v>16.989999999999998</v>
      </c>
      <c r="E1037" t="s">
        <v>668</v>
      </c>
      <c r="F1037" t="s">
        <v>1722</v>
      </c>
      <c r="G1037" t="s">
        <v>16</v>
      </c>
      <c r="H1037">
        <v>16</v>
      </c>
      <c r="I1037" t="s">
        <v>17</v>
      </c>
      <c r="J1037" t="s">
        <v>25</v>
      </c>
      <c r="K1037">
        <v>5</v>
      </c>
      <c r="O1037">
        <v>21.99</v>
      </c>
    </row>
    <row r="1038" spans="1:15" x14ac:dyDescent="0.35">
      <c r="A1038" t="s">
        <v>1378</v>
      </c>
      <c r="B1038">
        <v>3</v>
      </c>
      <c r="C1038">
        <v>27.99</v>
      </c>
      <c r="D1038">
        <v>66.2</v>
      </c>
      <c r="E1038" t="s">
        <v>453</v>
      </c>
      <c r="F1038" t="s">
        <v>1723</v>
      </c>
      <c r="G1038" t="s">
        <v>21</v>
      </c>
      <c r="H1038">
        <v>0</v>
      </c>
      <c r="I1038" t="s">
        <v>17</v>
      </c>
      <c r="J1038" t="s">
        <v>31</v>
      </c>
      <c r="K1038">
        <v>9</v>
      </c>
      <c r="O1038">
        <v>84.73</v>
      </c>
    </row>
    <row r="1039" spans="1:15" x14ac:dyDescent="0.35">
      <c r="A1039" t="s">
        <v>1379</v>
      </c>
      <c r="B1039">
        <v>1</v>
      </c>
      <c r="C1039">
        <v>34.99</v>
      </c>
      <c r="D1039">
        <v>34.99</v>
      </c>
      <c r="E1039" t="s">
        <v>955</v>
      </c>
      <c r="F1039" t="s">
        <v>1724</v>
      </c>
      <c r="G1039" t="s">
        <v>11</v>
      </c>
      <c r="H1039">
        <v>8</v>
      </c>
      <c r="I1039" t="s">
        <v>12</v>
      </c>
      <c r="J1039" t="s">
        <v>36</v>
      </c>
      <c r="K1039">
        <v>12.5</v>
      </c>
      <c r="O1039">
        <v>21.99</v>
      </c>
    </row>
    <row r="1040" spans="1:15" x14ac:dyDescent="0.35">
      <c r="A1040" t="s">
        <v>1380</v>
      </c>
      <c r="B1040">
        <v>1</v>
      </c>
      <c r="C1040">
        <v>34.99</v>
      </c>
      <c r="D1040">
        <v>34.99</v>
      </c>
      <c r="E1040" t="s">
        <v>567</v>
      </c>
      <c r="F1040" t="s">
        <v>1725</v>
      </c>
      <c r="G1040" t="s">
        <v>16</v>
      </c>
      <c r="H1040">
        <v>5</v>
      </c>
      <c r="I1040" t="s">
        <v>17</v>
      </c>
      <c r="J1040" t="s">
        <v>36</v>
      </c>
      <c r="K1040">
        <v>12.5</v>
      </c>
      <c r="O1040">
        <v>21.99</v>
      </c>
    </row>
    <row r="1041" spans="1:15" x14ac:dyDescent="0.35">
      <c r="A1041" t="s">
        <v>1381</v>
      </c>
      <c r="B1041">
        <v>1</v>
      </c>
      <c r="C1041">
        <v>34.99</v>
      </c>
      <c r="D1041">
        <v>34.99</v>
      </c>
      <c r="E1041" t="s">
        <v>240</v>
      </c>
      <c r="F1041" t="s">
        <v>1726</v>
      </c>
      <c r="G1041" t="s">
        <v>16</v>
      </c>
      <c r="H1041">
        <v>5</v>
      </c>
      <c r="I1041" t="s">
        <v>17</v>
      </c>
      <c r="J1041" t="s">
        <v>36</v>
      </c>
      <c r="K1041">
        <v>12.5</v>
      </c>
      <c r="O1041">
        <v>21.99</v>
      </c>
    </row>
    <row r="1042" spans="1:15" x14ac:dyDescent="0.35">
      <c r="A1042" t="s">
        <v>1382</v>
      </c>
      <c r="B1042">
        <v>1</v>
      </c>
      <c r="C1042">
        <v>30.99</v>
      </c>
      <c r="D1042">
        <v>30.99</v>
      </c>
      <c r="E1042" t="s">
        <v>625</v>
      </c>
      <c r="F1042" t="s">
        <v>1727</v>
      </c>
      <c r="G1042" t="s">
        <v>21</v>
      </c>
      <c r="H1042">
        <v>0</v>
      </c>
      <c r="I1042" t="s">
        <v>41</v>
      </c>
      <c r="J1042" t="s">
        <v>18</v>
      </c>
      <c r="K1042">
        <v>10.5</v>
      </c>
      <c r="O1042">
        <v>21.99</v>
      </c>
    </row>
    <row r="1043" spans="1:15" x14ac:dyDescent="0.35">
      <c r="A1043" t="s">
        <v>1383</v>
      </c>
      <c r="B1043">
        <v>1</v>
      </c>
      <c r="C1043">
        <v>21.99</v>
      </c>
      <c r="D1043">
        <v>21.99</v>
      </c>
      <c r="E1043" t="s">
        <v>890</v>
      </c>
      <c r="F1043" t="s">
        <v>1728</v>
      </c>
      <c r="G1043" t="s">
        <v>21</v>
      </c>
      <c r="H1043">
        <v>0</v>
      </c>
      <c r="I1043" t="s">
        <v>24</v>
      </c>
      <c r="J1043" t="s">
        <v>13</v>
      </c>
      <c r="K1043">
        <v>7</v>
      </c>
      <c r="O1043">
        <v>21.99</v>
      </c>
    </row>
    <row r="1044" spans="1:15" x14ac:dyDescent="0.35">
      <c r="A1044" t="s">
        <v>1384</v>
      </c>
      <c r="B1044">
        <v>1</v>
      </c>
      <c r="C1044">
        <v>21.99</v>
      </c>
      <c r="D1044">
        <v>21.99</v>
      </c>
      <c r="E1044" t="s">
        <v>1385</v>
      </c>
      <c r="F1044" t="s">
        <v>1717</v>
      </c>
      <c r="G1044" t="s">
        <v>16</v>
      </c>
      <c r="H1044">
        <v>3</v>
      </c>
      <c r="I1044" t="s">
        <v>17</v>
      </c>
      <c r="J1044" t="s">
        <v>13</v>
      </c>
      <c r="K1044">
        <v>7</v>
      </c>
      <c r="O1044">
        <v>21.99</v>
      </c>
    </row>
    <row r="1045" spans="1:15" x14ac:dyDescent="0.35">
      <c r="A1045" t="s">
        <v>1386</v>
      </c>
      <c r="B1045">
        <v>1</v>
      </c>
      <c r="C1045">
        <v>34.99</v>
      </c>
      <c r="D1045">
        <v>34.99</v>
      </c>
      <c r="E1045" t="s">
        <v>734</v>
      </c>
      <c r="F1045" t="s">
        <v>1718</v>
      </c>
      <c r="G1045" t="s">
        <v>11</v>
      </c>
      <c r="H1045">
        <v>10</v>
      </c>
      <c r="I1045" t="s">
        <v>17</v>
      </c>
      <c r="J1045" t="s">
        <v>36</v>
      </c>
      <c r="K1045">
        <v>12.5</v>
      </c>
      <c r="O1045">
        <v>21.99</v>
      </c>
    </row>
    <row r="1046" spans="1:15" x14ac:dyDescent="0.35">
      <c r="A1046" t="s">
        <v>1387</v>
      </c>
      <c r="B1046">
        <v>1</v>
      </c>
      <c r="C1046">
        <v>27.99</v>
      </c>
      <c r="D1046">
        <v>27.99</v>
      </c>
      <c r="E1046" t="s">
        <v>832</v>
      </c>
      <c r="F1046" t="s">
        <v>1719</v>
      </c>
      <c r="G1046" t="s">
        <v>87</v>
      </c>
      <c r="H1046">
        <v>0</v>
      </c>
      <c r="I1046" t="s">
        <v>12</v>
      </c>
      <c r="J1046" t="s">
        <v>31</v>
      </c>
      <c r="K1046">
        <v>9</v>
      </c>
      <c r="O1046">
        <v>21.99</v>
      </c>
    </row>
    <row r="1047" spans="1:15" x14ac:dyDescent="0.35">
      <c r="A1047" t="s">
        <v>1388</v>
      </c>
      <c r="B1047">
        <v>3</v>
      </c>
      <c r="C1047">
        <v>16.989999999999998</v>
      </c>
      <c r="D1047">
        <v>41.07</v>
      </c>
      <c r="E1047" t="s">
        <v>126</v>
      </c>
      <c r="F1047" t="s">
        <v>1720</v>
      </c>
      <c r="G1047" t="s">
        <v>87</v>
      </c>
      <c r="H1047">
        <v>0</v>
      </c>
      <c r="I1047" t="s">
        <v>12</v>
      </c>
      <c r="J1047" t="s">
        <v>25</v>
      </c>
      <c r="K1047">
        <v>5</v>
      </c>
      <c r="O1047">
        <v>84.73</v>
      </c>
    </row>
    <row r="1048" spans="1:15" x14ac:dyDescent="0.35">
      <c r="A1048" t="s">
        <v>1389</v>
      </c>
      <c r="B1048">
        <v>1</v>
      </c>
      <c r="C1048">
        <v>18.989999999999998</v>
      </c>
      <c r="D1048">
        <v>18.989999999999998</v>
      </c>
      <c r="E1048" t="s">
        <v>1176</v>
      </c>
      <c r="F1048" t="s">
        <v>1721</v>
      </c>
      <c r="G1048" t="s">
        <v>16</v>
      </c>
      <c r="H1048">
        <v>13</v>
      </c>
      <c r="I1048" t="s">
        <v>12</v>
      </c>
      <c r="J1048" t="s">
        <v>42</v>
      </c>
      <c r="K1048">
        <v>6</v>
      </c>
      <c r="O1048">
        <v>21.99</v>
      </c>
    </row>
    <row r="1049" spans="1:15" x14ac:dyDescent="0.35">
      <c r="A1049" t="s">
        <v>1390</v>
      </c>
      <c r="B1049">
        <v>3</v>
      </c>
      <c r="C1049">
        <v>18.989999999999998</v>
      </c>
      <c r="D1049">
        <v>45.69</v>
      </c>
      <c r="E1049" t="s">
        <v>1385</v>
      </c>
      <c r="F1049" t="s">
        <v>1722</v>
      </c>
      <c r="G1049" t="s">
        <v>16</v>
      </c>
      <c r="H1049">
        <v>11</v>
      </c>
      <c r="I1049" t="s">
        <v>24</v>
      </c>
      <c r="J1049" t="s">
        <v>42</v>
      </c>
      <c r="K1049">
        <v>6</v>
      </c>
      <c r="O1049">
        <v>84.73</v>
      </c>
    </row>
    <row r="1050" spans="1:15" x14ac:dyDescent="0.35">
      <c r="A1050" t="s">
        <v>1391</v>
      </c>
      <c r="B1050">
        <v>1</v>
      </c>
      <c r="C1050">
        <v>34.99</v>
      </c>
      <c r="D1050">
        <v>34.99</v>
      </c>
      <c r="E1050" t="s">
        <v>1232</v>
      </c>
      <c r="F1050" t="s">
        <v>1723</v>
      </c>
      <c r="G1050" t="s">
        <v>28</v>
      </c>
      <c r="H1050">
        <v>0</v>
      </c>
      <c r="I1050" t="s">
        <v>12</v>
      </c>
      <c r="J1050" t="s">
        <v>36</v>
      </c>
      <c r="K1050">
        <v>12.5</v>
      </c>
      <c r="O1050">
        <v>21.99</v>
      </c>
    </row>
    <row r="1051" spans="1:15" x14ac:dyDescent="0.35">
      <c r="A1051" t="s">
        <v>1392</v>
      </c>
      <c r="B1051">
        <v>2</v>
      </c>
      <c r="C1051">
        <v>27.99</v>
      </c>
      <c r="D1051">
        <v>48.8</v>
      </c>
      <c r="E1051" t="s">
        <v>664</v>
      </c>
      <c r="F1051" t="s">
        <v>1724</v>
      </c>
      <c r="G1051" t="s">
        <v>11</v>
      </c>
      <c r="H1051">
        <v>3</v>
      </c>
      <c r="I1051" t="s">
        <v>24</v>
      </c>
      <c r="J1051" t="s">
        <v>31</v>
      </c>
      <c r="K1051">
        <v>9</v>
      </c>
      <c r="O1051">
        <v>37.979999999999997</v>
      </c>
    </row>
    <row r="1052" spans="1:15" x14ac:dyDescent="0.35">
      <c r="A1052" t="s">
        <v>1393</v>
      </c>
      <c r="B1052">
        <v>3</v>
      </c>
      <c r="C1052">
        <v>30.99</v>
      </c>
      <c r="D1052">
        <v>73.47</v>
      </c>
      <c r="E1052" t="s">
        <v>1319</v>
      </c>
      <c r="F1052" t="s">
        <v>1725</v>
      </c>
      <c r="G1052" t="s">
        <v>16</v>
      </c>
      <c r="H1052">
        <v>2</v>
      </c>
      <c r="I1052" t="s">
        <v>24</v>
      </c>
      <c r="J1052" t="s">
        <v>18</v>
      </c>
      <c r="K1052">
        <v>10.5</v>
      </c>
      <c r="O1052">
        <v>84.73</v>
      </c>
    </row>
    <row r="1053" spans="1:15" x14ac:dyDescent="0.35">
      <c r="A1053" t="s">
        <v>1394</v>
      </c>
      <c r="B1053">
        <v>1</v>
      </c>
      <c r="C1053">
        <v>18.989999999999998</v>
      </c>
      <c r="D1053">
        <v>18.989999999999998</v>
      </c>
      <c r="E1053" t="s">
        <v>84</v>
      </c>
      <c r="F1053" t="s">
        <v>1726</v>
      </c>
      <c r="G1053" t="s">
        <v>21</v>
      </c>
      <c r="H1053">
        <v>0</v>
      </c>
      <c r="I1053" t="s">
        <v>24</v>
      </c>
      <c r="J1053" t="s">
        <v>42</v>
      </c>
      <c r="K1053">
        <v>6</v>
      </c>
      <c r="O1053">
        <v>21.99</v>
      </c>
    </row>
    <row r="1054" spans="1:15" x14ac:dyDescent="0.35">
      <c r="A1054" t="s">
        <v>1395</v>
      </c>
      <c r="B1054">
        <v>1</v>
      </c>
      <c r="C1054">
        <v>16.989999999999998</v>
      </c>
      <c r="D1054">
        <v>16.989999999999998</v>
      </c>
      <c r="E1054" t="s">
        <v>1396</v>
      </c>
      <c r="F1054" t="s">
        <v>1727</v>
      </c>
      <c r="G1054" t="s">
        <v>21</v>
      </c>
      <c r="H1054">
        <v>0</v>
      </c>
      <c r="I1054" t="s">
        <v>41</v>
      </c>
      <c r="J1054" t="s">
        <v>25</v>
      </c>
      <c r="K1054">
        <v>5</v>
      </c>
      <c r="O1054">
        <v>21.99</v>
      </c>
    </row>
    <row r="1055" spans="1:15" x14ac:dyDescent="0.35">
      <c r="A1055" t="s">
        <v>1397</v>
      </c>
      <c r="B1055">
        <v>1</v>
      </c>
      <c r="C1055">
        <v>18.989999999999998</v>
      </c>
      <c r="D1055">
        <v>18.989999999999998</v>
      </c>
      <c r="E1055" t="s">
        <v>806</v>
      </c>
      <c r="F1055" t="s">
        <v>1728</v>
      </c>
      <c r="G1055" t="s">
        <v>16</v>
      </c>
      <c r="H1055">
        <v>12</v>
      </c>
      <c r="I1055" t="s">
        <v>24</v>
      </c>
      <c r="J1055" t="s">
        <v>42</v>
      </c>
      <c r="K1055">
        <v>6</v>
      </c>
      <c r="O1055">
        <v>21.99</v>
      </c>
    </row>
    <row r="1056" spans="1:15" x14ac:dyDescent="0.35">
      <c r="A1056" t="s">
        <v>1398</v>
      </c>
      <c r="B1056">
        <v>1</v>
      </c>
      <c r="C1056">
        <v>16.989999999999998</v>
      </c>
      <c r="D1056">
        <v>16.989999999999998</v>
      </c>
      <c r="E1056" t="s">
        <v>52</v>
      </c>
      <c r="F1056" t="s">
        <v>1717</v>
      </c>
      <c r="G1056" t="s">
        <v>11</v>
      </c>
      <c r="H1056">
        <v>15</v>
      </c>
      <c r="I1056" t="s">
        <v>24</v>
      </c>
      <c r="J1056" t="s">
        <v>25</v>
      </c>
      <c r="K1056">
        <v>5</v>
      </c>
      <c r="O1056">
        <v>21.99</v>
      </c>
    </row>
    <row r="1057" spans="1:15" x14ac:dyDescent="0.35">
      <c r="A1057" t="s">
        <v>1399</v>
      </c>
      <c r="B1057">
        <v>1</v>
      </c>
      <c r="C1057">
        <v>27.99</v>
      </c>
      <c r="D1057">
        <v>27.99</v>
      </c>
      <c r="E1057" t="s">
        <v>498</v>
      </c>
      <c r="F1057" t="s">
        <v>1718</v>
      </c>
      <c r="G1057" t="s">
        <v>21</v>
      </c>
      <c r="H1057">
        <v>0</v>
      </c>
      <c r="I1057" t="s">
        <v>24</v>
      </c>
      <c r="J1057" t="s">
        <v>31</v>
      </c>
      <c r="K1057">
        <v>9</v>
      </c>
      <c r="O1057">
        <v>21.99</v>
      </c>
    </row>
    <row r="1058" spans="1:15" x14ac:dyDescent="0.35">
      <c r="A1058" t="s">
        <v>1400</v>
      </c>
      <c r="B1058">
        <v>1</v>
      </c>
      <c r="C1058">
        <v>18.989999999999998</v>
      </c>
      <c r="D1058">
        <v>18.989999999999998</v>
      </c>
      <c r="E1058" t="s">
        <v>108</v>
      </c>
      <c r="F1058" t="s">
        <v>1719</v>
      </c>
      <c r="G1058" t="s">
        <v>87</v>
      </c>
      <c r="H1058">
        <v>0</v>
      </c>
      <c r="I1058" t="s">
        <v>12</v>
      </c>
      <c r="J1058" t="s">
        <v>42</v>
      </c>
      <c r="K1058">
        <v>6</v>
      </c>
      <c r="O1058">
        <v>21.99</v>
      </c>
    </row>
    <row r="1059" spans="1:15" x14ac:dyDescent="0.35">
      <c r="A1059" t="s">
        <v>1401</v>
      </c>
      <c r="B1059">
        <v>1</v>
      </c>
      <c r="C1059">
        <v>21.99</v>
      </c>
      <c r="D1059">
        <v>21.99</v>
      </c>
      <c r="E1059" t="s">
        <v>610</v>
      </c>
      <c r="F1059" t="s">
        <v>1720</v>
      </c>
      <c r="G1059" t="s">
        <v>16</v>
      </c>
      <c r="H1059">
        <v>3</v>
      </c>
      <c r="I1059" t="s">
        <v>12</v>
      </c>
      <c r="J1059" t="s">
        <v>13</v>
      </c>
      <c r="K1059">
        <v>7</v>
      </c>
      <c r="O1059">
        <v>21.99</v>
      </c>
    </row>
    <row r="1060" spans="1:15" x14ac:dyDescent="0.35">
      <c r="A1060" t="s">
        <v>1402</v>
      </c>
      <c r="B1060">
        <v>1</v>
      </c>
      <c r="C1060">
        <v>30.99</v>
      </c>
      <c r="D1060">
        <v>30.99</v>
      </c>
      <c r="E1060" t="s">
        <v>1403</v>
      </c>
      <c r="F1060" t="s">
        <v>1721</v>
      </c>
      <c r="G1060" t="s">
        <v>16</v>
      </c>
      <c r="H1060">
        <v>3</v>
      </c>
      <c r="I1060" t="s">
        <v>41</v>
      </c>
      <c r="J1060" t="s">
        <v>18</v>
      </c>
      <c r="K1060">
        <v>10.5</v>
      </c>
      <c r="O1060">
        <v>21.99</v>
      </c>
    </row>
    <row r="1061" spans="1:15" x14ac:dyDescent="0.35">
      <c r="A1061" t="s">
        <v>1404</v>
      </c>
      <c r="B1061">
        <v>3</v>
      </c>
      <c r="C1061">
        <v>30.99</v>
      </c>
      <c r="D1061">
        <v>74.77</v>
      </c>
      <c r="E1061" t="s">
        <v>50</v>
      </c>
      <c r="F1061" t="s">
        <v>1722</v>
      </c>
      <c r="G1061" t="s">
        <v>21</v>
      </c>
      <c r="H1061">
        <v>0</v>
      </c>
      <c r="I1061" t="s">
        <v>24</v>
      </c>
      <c r="J1061" t="s">
        <v>18</v>
      </c>
      <c r="K1061">
        <v>10.5</v>
      </c>
      <c r="O1061">
        <v>84.73</v>
      </c>
    </row>
    <row r="1062" spans="1:15" x14ac:dyDescent="0.35">
      <c r="A1062" t="s">
        <v>1405</v>
      </c>
      <c r="B1062">
        <v>1</v>
      </c>
      <c r="C1062">
        <v>16.989999999999998</v>
      </c>
      <c r="D1062">
        <v>16.989999999999998</v>
      </c>
      <c r="E1062" t="s">
        <v>191</v>
      </c>
      <c r="F1062" t="s">
        <v>1723</v>
      </c>
      <c r="G1062" t="s">
        <v>16</v>
      </c>
      <c r="H1062">
        <v>15</v>
      </c>
      <c r="I1062" t="s">
        <v>12</v>
      </c>
      <c r="J1062" t="s">
        <v>25</v>
      </c>
      <c r="K1062">
        <v>5</v>
      </c>
      <c r="O1062">
        <v>21.99</v>
      </c>
    </row>
    <row r="1063" spans="1:15" x14ac:dyDescent="0.35">
      <c r="A1063" t="s">
        <v>1406</v>
      </c>
      <c r="B1063">
        <v>2</v>
      </c>
      <c r="C1063">
        <v>34.99</v>
      </c>
      <c r="D1063">
        <v>59.89</v>
      </c>
      <c r="E1063" t="s">
        <v>567</v>
      </c>
      <c r="F1063" t="s">
        <v>1724</v>
      </c>
      <c r="G1063" t="s">
        <v>11</v>
      </c>
      <c r="H1063">
        <v>8</v>
      </c>
      <c r="I1063" t="s">
        <v>41</v>
      </c>
      <c r="J1063" t="s">
        <v>36</v>
      </c>
      <c r="K1063">
        <v>12.5</v>
      </c>
      <c r="O1063">
        <v>37.979999999999997</v>
      </c>
    </row>
    <row r="1064" spans="1:15" x14ac:dyDescent="0.35">
      <c r="A1064" t="s">
        <v>1407</v>
      </c>
      <c r="B1064">
        <v>1</v>
      </c>
      <c r="C1064">
        <v>30.99</v>
      </c>
      <c r="D1064">
        <v>30.99</v>
      </c>
      <c r="E1064" t="s">
        <v>744</v>
      </c>
      <c r="F1064" t="s">
        <v>1725</v>
      </c>
      <c r="G1064" t="s">
        <v>16</v>
      </c>
      <c r="H1064">
        <v>3</v>
      </c>
      <c r="I1064" t="s">
        <v>17</v>
      </c>
      <c r="J1064" t="s">
        <v>18</v>
      </c>
      <c r="K1064">
        <v>10.5</v>
      </c>
      <c r="O1064">
        <v>21.99</v>
      </c>
    </row>
    <row r="1065" spans="1:15" x14ac:dyDescent="0.35">
      <c r="A1065" t="s">
        <v>1408</v>
      </c>
      <c r="B1065">
        <v>1</v>
      </c>
      <c r="C1065">
        <v>16.989999999999998</v>
      </c>
      <c r="D1065">
        <v>16.989999999999998</v>
      </c>
      <c r="E1065" t="s">
        <v>1409</v>
      </c>
      <c r="F1065" t="s">
        <v>1726</v>
      </c>
      <c r="G1065" t="s">
        <v>16</v>
      </c>
      <c r="H1065">
        <v>17</v>
      </c>
      <c r="I1065" t="s">
        <v>12</v>
      </c>
      <c r="J1065" t="s">
        <v>25</v>
      </c>
      <c r="K1065">
        <v>5</v>
      </c>
      <c r="O1065">
        <v>21.99</v>
      </c>
    </row>
    <row r="1066" spans="1:15" x14ac:dyDescent="0.35">
      <c r="A1066" t="s">
        <v>1410</v>
      </c>
      <c r="B1066">
        <v>1</v>
      </c>
      <c r="C1066">
        <v>18.989999999999998</v>
      </c>
      <c r="D1066">
        <v>18.989999999999998</v>
      </c>
      <c r="E1066" t="s">
        <v>1167</v>
      </c>
      <c r="F1066" t="s">
        <v>1727</v>
      </c>
      <c r="G1066" t="s">
        <v>11</v>
      </c>
      <c r="H1066">
        <v>14</v>
      </c>
      <c r="I1066" t="s">
        <v>17</v>
      </c>
      <c r="J1066" t="s">
        <v>42</v>
      </c>
      <c r="K1066">
        <v>6</v>
      </c>
      <c r="O1066">
        <v>21.99</v>
      </c>
    </row>
    <row r="1067" spans="1:15" x14ac:dyDescent="0.35">
      <c r="A1067" t="s">
        <v>1411</v>
      </c>
      <c r="B1067">
        <v>3</v>
      </c>
      <c r="C1067">
        <v>21.99</v>
      </c>
      <c r="D1067">
        <v>53.17</v>
      </c>
      <c r="E1067" t="s">
        <v>625</v>
      </c>
      <c r="F1067" t="s">
        <v>1728</v>
      </c>
      <c r="G1067" t="s">
        <v>16</v>
      </c>
      <c r="H1067">
        <v>6</v>
      </c>
      <c r="I1067" t="s">
        <v>41</v>
      </c>
      <c r="J1067" t="s">
        <v>13</v>
      </c>
      <c r="K1067">
        <v>7</v>
      </c>
      <c r="O1067">
        <v>84.73</v>
      </c>
    </row>
    <row r="1068" spans="1:15" x14ac:dyDescent="0.35">
      <c r="A1068" t="s">
        <v>1412</v>
      </c>
      <c r="B1068">
        <v>2</v>
      </c>
      <c r="C1068">
        <v>16.989999999999998</v>
      </c>
      <c r="D1068">
        <v>29.69</v>
      </c>
      <c r="E1068" t="s">
        <v>1260</v>
      </c>
      <c r="F1068" t="s">
        <v>1717</v>
      </c>
      <c r="G1068" t="s">
        <v>16</v>
      </c>
      <c r="H1068">
        <v>19</v>
      </c>
      <c r="I1068" t="s">
        <v>17</v>
      </c>
      <c r="J1068" t="s">
        <v>25</v>
      </c>
      <c r="K1068">
        <v>5</v>
      </c>
      <c r="O1068">
        <v>37.979999999999997</v>
      </c>
    </row>
    <row r="1069" spans="1:15" x14ac:dyDescent="0.35">
      <c r="A1069" t="s">
        <v>1413</v>
      </c>
      <c r="B1069">
        <v>3</v>
      </c>
      <c r="C1069">
        <v>27.99</v>
      </c>
      <c r="D1069">
        <v>67.5</v>
      </c>
      <c r="E1069" s="6">
        <v>46187</v>
      </c>
      <c r="F1069" t="s">
        <v>1718</v>
      </c>
      <c r="G1069" t="s">
        <v>16</v>
      </c>
      <c r="H1069">
        <v>2</v>
      </c>
      <c r="I1069" t="s">
        <v>41</v>
      </c>
      <c r="J1069" t="s">
        <v>31</v>
      </c>
      <c r="K1069">
        <v>9</v>
      </c>
      <c r="O1069">
        <v>84.73</v>
      </c>
    </row>
    <row r="1070" spans="1:15" x14ac:dyDescent="0.35">
      <c r="A1070" t="s">
        <v>1414</v>
      </c>
      <c r="B1070">
        <v>1</v>
      </c>
      <c r="C1070">
        <v>16.989999999999998</v>
      </c>
      <c r="D1070">
        <v>16.989999999999998</v>
      </c>
      <c r="E1070" t="s">
        <v>567</v>
      </c>
      <c r="F1070" t="s">
        <v>1719</v>
      </c>
      <c r="G1070" t="s">
        <v>16</v>
      </c>
      <c r="H1070">
        <v>19</v>
      </c>
      <c r="I1070" t="s">
        <v>24</v>
      </c>
      <c r="J1070" t="s">
        <v>25</v>
      </c>
      <c r="K1070">
        <v>5</v>
      </c>
      <c r="O1070">
        <v>21.99</v>
      </c>
    </row>
    <row r="1071" spans="1:15" x14ac:dyDescent="0.35">
      <c r="A1071" t="s">
        <v>1415</v>
      </c>
      <c r="B1071">
        <v>2</v>
      </c>
      <c r="C1071">
        <v>34.99</v>
      </c>
      <c r="D1071">
        <v>60.72</v>
      </c>
      <c r="E1071" s="6">
        <v>46202</v>
      </c>
      <c r="F1071" t="s">
        <v>1720</v>
      </c>
      <c r="G1071" t="s">
        <v>16</v>
      </c>
      <c r="H1071">
        <v>6</v>
      </c>
      <c r="I1071" t="s">
        <v>12</v>
      </c>
      <c r="J1071" t="s">
        <v>36</v>
      </c>
      <c r="K1071">
        <v>12.5</v>
      </c>
      <c r="O1071">
        <v>37.979999999999997</v>
      </c>
    </row>
    <row r="1072" spans="1:15" x14ac:dyDescent="0.35">
      <c r="A1072" t="s">
        <v>1416</v>
      </c>
      <c r="B1072">
        <v>1</v>
      </c>
      <c r="C1072">
        <v>18.989999999999998</v>
      </c>
      <c r="D1072">
        <v>18.989999999999998</v>
      </c>
      <c r="E1072" t="s">
        <v>1152</v>
      </c>
      <c r="F1072" t="s">
        <v>1721</v>
      </c>
      <c r="G1072" t="s">
        <v>87</v>
      </c>
      <c r="H1072">
        <v>0</v>
      </c>
      <c r="I1072" t="s">
        <v>41</v>
      </c>
      <c r="J1072" t="s">
        <v>42</v>
      </c>
      <c r="K1072">
        <v>6</v>
      </c>
      <c r="O1072">
        <v>21.99</v>
      </c>
    </row>
    <row r="1073" spans="1:15" x14ac:dyDescent="0.35">
      <c r="A1073" t="s">
        <v>1417</v>
      </c>
      <c r="B1073">
        <v>3</v>
      </c>
      <c r="C1073">
        <v>34.99</v>
      </c>
      <c r="D1073">
        <v>83.42</v>
      </c>
      <c r="E1073" t="s">
        <v>630</v>
      </c>
      <c r="F1073" t="s">
        <v>1722</v>
      </c>
      <c r="G1073" t="s">
        <v>16</v>
      </c>
      <c r="H1073">
        <v>7</v>
      </c>
      <c r="I1073" t="s">
        <v>41</v>
      </c>
      <c r="J1073" t="s">
        <v>36</v>
      </c>
      <c r="K1073">
        <v>12.5</v>
      </c>
      <c r="O1073">
        <v>84.73</v>
      </c>
    </row>
    <row r="1074" spans="1:15" x14ac:dyDescent="0.35">
      <c r="A1074" t="s">
        <v>1418</v>
      </c>
      <c r="B1074">
        <v>1</v>
      </c>
      <c r="C1074">
        <v>18.989999999999998</v>
      </c>
      <c r="D1074">
        <v>18.989999999999998</v>
      </c>
      <c r="E1074" t="s">
        <v>547</v>
      </c>
      <c r="F1074" t="s">
        <v>1723</v>
      </c>
      <c r="G1074" t="s">
        <v>16</v>
      </c>
      <c r="H1074">
        <v>11</v>
      </c>
      <c r="I1074" t="s">
        <v>41</v>
      </c>
      <c r="J1074" t="s">
        <v>42</v>
      </c>
      <c r="K1074">
        <v>6</v>
      </c>
      <c r="O1074">
        <v>21.99</v>
      </c>
    </row>
    <row r="1075" spans="1:15" x14ac:dyDescent="0.35">
      <c r="A1075" t="s">
        <v>1419</v>
      </c>
      <c r="B1075">
        <v>1</v>
      </c>
      <c r="C1075">
        <v>34.99</v>
      </c>
      <c r="D1075">
        <v>34.99</v>
      </c>
      <c r="E1075" t="s">
        <v>1298</v>
      </c>
      <c r="F1075" t="s">
        <v>1724</v>
      </c>
      <c r="G1075" t="s">
        <v>87</v>
      </c>
      <c r="H1075">
        <v>0</v>
      </c>
      <c r="I1075" t="s">
        <v>24</v>
      </c>
      <c r="J1075" t="s">
        <v>36</v>
      </c>
      <c r="K1075">
        <v>12.5</v>
      </c>
      <c r="O1075">
        <v>21.99</v>
      </c>
    </row>
    <row r="1076" spans="1:15" x14ac:dyDescent="0.35">
      <c r="A1076" t="s">
        <v>1420</v>
      </c>
      <c r="B1076">
        <v>3</v>
      </c>
      <c r="C1076">
        <v>34.99</v>
      </c>
      <c r="D1076">
        <v>82.45</v>
      </c>
      <c r="E1076" t="s">
        <v>541</v>
      </c>
      <c r="F1076" t="s">
        <v>1725</v>
      </c>
      <c r="G1076" t="s">
        <v>21</v>
      </c>
      <c r="H1076">
        <v>0</v>
      </c>
      <c r="I1076" t="s">
        <v>41</v>
      </c>
      <c r="J1076" t="s">
        <v>36</v>
      </c>
      <c r="K1076">
        <v>12.5</v>
      </c>
      <c r="O1076">
        <v>84.73</v>
      </c>
    </row>
    <row r="1077" spans="1:15" x14ac:dyDescent="0.35">
      <c r="A1077" t="s">
        <v>1421</v>
      </c>
      <c r="B1077">
        <v>1</v>
      </c>
      <c r="C1077">
        <v>16.989999999999998</v>
      </c>
      <c r="D1077">
        <v>16.989999999999998</v>
      </c>
      <c r="E1077" t="s">
        <v>30</v>
      </c>
      <c r="F1077" t="s">
        <v>1726</v>
      </c>
      <c r="G1077" t="s">
        <v>16</v>
      </c>
      <c r="H1077">
        <v>22</v>
      </c>
      <c r="I1077" t="s">
        <v>24</v>
      </c>
      <c r="J1077" t="s">
        <v>25</v>
      </c>
      <c r="K1077">
        <v>5</v>
      </c>
      <c r="O1077">
        <v>21.99</v>
      </c>
    </row>
    <row r="1078" spans="1:15" x14ac:dyDescent="0.35">
      <c r="A1078" t="s">
        <v>1422</v>
      </c>
      <c r="B1078">
        <v>2</v>
      </c>
      <c r="C1078">
        <v>18.989999999999998</v>
      </c>
      <c r="D1078">
        <v>32.89</v>
      </c>
      <c r="E1078" t="s">
        <v>171</v>
      </c>
      <c r="F1078" t="s">
        <v>1727</v>
      </c>
      <c r="G1078" t="s">
        <v>16</v>
      </c>
      <c r="H1078">
        <v>13</v>
      </c>
      <c r="I1078" t="s">
        <v>24</v>
      </c>
      <c r="J1078" t="s">
        <v>42</v>
      </c>
      <c r="K1078">
        <v>6</v>
      </c>
      <c r="O1078">
        <v>37.979999999999997</v>
      </c>
    </row>
    <row r="1079" spans="1:15" x14ac:dyDescent="0.35">
      <c r="A1079" t="s">
        <v>1423</v>
      </c>
      <c r="B1079">
        <v>1</v>
      </c>
      <c r="C1079">
        <v>21.99</v>
      </c>
      <c r="D1079">
        <v>21.99</v>
      </c>
      <c r="E1079" t="s">
        <v>958</v>
      </c>
      <c r="F1079" t="s">
        <v>1728</v>
      </c>
      <c r="G1079" t="s">
        <v>28</v>
      </c>
      <c r="H1079">
        <v>0</v>
      </c>
      <c r="I1079" t="s">
        <v>12</v>
      </c>
      <c r="J1079" t="s">
        <v>13</v>
      </c>
      <c r="K1079">
        <v>7</v>
      </c>
      <c r="O1079">
        <v>21.99</v>
      </c>
    </row>
    <row r="1080" spans="1:15" x14ac:dyDescent="0.35">
      <c r="A1080" t="s">
        <v>1424</v>
      </c>
      <c r="B1080">
        <v>1</v>
      </c>
      <c r="C1080">
        <v>30.99</v>
      </c>
      <c r="D1080">
        <v>30.99</v>
      </c>
      <c r="E1080" t="s">
        <v>732</v>
      </c>
      <c r="F1080" t="s">
        <v>1717</v>
      </c>
      <c r="G1080" t="s">
        <v>16</v>
      </c>
      <c r="H1080">
        <v>3</v>
      </c>
      <c r="I1080" t="s">
        <v>12</v>
      </c>
      <c r="J1080" t="s">
        <v>18</v>
      </c>
      <c r="K1080">
        <v>10.5</v>
      </c>
      <c r="O1080">
        <v>21.99</v>
      </c>
    </row>
    <row r="1081" spans="1:15" x14ac:dyDescent="0.35">
      <c r="A1081" t="s">
        <v>1425</v>
      </c>
      <c r="B1081">
        <v>2</v>
      </c>
      <c r="C1081">
        <v>16.989999999999998</v>
      </c>
      <c r="D1081">
        <v>29.44</v>
      </c>
      <c r="E1081" t="s">
        <v>1291</v>
      </c>
      <c r="F1081" t="s">
        <v>1718</v>
      </c>
      <c r="G1081" t="s">
        <v>87</v>
      </c>
      <c r="H1081">
        <v>0</v>
      </c>
      <c r="I1081" t="s">
        <v>17</v>
      </c>
      <c r="J1081" t="s">
        <v>25</v>
      </c>
      <c r="K1081">
        <v>5</v>
      </c>
      <c r="O1081">
        <v>37.979999999999997</v>
      </c>
    </row>
    <row r="1082" spans="1:15" x14ac:dyDescent="0.35">
      <c r="A1082" t="s">
        <v>1426</v>
      </c>
      <c r="B1082">
        <v>1</v>
      </c>
      <c r="C1082">
        <v>34.99</v>
      </c>
      <c r="D1082">
        <v>34.99</v>
      </c>
      <c r="E1082" t="s">
        <v>429</v>
      </c>
      <c r="F1082" t="s">
        <v>1719</v>
      </c>
      <c r="G1082" t="s">
        <v>16</v>
      </c>
      <c r="H1082">
        <v>5</v>
      </c>
      <c r="I1082" t="s">
        <v>24</v>
      </c>
      <c r="J1082" t="s">
        <v>36</v>
      </c>
      <c r="K1082">
        <v>12.5</v>
      </c>
      <c r="O1082">
        <v>21.99</v>
      </c>
    </row>
    <row r="1083" spans="1:15" x14ac:dyDescent="0.35">
      <c r="A1083" t="s">
        <v>1427</v>
      </c>
      <c r="B1083">
        <v>1</v>
      </c>
      <c r="C1083">
        <v>34.99</v>
      </c>
      <c r="D1083">
        <v>34.99</v>
      </c>
      <c r="E1083" t="s">
        <v>20</v>
      </c>
      <c r="F1083" t="s">
        <v>1720</v>
      </c>
      <c r="G1083" t="s">
        <v>16</v>
      </c>
      <c r="H1083">
        <v>8</v>
      </c>
      <c r="I1083" t="s">
        <v>24</v>
      </c>
      <c r="J1083" t="s">
        <v>36</v>
      </c>
      <c r="K1083">
        <v>12.5</v>
      </c>
      <c r="O1083">
        <v>21.99</v>
      </c>
    </row>
    <row r="1084" spans="1:15" x14ac:dyDescent="0.35">
      <c r="A1084" t="s">
        <v>1428</v>
      </c>
      <c r="B1084">
        <v>2</v>
      </c>
      <c r="C1084">
        <v>18.989999999999998</v>
      </c>
      <c r="D1084">
        <v>32.97</v>
      </c>
      <c r="E1084" t="s">
        <v>443</v>
      </c>
      <c r="F1084" t="s">
        <v>1721</v>
      </c>
      <c r="G1084" t="s">
        <v>21</v>
      </c>
      <c r="H1084">
        <v>0</v>
      </c>
      <c r="I1084" t="s">
        <v>17</v>
      </c>
      <c r="J1084" t="s">
        <v>42</v>
      </c>
      <c r="K1084">
        <v>6</v>
      </c>
      <c r="O1084">
        <v>37.979999999999997</v>
      </c>
    </row>
    <row r="1085" spans="1:15" x14ac:dyDescent="0.35">
      <c r="A1085" t="s">
        <v>1429</v>
      </c>
      <c r="B1085">
        <v>1</v>
      </c>
      <c r="C1085">
        <v>27.99</v>
      </c>
      <c r="D1085">
        <v>27.99</v>
      </c>
      <c r="E1085" t="s">
        <v>683</v>
      </c>
      <c r="F1085" t="s">
        <v>1722</v>
      </c>
      <c r="G1085" t="s">
        <v>28</v>
      </c>
      <c r="H1085">
        <v>0</v>
      </c>
      <c r="I1085" t="s">
        <v>12</v>
      </c>
      <c r="J1085" t="s">
        <v>31</v>
      </c>
      <c r="K1085">
        <v>9</v>
      </c>
      <c r="O1085">
        <v>21.99</v>
      </c>
    </row>
    <row r="1086" spans="1:15" x14ac:dyDescent="0.35">
      <c r="A1086" t="s">
        <v>1430</v>
      </c>
      <c r="B1086">
        <v>1</v>
      </c>
      <c r="C1086">
        <v>16.989999999999998</v>
      </c>
      <c r="D1086">
        <v>16.989999999999998</v>
      </c>
      <c r="E1086" t="s">
        <v>162</v>
      </c>
      <c r="F1086" t="s">
        <v>1723</v>
      </c>
      <c r="G1086" t="s">
        <v>87</v>
      </c>
      <c r="H1086">
        <v>0</v>
      </c>
      <c r="I1086" t="s">
        <v>41</v>
      </c>
      <c r="J1086" t="s">
        <v>25</v>
      </c>
      <c r="K1086">
        <v>5</v>
      </c>
      <c r="O1086">
        <v>21.99</v>
      </c>
    </row>
    <row r="1087" spans="1:15" x14ac:dyDescent="0.35">
      <c r="A1087" t="s">
        <v>1431</v>
      </c>
      <c r="B1087">
        <v>1</v>
      </c>
      <c r="C1087">
        <v>34.99</v>
      </c>
      <c r="D1087">
        <v>34.99</v>
      </c>
      <c r="E1087" t="s">
        <v>1330</v>
      </c>
      <c r="F1087" t="s">
        <v>1724</v>
      </c>
      <c r="G1087" t="s">
        <v>16</v>
      </c>
      <c r="H1087">
        <v>7</v>
      </c>
      <c r="I1087" t="s">
        <v>12</v>
      </c>
      <c r="J1087" t="s">
        <v>36</v>
      </c>
      <c r="K1087">
        <v>12.5</v>
      </c>
      <c r="O1087">
        <v>21.99</v>
      </c>
    </row>
    <row r="1088" spans="1:15" x14ac:dyDescent="0.35">
      <c r="A1088" t="s">
        <v>1432</v>
      </c>
      <c r="B1088">
        <v>1</v>
      </c>
      <c r="C1088">
        <v>30.99</v>
      </c>
      <c r="D1088">
        <v>30.99</v>
      </c>
      <c r="E1088" t="s">
        <v>734</v>
      </c>
      <c r="F1088" t="s">
        <v>1725</v>
      </c>
      <c r="G1088" t="s">
        <v>21</v>
      </c>
      <c r="H1088">
        <v>0</v>
      </c>
      <c r="I1088" t="s">
        <v>24</v>
      </c>
      <c r="J1088" t="s">
        <v>18</v>
      </c>
      <c r="K1088">
        <v>10.5</v>
      </c>
      <c r="O1088">
        <v>21.99</v>
      </c>
    </row>
    <row r="1089" spans="1:15" x14ac:dyDescent="0.35">
      <c r="A1089" t="s">
        <v>1433</v>
      </c>
      <c r="B1089">
        <v>2</v>
      </c>
      <c r="C1089">
        <v>27.99</v>
      </c>
      <c r="D1089">
        <v>48.34</v>
      </c>
      <c r="E1089" t="s">
        <v>838</v>
      </c>
      <c r="F1089" t="s">
        <v>1726</v>
      </c>
      <c r="G1089" t="s">
        <v>87</v>
      </c>
      <c r="H1089">
        <v>0</v>
      </c>
      <c r="I1089" t="s">
        <v>17</v>
      </c>
      <c r="J1089" t="s">
        <v>31</v>
      </c>
      <c r="K1089">
        <v>9</v>
      </c>
      <c r="O1089">
        <v>37.979999999999997</v>
      </c>
    </row>
    <row r="1090" spans="1:15" x14ac:dyDescent="0.35">
      <c r="A1090" t="s">
        <v>1434</v>
      </c>
      <c r="B1090">
        <v>1</v>
      </c>
      <c r="C1090">
        <v>30.99</v>
      </c>
      <c r="D1090">
        <v>30.99</v>
      </c>
      <c r="E1090" t="s">
        <v>1125</v>
      </c>
      <c r="F1090" t="s">
        <v>1727</v>
      </c>
      <c r="G1090" t="s">
        <v>16</v>
      </c>
      <c r="H1090">
        <v>2</v>
      </c>
      <c r="I1090" t="s">
        <v>17</v>
      </c>
      <c r="J1090" t="s">
        <v>18</v>
      </c>
      <c r="K1090">
        <v>10.5</v>
      </c>
      <c r="O1090">
        <v>21.99</v>
      </c>
    </row>
    <row r="1091" spans="1:15" x14ac:dyDescent="0.35">
      <c r="A1091" t="s">
        <v>1435</v>
      </c>
      <c r="B1091">
        <v>1</v>
      </c>
      <c r="C1091">
        <v>34.99</v>
      </c>
      <c r="D1091">
        <v>34.99</v>
      </c>
      <c r="E1091" t="s">
        <v>447</v>
      </c>
      <c r="F1091" t="s">
        <v>1728</v>
      </c>
      <c r="G1091" t="s">
        <v>87</v>
      </c>
      <c r="H1091">
        <v>0</v>
      </c>
      <c r="I1091" t="s">
        <v>17</v>
      </c>
      <c r="J1091" t="s">
        <v>36</v>
      </c>
      <c r="K1091">
        <v>12.5</v>
      </c>
      <c r="O1091">
        <v>21.99</v>
      </c>
    </row>
    <row r="1092" spans="1:15" x14ac:dyDescent="0.35">
      <c r="A1092" t="s">
        <v>1436</v>
      </c>
      <c r="B1092">
        <v>1</v>
      </c>
      <c r="C1092">
        <v>18.989999999999998</v>
      </c>
      <c r="D1092">
        <v>18.989999999999998</v>
      </c>
      <c r="E1092" t="s">
        <v>27</v>
      </c>
      <c r="F1092" t="s">
        <v>1717</v>
      </c>
      <c r="G1092" t="s">
        <v>16</v>
      </c>
      <c r="H1092">
        <v>11</v>
      </c>
      <c r="I1092" t="s">
        <v>41</v>
      </c>
      <c r="J1092" t="s">
        <v>42</v>
      </c>
      <c r="K1092">
        <v>6</v>
      </c>
      <c r="O1092">
        <v>21.99</v>
      </c>
    </row>
    <row r="1093" spans="1:15" x14ac:dyDescent="0.35">
      <c r="A1093" t="s">
        <v>1437</v>
      </c>
      <c r="B1093">
        <v>1</v>
      </c>
      <c r="C1093">
        <v>34.99</v>
      </c>
      <c r="D1093">
        <v>34.99</v>
      </c>
      <c r="E1093" t="s">
        <v>500</v>
      </c>
      <c r="F1093" t="s">
        <v>1718</v>
      </c>
      <c r="G1093" t="s">
        <v>16</v>
      </c>
      <c r="H1093">
        <v>7</v>
      </c>
      <c r="I1093" t="s">
        <v>24</v>
      </c>
      <c r="J1093" t="s">
        <v>36</v>
      </c>
      <c r="K1093">
        <v>12.5</v>
      </c>
      <c r="O1093">
        <v>21.99</v>
      </c>
    </row>
    <row r="1094" spans="1:15" x14ac:dyDescent="0.35">
      <c r="A1094" t="s">
        <v>1438</v>
      </c>
      <c r="B1094">
        <v>1</v>
      </c>
      <c r="C1094">
        <v>30.99</v>
      </c>
      <c r="D1094">
        <v>30.99</v>
      </c>
      <c r="E1094" t="s">
        <v>567</v>
      </c>
      <c r="F1094" t="s">
        <v>1719</v>
      </c>
      <c r="G1094" t="s">
        <v>21</v>
      </c>
      <c r="H1094">
        <v>0</v>
      </c>
      <c r="I1094" t="s">
        <v>17</v>
      </c>
      <c r="J1094" t="s">
        <v>18</v>
      </c>
      <c r="K1094">
        <v>10.5</v>
      </c>
      <c r="O1094">
        <v>21.99</v>
      </c>
    </row>
    <row r="1095" spans="1:15" x14ac:dyDescent="0.35">
      <c r="A1095" t="s">
        <v>1439</v>
      </c>
      <c r="B1095">
        <v>2</v>
      </c>
      <c r="C1095">
        <v>21.99</v>
      </c>
      <c r="D1095">
        <v>38.229999999999997</v>
      </c>
      <c r="E1095" t="s">
        <v>431</v>
      </c>
      <c r="F1095" t="s">
        <v>1720</v>
      </c>
      <c r="G1095" t="s">
        <v>28</v>
      </c>
      <c r="H1095">
        <v>0</v>
      </c>
      <c r="I1095" t="s">
        <v>12</v>
      </c>
      <c r="J1095" t="s">
        <v>13</v>
      </c>
      <c r="K1095">
        <v>7</v>
      </c>
      <c r="O1095">
        <v>37.979999999999997</v>
      </c>
    </row>
    <row r="1096" spans="1:15" x14ac:dyDescent="0.35">
      <c r="A1096" t="s">
        <v>1440</v>
      </c>
      <c r="B1096">
        <v>1</v>
      </c>
      <c r="C1096">
        <v>16.989999999999998</v>
      </c>
      <c r="D1096">
        <v>16.989999999999998</v>
      </c>
      <c r="E1096" s="6">
        <v>46103</v>
      </c>
      <c r="F1096" t="s">
        <v>1721</v>
      </c>
      <c r="G1096" t="s">
        <v>16</v>
      </c>
      <c r="H1096">
        <v>16</v>
      </c>
      <c r="I1096" t="s">
        <v>24</v>
      </c>
      <c r="J1096" t="s">
        <v>25</v>
      </c>
      <c r="K1096">
        <v>5</v>
      </c>
      <c r="O1096">
        <v>21.99</v>
      </c>
    </row>
    <row r="1097" spans="1:15" x14ac:dyDescent="0.35">
      <c r="A1097" t="s">
        <v>1441</v>
      </c>
      <c r="B1097">
        <v>1</v>
      </c>
      <c r="C1097">
        <v>30.99</v>
      </c>
      <c r="D1097">
        <v>30.99</v>
      </c>
      <c r="E1097" t="s">
        <v>470</v>
      </c>
      <c r="F1097" t="s">
        <v>1722</v>
      </c>
      <c r="G1097" t="s">
        <v>21</v>
      </c>
      <c r="H1097">
        <v>0</v>
      </c>
      <c r="I1097" t="s">
        <v>12</v>
      </c>
      <c r="J1097" t="s">
        <v>18</v>
      </c>
      <c r="K1097">
        <v>10.5</v>
      </c>
      <c r="O1097">
        <v>21.99</v>
      </c>
    </row>
    <row r="1098" spans="1:15" x14ac:dyDescent="0.35">
      <c r="A1098" t="s">
        <v>1442</v>
      </c>
      <c r="B1098">
        <v>3</v>
      </c>
      <c r="C1098">
        <v>16.989999999999998</v>
      </c>
      <c r="D1098">
        <v>41.23</v>
      </c>
      <c r="E1098" t="s">
        <v>841</v>
      </c>
      <c r="F1098" t="s">
        <v>1723</v>
      </c>
      <c r="G1098" t="s">
        <v>11</v>
      </c>
      <c r="H1098">
        <v>15</v>
      </c>
      <c r="I1098" t="s">
        <v>17</v>
      </c>
      <c r="J1098" t="s">
        <v>25</v>
      </c>
      <c r="K1098">
        <v>5</v>
      </c>
      <c r="O1098">
        <v>84.73</v>
      </c>
    </row>
    <row r="1099" spans="1:15" x14ac:dyDescent="0.35">
      <c r="A1099" t="s">
        <v>1443</v>
      </c>
      <c r="B1099">
        <v>2</v>
      </c>
      <c r="C1099">
        <v>18.989999999999998</v>
      </c>
      <c r="D1099">
        <v>33.200000000000003</v>
      </c>
      <c r="E1099" t="s">
        <v>602</v>
      </c>
      <c r="F1099" t="s">
        <v>1724</v>
      </c>
      <c r="G1099" t="s">
        <v>16</v>
      </c>
      <c r="H1099">
        <v>13</v>
      </c>
      <c r="I1099" t="s">
        <v>41</v>
      </c>
      <c r="J1099" t="s">
        <v>42</v>
      </c>
      <c r="K1099">
        <v>6</v>
      </c>
      <c r="O1099">
        <v>37.979999999999997</v>
      </c>
    </row>
    <row r="1100" spans="1:15" x14ac:dyDescent="0.35">
      <c r="A1100" t="s">
        <v>1444</v>
      </c>
      <c r="B1100">
        <v>1</v>
      </c>
      <c r="C1100">
        <v>27.99</v>
      </c>
      <c r="D1100">
        <v>27.99</v>
      </c>
      <c r="E1100" t="s">
        <v>1017</v>
      </c>
      <c r="F1100" t="s">
        <v>1725</v>
      </c>
      <c r="G1100" t="s">
        <v>21</v>
      </c>
      <c r="H1100">
        <v>0</v>
      </c>
      <c r="I1100" t="s">
        <v>17</v>
      </c>
      <c r="J1100" t="s">
        <v>31</v>
      </c>
      <c r="K1100">
        <v>9</v>
      </c>
      <c r="O1100">
        <v>21.99</v>
      </c>
    </row>
    <row r="1101" spans="1:15" x14ac:dyDescent="0.35">
      <c r="A1101" t="s">
        <v>1445</v>
      </c>
      <c r="B1101">
        <v>3</v>
      </c>
      <c r="C1101">
        <v>18.989999999999998</v>
      </c>
      <c r="D1101">
        <v>46.09</v>
      </c>
      <c r="E1101" t="s">
        <v>812</v>
      </c>
      <c r="F1101" t="s">
        <v>1726</v>
      </c>
      <c r="G1101" t="s">
        <v>16</v>
      </c>
      <c r="H1101">
        <v>11</v>
      </c>
      <c r="I1101" t="s">
        <v>17</v>
      </c>
      <c r="J1101" t="s">
        <v>42</v>
      </c>
      <c r="K1101">
        <v>6</v>
      </c>
      <c r="O1101">
        <v>84.73</v>
      </c>
    </row>
    <row r="1102" spans="1:15" x14ac:dyDescent="0.35">
      <c r="A1102" t="s">
        <v>1446</v>
      </c>
      <c r="B1102">
        <v>3</v>
      </c>
      <c r="C1102">
        <v>27.99</v>
      </c>
      <c r="D1102">
        <v>66.78</v>
      </c>
      <c r="E1102" t="s">
        <v>921</v>
      </c>
      <c r="F1102" t="s">
        <v>1727</v>
      </c>
      <c r="G1102" t="s">
        <v>16</v>
      </c>
      <c r="H1102">
        <v>2</v>
      </c>
      <c r="I1102" t="s">
        <v>12</v>
      </c>
      <c r="J1102" t="s">
        <v>31</v>
      </c>
      <c r="K1102">
        <v>9</v>
      </c>
      <c r="O1102">
        <v>84.73</v>
      </c>
    </row>
    <row r="1103" spans="1:15" x14ac:dyDescent="0.35">
      <c r="A1103" t="s">
        <v>1447</v>
      </c>
      <c r="B1103">
        <v>2</v>
      </c>
      <c r="C1103">
        <v>30.99</v>
      </c>
      <c r="D1103">
        <v>53.73</v>
      </c>
      <c r="E1103" t="s">
        <v>1260</v>
      </c>
      <c r="F1103" t="s">
        <v>1728</v>
      </c>
      <c r="G1103" t="s">
        <v>16</v>
      </c>
      <c r="H1103">
        <v>3</v>
      </c>
      <c r="I1103" t="s">
        <v>17</v>
      </c>
      <c r="J1103" t="s">
        <v>18</v>
      </c>
      <c r="K1103">
        <v>10.5</v>
      </c>
      <c r="O1103">
        <v>37.979999999999997</v>
      </c>
    </row>
    <row r="1104" spans="1:15" x14ac:dyDescent="0.35">
      <c r="A1104" t="s">
        <v>1448</v>
      </c>
      <c r="B1104">
        <v>1</v>
      </c>
      <c r="C1104">
        <v>16.989999999999998</v>
      </c>
      <c r="D1104">
        <v>16.989999999999998</v>
      </c>
      <c r="E1104" t="s">
        <v>1449</v>
      </c>
      <c r="F1104" t="s">
        <v>1717</v>
      </c>
      <c r="G1104" t="s">
        <v>16</v>
      </c>
      <c r="H1104">
        <v>15</v>
      </c>
      <c r="I1104" t="s">
        <v>12</v>
      </c>
      <c r="J1104" t="s">
        <v>25</v>
      </c>
      <c r="K1104">
        <v>5</v>
      </c>
      <c r="O1104">
        <v>21.99</v>
      </c>
    </row>
    <row r="1105" spans="1:15" x14ac:dyDescent="0.35">
      <c r="A1105" t="s">
        <v>1450</v>
      </c>
      <c r="B1105">
        <v>1</v>
      </c>
      <c r="C1105">
        <v>21.99</v>
      </c>
      <c r="D1105">
        <v>21.99</v>
      </c>
      <c r="E1105" t="s">
        <v>1352</v>
      </c>
      <c r="F1105" t="s">
        <v>1718</v>
      </c>
      <c r="G1105" t="s">
        <v>21</v>
      </c>
      <c r="H1105">
        <v>0</v>
      </c>
      <c r="I1105" t="s">
        <v>24</v>
      </c>
      <c r="J1105" t="s">
        <v>13</v>
      </c>
      <c r="K1105">
        <v>7</v>
      </c>
      <c r="O1105">
        <v>21.99</v>
      </c>
    </row>
    <row r="1106" spans="1:15" x14ac:dyDescent="0.35">
      <c r="A1106" t="s">
        <v>1451</v>
      </c>
      <c r="B1106">
        <v>2</v>
      </c>
      <c r="C1106">
        <v>21.99</v>
      </c>
      <c r="D1106">
        <v>38.049999999999997</v>
      </c>
      <c r="E1106" t="s">
        <v>909</v>
      </c>
      <c r="F1106" t="s">
        <v>1719</v>
      </c>
      <c r="G1106" t="s">
        <v>16</v>
      </c>
      <c r="H1106">
        <v>8</v>
      </c>
      <c r="I1106" t="s">
        <v>17</v>
      </c>
      <c r="J1106" t="s">
        <v>13</v>
      </c>
      <c r="K1106">
        <v>7</v>
      </c>
      <c r="O1106">
        <v>37.979999999999997</v>
      </c>
    </row>
    <row r="1107" spans="1:15" x14ac:dyDescent="0.35">
      <c r="A1107" t="s">
        <v>1452</v>
      </c>
      <c r="B1107">
        <v>3</v>
      </c>
      <c r="C1107">
        <v>21.99</v>
      </c>
      <c r="D1107">
        <v>51.89</v>
      </c>
      <c r="E1107" t="s">
        <v>333</v>
      </c>
      <c r="F1107" t="s">
        <v>1720</v>
      </c>
      <c r="G1107" t="s">
        <v>16</v>
      </c>
      <c r="H1107">
        <v>3</v>
      </c>
      <c r="I1107" t="s">
        <v>17</v>
      </c>
      <c r="J1107" t="s">
        <v>13</v>
      </c>
      <c r="K1107">
        <v>7</v>
      </c>
      <c r="O1107">
        <v>84.73</v>
      </c>
    </row>
    <row r="1108" spans="1:15" x14ac:dyDescent="0.35">
      <c r="A1108" t="s">
        <v>1453</v>
      </c>
      <c r="B1108">
        <v>1</v>
      </c>
      <c r="C1108">
        <v>34.99</v>
      </c>
      <c r="D1108">
        <v>34.99</v>
      </c>
      <c r="E1108" t="s">
        <v>106</v>
      </c>
      <c r="F1108" t="s">
        <v>1721</v>
      </c>
      <c r="G1108" t="s">
        <v>21</v>
      </c>
      <c r="H1108">
        <v>0</v>
      </c>
      <c r="I1108" t="s">
        <v>41</v>
      </c>
      <c r="J1108" t="s">
        <v>36</v>
      </c>
      <c r="K1108">
        <v>12.5</v>
      </c>
      <c r="O1108">
        <v>21.99</v>
      </c>
    </row>
    <row r="1109" spans="1:15" x14ac:dyDescent="0.35">
      <c r="A1109" t="s">
        <v>1454</v>
      </c>
      <c r="B1109">
        <v>1</v>
      </c>
      <c r="C1109">
        <v>30.99</v>
      </c>
      <c r="D1109">
        <v>30.99</v>
      </c>
      <c r="E1109" t="s">
        <v>730</v>
      </c>
      <c r="F1109" t="s">
        <v>1722</v>
      </c>
      <c r="G1109" t="s">
        <v>16</v>
      </c>
      <c r="H1109">
        <v>7</v>
      </c>
      <c r="I1109" t="s">
        <v>17</v>
      </c>
      <c r="J1109" t="s">
        <v>18</v>
      </c>
      <c r="K1109">
        <v>10.5</v>
      </c>
      <c r="O1109">
        <v>21.99</v>
      </c>
    </row>
    <row r="1110" spans="1:15" x14ac:dyDescent="0.35">
      <c r="A1110" t="s">
        <v>1455</v>
      </c>
      <c r="B1110">
        <v>1</v>
      </c>
      <c r="C1110">
        <v>27.99</v>
      </c>
      <c r="D1110">
        <v>27.99</v>
      </c>
      <c r="E1110" t="s">
        <v>46</v>
      </c>
      <c r="F1110" t="s">
        <v>1723</v>
      </c>
      <c r="G1110" t="s">
        <v>16</v>
      </c>
      <c r="H1110">
        <v>2</v>
      </c>
      <c r="I1110" t="s">
        <v>41</v>
      </c>
      <c r="J1110" t="s">
        <v>31</v>
      </c>
      <c r="K1110">
        <v>9</v>
      </c>
      <c r="O1110">
        <v>21.99</v>
      </c>
    </row>
    <row r="1111" spans="1:15" x14ac:dyDescent="0.35">
      <c r="A1111" t="s">
        <v>1456</v>
      </c>
      <c r="B1111">
        <v>3</v>
      </c>
      <c r="C1111">
        <v>27.99</v>
      </c>
      <c r="D1111">
        <v>66.94</v>
      </c>
      <c r="E1111" t="s">
        <v>812</v>
      </c>
      <c r="F1111" t="s">
        <v>1724</v>
      </c>
      <c r="G1111" t="s">
        <v>87</v>
      </c>
      <c r="H1111">
        <v>0</v>
      </c>
      <c r="I1111" t="s">
        <v>24</v>
      </c>
      <c r="J1111" t="s">
        <v>31</v>
      </c>
      <c r="K1111">
        <v>9</v>
      </c>
      <c r="O1111">
        <v>84.73</v>
      </c>
    </row>
    <row r="1112" spans="1:15" x14ac:dyDescent="0.35">
      <c r="A1112" t="s">
        <v>1457</v>
      </c>
      <c r="B1112">
        <v>3</v>
      </c>
      <c r="C1112">
        <v>16.989999999999998</v>
      </c>
      <c r="D1112">
        <v>40.78</v>
      </c>
      <c r="E1112" s="6">
        <v>46041</v>
      </c>
      <c r="F1112" t="s">
        <v>1725</v>
      </c>
      <c r="G1112" t="s">
        <v>16</v>
      </c>
      <c r="H1112">
        <v>15</v>
      </c>
      <c r="I1112" t="s">
        <v>41</v>
      </c>
      <c r="J1112" t="s">
        <v>25</v>
      </c>
      <c r="K1112">
        <v>5</v>
      </c>
      <c r="O1112">
        <v>84.73</v>
      </c>
    </row>
    <row r="1113" spans="1:15" x14ac:dyDescent="0.35">
      <c r="A1113" t="s">
        <v>1458</v>
      </c>
      <c r="B1113">
        <v>2</v>
      </c>
      <c r="C1113">
        <v>34.99</v>
      </c>
      <c r="D1113">
        <v>60.77</v>
      </c>
      <c r="E1113" t="s">
        <v>955</v>
      </c>
      <c r="F1113" t="s">
        <v>1726</v>
      </c>
      <c r="G1113" t="s">
        <v>16</v>
      </c>
      <c r="H1113">
        <v>5</v>
      </c>
      <c r="I1113" t="s">
        <v>12</v>
      </c>
      <c r="J1113" t="s">
        <v>36</v>
      </c>
      <c r="K1113">
        <v>12.5</v>
      </c>
      <c r="O1113">
        <v>37.979999999999997</v>
      </c>
    </row>
    <row r="1114" spans="1:15" x14ac:dyDescent="0.35">
      <c r="A1114" t="s">
        <v>1459</v>
      </c>
      <c r="B1114">
        <v>3</v>
      </c>
      <c r="C1114">
        <v>34.99</v>
      </c>
      <c r="D1114">
        <v>84.88</v>
      </c>
      <c r="E1114" t="s">
        <v>703</v>
      </c>
      <c r="F1114" t="s">
        <v>1727</v>
      </c>
      <c r="G1114" t="s">
        <v>21</v>
      </c>
      <c r="H1114">
        <v>0</v>
      </c>
      <c r="I1114" t="s">
        <v>41</v>
      </c>
      <c r="J1114" t="s">
        <v>36</v>
      </c>
      <c r="K1114">
        <v>12.5</v>
      </c>
      <c r="O1114">
        <v>84.73</v>
      </c>
    </row>
    <row r="1115" spans="1:15" x14ac:dyDescent="0.35">
      <c r="A1115" t="s">
        <v>1460</v>
      </c>
      <c r="B1115">
        <v>3</v>
      </c>
      <c r="C1115">
        <v>16.989999999999998</v>
      </c>
      <c r="D1115">
        <v>41.26</v>
      </c>
      <c r="E1115" t="s">
        <v>1260</v>
      </c>
      <c r="F1115" t="s">
        <v>1728</v>
      </c>
      <c r="G1115" t="s">
        <v>87</v>
      </c>
      <c r="H1115">
        <v>0</v>
      </c>
      <c r="I1115" t="s">
        <v>41</v>
      </c>
      <c r="J1115" t="s">
        <v>25</v>
      </c>
      <c r="K1115">
        <v>5</v>
      </c>
      <c r="O1115">
        <v>84.73</v>
      </c>
    </row>
    <row r="1116" spans="1:15" x14ac:dyDescent="0.35">
      <c r="A1116" t="s">
        <v>1461</v>
      </c>
      <c r="B1116">
        <v>1</v>
      </c>
      <c r="C1116">
        <v>18.989999999999998</v>
      </c>
      <c r="D1116">
        <v>18.989999999999998</v>
      </c>
      <c r="E1116" t="s">
        <v>780</v>
      </c>
      <c r="F1116" t="s">
        <v>1717</v>
      </c>
      <c r="G1116" t="s">
        <v>11</v>
      </c>
      <c r="H1116">
        <v>10</v>
      </c>
      <c r="I1116" t="s">
        <v>17</v>
      </c>
      <c r="J1116" t="s">
        <v>42</v>
      </c>
      <c r="K1116">
        <v>6</v>
      </c>
      <c r="O1116">
        <v>21.99</v>
      </c>
    </row>
    <row r="1117" spans="1:15" x14ac:dyDescent="0.35">
      <c r="A1117" t="s">
        <v>1462</v>
      </c>
      <c r="B1117">
        <v>1</v>
      </c>
      <c r="C1117">
        <v>30.99</v>
      </c>
      <c r="D1117">
        <v>30.99</v>
      </c>
      <c r="E1117" t="s">
        <v>1176</v>
      </c>
      <c r="F1117" t="s">
        <v>1718</v>
      </c>
      <c r="G1117" t="s">
        <v>87</v>
      </c>
      <c r="H1117">
        <v>0</v>
      </c>
      <c r="I1117" t="s">
        <v>17</v>
      </c>
      <c r="J1117" t="s">
        <v>18</v>
      </c>
      <c r="K1117">
        <v>10.5</v>
      </c>
      <c r="O1117">
        <v>21.99</v>
      </c>
    </row>
    <row r="1118" spans="1:15" x14ac:dyDescent="0.35">
      <c r="A1118" t="s">
        <v>1463</v>
      </c>
      <c r="B1118">
        <v>1</v>
      </c>
      <c r="C1118">
        <v>27.99</v>
      </c>
      <c r="D1118">
        <v>27.99</v>
      </c>
      <c r="E1118" t="s">
        <v>158</v>
      </c>
      <c r="F1118" t="s">
        <v>1719</v>
      </c>
      <c r="G1118" t="s">
        <v>21</v>
      </c>
      <c r="H1118">
        <v>0</v>
      </c>
      <c r="I1118" t="s">
        <v>24</v>
      </c>
      <c r="J1118" t="s">
        <v>31</v>
      </c>
      <c r="K1118">
        <v>9</v>
      </c>
      <c r="O1118">
        <v>21.99</v>
      </c>
    </row>
    <row r="1119" spans="1:15" x14ac:dyDescent="0.35">
      <c r="A1119" t="s">
        <v>1464</v>
      </c>
      <c r="B1119">
        <v>1</v>
      </c>
      <c r="C1119">
        <v>16.989999999999998</v>
      </c>
      <c r="D1119">
        <v>16.989999999999998</v>
      </c>
      <c r="E1119" t="s">
        <v>531</v>
      </c>
      <c r="F1119" t="s">
        <v>1720</v>
      </c>
      <c r="G1119" t="s">
        <v>16</v>
      </c>
      <c r="H1119">
        <v>19</v>
      </c>
      <c r="I1119" t="s">
        <v>12</v>
      </c>
      <c r="J1119" t="s">
        <v>25</v>
      </c>
      <c r="K1119">
        <v>5</v>
      </c>
      <c r="O1119">
        <v>21.99</v>
      </c>
    </row>
    <row r="1120" spans="1:15" x14ac:dyDescent="0.35">
      <c r="A1120" t="s">
        <v>1465</v>
      </c>
      <c r="B1120">
        <v>2</v>
      </c>
      <c r="C1120">
        <v>16.989999999999998</v>
      </c>
      <c r="D1120">
        <v>29.17</v>
      </c>
      <c r="E1120" t="s">
        <v>732</v>
      </c>
      <c r="F1120" t="s">
        <v>1721</v>
      </c>
      <c r="G1120" t="s">
        <v>16</v>
      </c>
      <c r="H1120">
        <v>15</v>
      </c>
      <c r="I1120" t="s">
        <v>12</v>
      </c>
      <c r="J1120" t="s">
        <v>25</v>
      </c>
      <c r="K1120">
        <v>5</v>
      </c>
      <c r="O1120">
        <v>37.979999999999997</v>
      </c>
    </row>
    <row r="1121" spans="1:15" x14ac:dyDescent="0.35">
      <c r="A1121" t="s">
        <v>1466</v>
      </c>
      <c r="B1121">
        <v>1</v>
      </c>
      <c r="C1121">
        <v>16.989999999999998</v>
      </c>
      <c r="D1121">
        <v>16.989999999999998</v>
      </c>
      <c r="E1121" t="s">
        <v>1249</v>
      </c>
      <c r="F1121" t="s">
        <v>1722</v>
      </c>
      <c r="G1121" t="s">
        <v>16</v>
      </c>
      <c r="H1121">
        <v>19</v>
      </c>
      <c r="I1121" t="s">
        <v>41</v>
      </c>
      <c r="J1121" t="s">
        <v>25</v>
      </c>
      <c r="K1121">
        <v>5</v>
      </c>
      <c r="O1121">
        <v>21.99</v>
      </c>
    </row>
    <row r="1122" spans="1:15" x14ac:dyDescent="0.35">
      <c r="A1122" t="s">
        <v>1467</v>
      </c>
      <c r="B1122">
        <v>3</v>
      </c>
      <c r="C1122">
        <v>30.99</v>
      </c>
      <c r="D1122">
        <v>74.86</v>
      </c>
      <c r="E1122" t="s">
        <v>909</v>
      </c>
      <c r="F1122" t="s">
        <v>1723</v>
      </c>
      <c r="G1122" t="s">
        <v>21</v>
      </c>
      <c r="H1122">
        <v>0</v>
      </c>
      <c r="I1122" t="s">
        <v>17</v>
      </c>
      <c r="J1122" t="s">
        <v>18</v>
      </c>
      <c r="K1122">
        <v>10.5</v>
      </c>
      <c r="O1122">
        <v>84.73</v>
      </c>
    </row>
    <row r="1123" spans="1:15" x14ac:dyDescent="0.35">
      <c r="A1123" t="s">
        <v>1468</v>
      </c>
      <c r="B1123">
        <v>1</v>
      </c>
      <c r="C1123">
        <v>30.99</v>
      </c>
      <c r="D1123">
        <v>30.99</v>
      </c>
      <c r="E1123" t="s">
        <v>20</v>
      </c>
      <c r="F1123" t="s">
        <v>1724</v>
      </c>
      <c r="G1123" t="s">
        <v>16</v>
      </c>
      <c r="H1123">
        <v>8</v>
      </c>
      <c r="I1123" t="s">
        <v>12</v>
      </c>
      <c r="J1123" t="s">
        <v>18</v>
      </c>
      <c r="K1123">
        <v>10.5</v>
      </c>
      <c r="O1123">
        <v>21.99</v>
      </c>
    </row>
    <row r="1124" spans="1:15" x14ac:dyDescent="0.35">
      <c r="A1124" t="s">
        <v>1469</v>
      </c>
      <c r="B1124">
        <v>1</v>
      </c>
      <c r="C1124">
        <v>21.99</v>
      </c>
      <c r="D1124">
        <v>21.99</v>
      </c>
      <c r="E1124" t="s">
        <v>1470</v>
      </c>
      <c r="F1124" t="s">
        <v>1725</v>
      </c>
      <c r="G1124" t="s">
        <v>16</v>
      </c>
      <c r="H1124">
        <v>4</v>
      </c>
      <c r="I1124" t="s">
        <v>12</v>
      </c>
      <c r="J1124" t="s">
        <v>13</v>
      </c>
      <c r="K1124">
        <v>7</v>
      </c>
      <c r="O1124">
        <v>21.99</v>
      </c>
    </row>
    <row r="1125" spans="1:15" x14ac:dyDescent="0.35">
      <c r="A1125" t="s">
        <v>1471</v>
      </c>
      <c r="B1125">
        <v>2</v>
      </c>
      <c r="C1125">
        <v>18.989999999999998</v>
      </c>
      <c r="D1125">
        <v>33.17</v>
      </c>
      <c r="E1125" t="s">
        <v>474</v>
      </c>
      <c r="F1125" t="s">
        <v>1726</v>
      </c>
      <c r="G1125" t="s">
        <v>16</v>
      </c>
      <c r="H1125">
        <v>10</v>
      </c>
      <c r="I1125" t="s">
        <v>24</v>
      </c>
      <c r="J1125" t="s">
        <v>42</v>
      </c>
      <c r="K1125">
        <v>6</v>
      </c>
      <c r="O1125">
        <v>37.979999999999997</v>
      </c>
    </row>
    <row r="1126" spans="1:15" x14ac:dyDescent="0.35">
      <c r="A1126" t="s">
        <v>1472</v>
      </c>
      <c r="B1126">
        <v>3</v>
      </c>
      <c r="C1126">
        <v>27.99</v>
      </c>
      <c r="D1126">
        <v>66.44</v>
      </c>
      <c r="E1126" t="s">
        <v>143</v>
      </c>
      <c r="F1126" t="s">
        <v>1727</v>
      </c>
      <c r="G1126" t="s">
        <v>11</v>
      </c>
      <c r="H1126">
        <v>2</v>
      </c>
      <c r="I1126" t="s">
        <v>17</v>
      </c>
      <c r="J1126" t="s">
        <v>31</v>
      </c>
      <c r="K1126">
        <v>9</v>
      </c>
      <c r="O1126">
        <v>84.73</v>
      </c>
    </row>
    <row r="1127" spans="1:15" x14ac:dyDescent="0.35">
      <c r="A1127" t="s">
        <v>1473</v>
      </c>
      <c r="B1127">
        <v>3</v>
      </c>
      <c r="C1127">
        <v>27.99</v>
      </c>
      <c r="D1127">
        <v>66.97</v>
      </c>
      <c r="E1127" t="s">
        <v>1474</v>
      </c>
      <c r="F1127" t="s">
        <v>1728</v>
      </c>
      <c r="G1127" t="s">
        <v>16</v>
      </c>
      <c r="H1127">
        <v>3</v>
      </c>
      <c r="I1127" t="s">
        <v>41</v>
      </c>
      <c r="J1127" t="s">
        <v>31</v>
      </c>
      <c r="K1127">
        <v>9</v>
      </c>
      <c r="O1127">
        <v>84.73</v>
      </c>
    </row>
    <row r="1128" spans="1:15" x14ac:dyDescent="0.35">
      <c r="A1128" t="s">
        <v>1475</v>
      </c>
      <c r="B1128">
        <v>3</v>
      </c>
      <c r="C1128">
        <v>16.989999999999998</v>
      </c>
      <c r="D1128">
        <v>41.26</v>
      </c>
      <c r="E1128" t="s">
        <v>888</v>
      </c>
      <c r="F1128" t="s">
        <v>1717</v>
      </c>
      <c r="G1128" t="s">
        <v>16</v>
      </c>
      <c r="H1128">
        <v>15</v>
      </c>
      <c r="I1128" t="s">
        <v>24</v>
      </c>
      <c r="J1128" t="s">
        <v>25</v>
      </c>
      <c r="K1128">
        <v>5</v>
      </c>
      <c r="O1128">
        <v>84.73</v>
      </c>
    </row>
    <row r="1129" spans="1:15" x14ac:dyDescent="0.35">
      <c r="A1129" t="s">
        <v>1476</v>
      </c>
      <c r="B1129">
        <v>1</v>
      </c>
      <c r="C1129">
        <v>27.99</v>
      </c>
      <c r="D1129">
        <v>27.99</v>
      </c>
      <c r="E1129" t="s">
        <v>888</v>
      </c>
      <c r="F1129" t="s">
        <v>1718</v>
      </c>
      <c r="G1129" t="s">
        <v>21</v>
      </c>
      <c r="H1129">
        <v>0</v>
      </c>
      <c r="I1129" t="s">
        <v>24</v>
      </c>
      <c r="J1129" t="s">
        <v>31</v>
      </c>
      <c r="K1129">
        <v>9</v>
      </c>
      <c r="O1129">
        <v>21.99</v>
      </c>
    </row>
    <row r="1130" spans="1:15" x14ac:dyDescent="0.35">
      <c r="A1130" t="s">
        <v>1477</v>
      </c>
      <c r="B1130">
        <v>1</v>
      </c>
      <c r="C1130">
        <v>30.99</v>
      </c>
      <c r="D1130">
        <v>30.99</v>
      </c>
      <c r="E1130" t="s">
        <v>1470</v>
      </c>
      <c r="F1130" t="s">
        <v>1719</v>
      </c>
      <c r="G1130" t="s">
        <v>28</v>
      </c>
      <c r="H1130">
        <v>0</v>
      </c>
      <c r="I1130" t="s">
        <v>41</v>
      </c>
      <c r="J1130" t="s">
        <v>18</v>
      </c>
      <c r="K1130">
        <v>10.5</v>
      </c>
      <c r="O1130">
        <v>21.99</v>
      </c>
    </row>
    <row r="1131" spans="1:15" x14ac:dyDescent="0.35">
      <c r="A1131" t="s">
        <v>1478</v>
      </c>
      <c r="B1131">
        <v>2</v>
      </c>
      <c r="C1131">
        <v>18.989999999999998</v>
      </c>
      <c r="D1131">
        <v>33.06</v>
      </c>
      <c r="E1131" t="s">
        <v>1272</v>
      </c>
      <c r="F1131" t="s">
        <v>1720</v>
      </c>
      <c r="G1131" t="s">
        <v>16</v>
      </c>
      <c r="H1131">
        <v>15</v>
      </c>
      <c r="I1131" t="s">
        <v>24</v>
      </c>
      <c r="J1131" t="s">
        <v>42</v>
      </c>
      <c r="K1131">
        <v>6</v>
      </c>
      <c r="O1131">
        <v>37.979999999999997</v>
      </c>
    </row>
    <row r="1132" spans="1:15" x14ac:dyDescent="0.35">
      <c r="A1132" t="s">
        <v>1479</v>
      </c>
      <c r="B1132">
        <v>1</v>
      </c>
      <c r="C1132">
        <v>27.99</v>
      </c>
      <c r="D1132">
        <v>27.99</v>
      </c>
      <c r="E1132" t="s">
        <v>449</v>
      </c>
      <c r="F1132" t="s">
        <v>1721</v>
      </c>
      <c r="G1132" t="s">
        <v>16</v>
      </c>
      <c r="H1132">
        <v>3</v>
      </c>
      <c r="I1132" t="s">
        <v>24</v>
      </c>
      <c r="J1132" t="s">
        <v>31</v>
      </c>
      <c r="K1132">
        <v>9</v>
      </c>
      <c r="O1132">
        <v>21.99</v>
      </c>
    </row>
    <row r="1133" spans="1:15" x14ac:dyDescent="0.35">
      <c r="A1133" t="s">
        <v>1480</v>
      </c>
      <c r="B1133">
        <v>1</v>
      </c>
      <c r="C1133">
        <v>27.99</v>
      </c>
      <c r="D1133">
        <v>27.99</v>
      </c>
      <c r="E1133" t="s">
        <v>46</v>
      </c>
      <c r="F1133" t="s">
        <v>1722</v>
      </c>
      <c r="G1133" t="s">
        <v>16</v>
      </c>
      <c r="H1133">
        <v>2</v>
      </c>
      <c r="I1133" t="s">
        <v>41</v>
      </c>
      <c r="J1133" t="s">
        <v>31</v>
      </c>
      <c r="K1133">
        <v>9</v>
      </c>
      <c r="O1133">
        <v>21.99</v>
      </c>
    </row>
    <row r="1134" spans="1:15" x14ac:dyDescent="0.35">
      <c r="A1134" t="s">
        <v>1481</v>
      </c>
      <c r="B1134">
        <v>1</v>
      </c>
      <c r="C1134">
        <v>34.99</v>
      </c>
      <c r="D1134">
        <v>34.99</v>
      </c>
      <c r="E1134" t="s">
        <v>1482</v>
      </c>
      <c r="F1134" t="s">
        <v>1723</v>
      </c>
      <c r="G1134" t="s">
        <v>16</v>
      </c>
      <c r="H1134">
        <v>8</v>
      </c>
      <c r="I1134" t="s">
        <v>24</v>
      </c>
      <c r="J1134" t="s">
        <v>36</v>
      </c>
      <c r="K1134">
        <v>12.5</v>
      </c>
      <c r="O1134">
        <v>21.99</v>
      </c>
    </row>
    <row r="1135" spans="1:15" x14ac:dyDescent="0.35">
      <c r="A1135" t="s">
        <v>1483</v>
      </c>
      <c r="B1135">
        <v>1</v>
      </c>
      <c r="C1135">
        <v>27.99</v>
      </c>
      <c r="D1135">
        <v>27.99</v>
      </c>
      <c r="E1135" t="s">
        <v>531</v>
      </c>
      <c r="F1135" t="s">
        <v>1724</v>
      </c>
      <c r="G1135" t="s">
        <v>28</v>
      </c>
      <c r="H1135">
        <v>0</v>
      </c>
      <c r="I1135" t="s">
        <v>24</v>
      </c>
      <c r="J1135" t="s">
        <v>31</v>
      </c>
      <c r="K1135">
        <v>9</v>
      </c>
      <c r="O1135">
        <v>21.99</v>
      </c>
    </row>
    <row r="1136" spans="1:15" x14ac:dyDescent="0.35">
      <c r="A1136" t="s">
        <v>1484</v>
      </c>
      <c r="B1136">
        <v>1</v>
      </c>
      <c r="C1136">
        <v>27.99</v>
      </c>
      <c r="D1136">
        <v>27.99</v>
      </c>
      <c r="E1136" t="s">
        <v>1485</v>
      </c>
      <c r="F1136" t="s">
        <v>1725</v>
      </c>
      <c r="G1136" t="s">
        <v>16</v>
      </c>
      <c r="H1136">
        <v>3</v>
      </c>
      <c r="I1136" t="s">
        <v>12</v>
      </c>
      <c r="J1136" t="s">
        <v>31</v>
      </c>
      <c r="K1136">
        <v>9</v>
      </c>
      <c r="O1136">
        <v>21.99</v>
      </c>
    </row>
    <row r="1137" spans="1:15" x14ac:dyDescent="0.35">
      <c r="A1137" t="s">
        <v>1486</v>
      </c>
      <c r="B1137">
        <v>1</v>
      </c>
      <c r="C1137">
        <v>18.989999999999998</v>
      </c>
      <c r="D1137">
        <v>18.989999999999998</v>
      </c>
      <c r="E1137" t="s">
        <v>1230</v>
      </c>
      <c r="F1137" t="s">
        <v>1726</v>
      </c>
      <c r="G1137" t="s">
        <v>28</v>
      </c>
      <c r="H1137">
        <v>0</v>
      </c>
      <c r="I1137" t="s">
        <v>41</v>
      </c>
      <c r="J1137" t="s">
        <v>42</v>
      </c>
      <c r="K1137">
        <v>6</v>
      </c>
      <c r="O1137">
        <v>21.99</v>
      </c>
    </row>
    <row r="1138" spans="1:15" x14ac:dyDescent="0.35">
      <c r="A1138" t="s">
        <v>1487</v>
      </c>
      <c r="B1138">
        <v>1</v>
      </c>
      <c r="C1138">
        <v>18.989999999999998</v>
      </c>
      <c r="D1138">
        <v>18.989999999999998</v>
      </c>
      <c r="E1138" t="s">
        <v>1337</v>
      </c>
      <c r="F1138" t="s">
        <v>1727</v>
      </c>
      <c r="G1138" t="s">
        <v>16</v>
      </c>
      <c r="H1138">
        <v>13</v>
      </c>
      <c r="I1138" t="s">
        <v>17</v>
      </c>
      <c r="J1138" t="s">
        <v>42</v>
      </c>
      <c r="K1138">
        <v>6</v>
      </c>
      <c r="O1138">
        <v>21.99</v>
      </c>
    </row>
    <row r="1139" spans="1:15" x14ac:dyDescent="0.35">
      <c r="A1139" t="s">
        <v>1488</v>
      </c>
      <c r="B1139">
        <v>1</v>
      </c>
      <c r="C1139">
        <v>16.989999999999998</v>
      </c>
      <c r="D1139">
        <v>16.989999999999998</v>
      </c>
      <c r="E1139" t="s">
        <v>382</v>
      </c>
      <c r="F1139" t="s">
        <v>1728</v>
      </c>
      <c r="G1139" t="s">
        <v>11</v>
      </c>
      <c r="H1139">
        <v>18</v>
      </c>
      <c r="I1139" t="s">
        <v>41</v>
      </c>
      <c r="J1139" t="s">
        <v>25</v>
      </c>
      <c r="K1139">
        <v>5</v>
      </c>
      <c r="O1139">
        <v>21.99</v>
      </c>
    </row>
    <row r="1140" spans="1:15" x14ac:dyDescent="0.35">
      <c r="A1140" t="s">
        <v>1489</v>
      </c>
      <c r="B1140">
        <v>3</v>
      </c>
      <c r="C1140">
        <v>18.989999999999998</v>
      </c>
      <c r="D1140">
        <v>45.43</v>
      </c>
      <c r="E1140" t="s">
        <v>742</v>
      </c>
      <c r="F1140" t="s">
        <v>1717</v>
      </c>
      <c r="G1140" t="s">
        <v>16</v>
      </c>
      <c r="H1140">
        <v>13</v>
      </c>
      <c r="I1140" t="s">
        <v>41</v>
      </c>
      <c r="J1140" t="s">
        <v>42</v>
      </c>
      <c r="K1140">
        <v>6</v>
      </c>
      <c r="O1140">
        <v>84.73</v>
      </c>
    </row>
    <row r="1141" spans="1:15" x14ac:dyDescent="0.35">
      <c r="A1141" t="s">
        <v>1490</v>
      </c>
      <c r="B1141">
        <v>1</v>
      </c>
      <c r="C1141">
        <v>30.99</v>
      </c>
      <c r="D1141">
        <v>30.99</v>
      </c>
      <c r="E1141" t="s">
        <v>664</v>
      </c>
      <c r="F1141" t="s">
        <v>1718</v>
      </c>
      <c r="G1141" t="s">
        <v>28</v>
      </c>
      <c r="H1141">
        <v>0</v>
      </c>
      <c r="I1141" t="s">
        <v>17</v>
      </c>
      <c r="J1141" t="s">
        <v>18</v>
      </c>
      <c r="K1141">
        <v>10.5</v>
      </c>
      <c r="O1141">
        <v>21.99</v>
      </c>
    </row>
    <row r="1142" spans="1:15" x14ac:dyDescent="0.35">
      <c r="A1142" t="s">
        <v>1491</v>
      </c>
      <c r="B1142">
        <v>1</v>
      </c>
      <c r="C1142">
        <v>30.99</v>
      </c>
      <c r="D1142">
        <v>30.99</v>
      </c>
      <c r="E1142" t="s">
        <v>50</v>
      </c>
      <c r="F1142" t="s">
        <v>1719</v>
      </c>
      <c r="G1142" t="s">
        <v>16</v>
      </c>
      <c r="H1142">
        <v>3</v>
      </c>
      <c r="I1142" t="s">
        <v>17</v>
      </c>
      <c r="J1142" t="s">
        <v>18</v>
      </c>
      <c r="K1142">
        <v>10.5</v>
      </c>
      <c r="O1142">
        <v>21.99</v>
      </c>
    </row>
    <row r="1143" spans="1:15" x14ac:dyDescent="0.35">
      <c r="A1143" t="s">
        <v>1492</v>
      </c>
      <c r="B1143">
        <v>1</v>
      </c>
      <c r="C1143">
        <v>34.99</v>
      </c>
      <c r="D1143">
        <v>34.99</v>
      </c>
      <c r="E1143" t="s">
        <v>231</v>
      </c>
      <c r="F1143" t="s">
        <v>1720</v>
      </c>
      <c r="G1143" t="s">
        <v>11</v>
      </c>
      <c r="H1143">
        <v>6</v>
      </c>
      <c r="I1143" t="s">
        <v>24</v>
      </c>
      <c r="J1143" t="s">
        <v>36</v>
      </c>
      <c r="K1143">
        <v>12.5</v>
      </c>
      <c r="O1143">
        <v>21.99</v>
      </c>
    </row>
    <row r="1144" spans="1:15" x14ac:dyDescent="0.35">
      <c r="A1144" t="s">
        <v>1493</v>
      </c>
      <c r="B1144">
        <v>1</v>
      </c>
      <c r="C1144">
        <v>34.99</v>
      </c>
      <c r="D1144">
        <v>34.99</v>
      </c>
      <c r="E1144" t="s">
        <v>1314</v>
      </c>
      <c r="F1144" t="s">
        <v>1721</v>
      </c>
      <c r="G1144" t="s">
        <v>21</v>
      </c>
      <c r="H1144">
        <v>0</v>
      </c>
      <c r="I1144" t="s">
        <v>17</v>
      </c>
      <c r="J1144" t="s">
        <v>36</v>
      </c>
      <c r="K1144">
        <v>12.5</v>
      </c>
      <c r="O1144">
        <v>21.99</v>
      </c>
    </row>
    <row r="1145" spans="1:15" x14ac:dyDescent="0.35">
      <c r="A1145" t="s">
        <v>1494</v>
      </c>
      <c r="B1145">
        <v>3</v>
      </c>
      <c r="C1145">
        <v>27.99</v>
      </c>
      <c r="D1145">
        <v>67.430000000000007</v>
      </c>
      <c r="E1145" t="s">
        <v>556</v>
      </c>
      <c r="F1145" t="s">
        <v>1722</v>
      </c>
      <c r="G1145" t="s">
        <v>16</v>
      </c>
      <c r="H1145">
        <v>3</v>
      </c>
      <c r="I1145" t="s">
        <v>24</v>
      </c>
      <c r="J1145" t="s">
        <v>31</v>
      </c>
      <c r="K1145">
        <v>9</v>
      </c>
      <c r="O1145">
        <v>84.73</v>
      </c>
    </row>
    <row r="1146" spans="1:15" x14ac:dyDescent="0.35">
      <c r="A1146" t="s">
        <v>1495</v>
      </c>
      <c r="B1146">
        <v>3</v>
      </c>
      <c r="C1146">
        <v>18.989999999999998</v>
      </c>
      <c r="D1146">
        <v>44.87</v>
      </c>
      <c r="E1146" t="s">
        <v>655</v>
      </c>
      <c r="F1146" t="s">
        <v>1723</v>
      </c>
      <c r="G1146" t="s">
        <v>16</v>
      </c>
      <c r="H1146">
        <v>15</v>
      </c>
      <c r="I1146" t="s">
        <v>41</v>
      </c>
      <c r="J1146" t="s">
        <v>42</v>
      </c>
      <c r="K1146">
        <v>6</v>
      </c>
      <c r="O1146">
        <v>84.73</v>
      </c>
    </row>
    <row r="1147" spans="1:15" x14ac:dyDescent="0.35">
      <c r="A1147" t="s">
        <v>1496</v>
      </c>
      <c r="B1147">
        <v>1</v>
      </c>
      <c r="C1147">
        <v>21.99</v>
      </c>
      <c r="D1147">
        <v>21.99</v>
      </c>
      <c r="E1147" t="s">
        <v>551</v>
      </c>
      <c r="F1147" t="s">
        <v>1724</v>
      </c>
      <c r="G1147" t="s">
        <v>21</v>
      </c>
      <c r="H1147">
        <v>0</v>
      </c>
      <c r="I1147" t="s">
        <v>12</v>
      </c>
      <c r="J1147" t="s">
        <v>13</v>
      </c>
      <c r="K1147">
        <v>7</v>
      </c>
      <c r="O1147">
        <v>21.99</v>
      </c>
    </row>
    <row r="1148" spans="1:15" x14ac:dyDescent="0.35">
      <c r="A1148" t="s">
        <v>1497</v>
      </c>
      <c r="B1148">
        <v>1</v>
      </c>
      <c r="C1148">
        <v>27.99</v>
      </c>
      <c r="D1148">
        <v>27.99</v>
      </c>
      <c r="E1148" t="s">
        <v>1498</v>
      </c>
      <c r="F1148" t="s">
        <v>1725</v>
      </c>
      <c r="G1148" t="s">
        <v>21</v>
      </c>
      <c r="H1148">
        <v>0</v>
      </c>
      <c r="I1148" t="s">
        <v>17</v>
      </c>
      <c r="J1148" t="s">
        <v>31</v>
      </c>
      <c r="K1148">
        <v>9</v>
      </c>
      <c r="O1148">
        <v>21.99</v>
      </c>
    </row>
    <row r="1149" spans="1:15" x14ac:dyDescent="0.35">
      <c r="A1149" t="s">
        <v>1499</v>
      </c>
      <c r="B1149">
        <v>3</v>
      </c>
      <c r="C1149">
        <v>34.99</v>
      </c>
      <c r="D1149">
        <v>84.73</v>
      </c>
      <c r="E1149" t="s">
        <v>70</v>
      </c>
      <c r="F1149" t="s">
        <v>1726</v>
      </c>
      <c r="G1149" t="s">
        <v>16</v>
      </c>
      <c r="H1149">
        <v>7</v>
      </c>
      <c r="I1149" t="s">
        <v>17</v>
      </c>
      <c r="J1149" t="s">
        <v>36</v>
      </c>
      <c r="K1149">
        <v>12.5</v>
      </c>
      <c r="O1149">
        <v>84.73</v>
      </c>
    </row>
    <row r="1150" spans="1:15" x14ac:dyDescent="0.35">
      <c r="A1150" t="s">
        <v>1500</v>
      </c>
      <c r="B1150">
        <v>1</v>
      </c>
      <c r="C1150">
        <v>16.989999999999998</v>
      </c>
      <c r="D1150">
        <v>16.989999999999998</v>
      </c>
      <c r="E1150" t="s">
        <v>50</v>
      </c>
      <c r="F1150" t="s">
        <v>1727</v>
      </c>
      <c r="G1150" t="s">
        <v>11</v>
      </c>
      <c r="H1150">
        <v>20</v>
      </c>
      <c r="I1150" t="s">
        <v>24</v>
      </c>
      <c r="J1150" t="s">
        <v>25</v>
      </c>
      <c r="K1150">
        <v>5</v>
      </c>
      <c r="O1150">
        <v>21.99</v>
      </c>
    </row>
    <row r="1151" spans="1:15" x14ac:dyDescent="0.35">
      <c r="A1151" t="s">
        <v>1501</v>
      </c>
      <c r="B1151">
        <v>1</v>
      </c>
      <c r="C1151">
        <v>21.99</v>
      </c>
      <c r="D1151">
        <v>21.99</v>
      </c>
      <c r="E1151" t="s">
        <v>118</v>
      </c>
      <c r="F1151" t="s">
        <v>1728</v>
      </c>
      <c r="G1151" t="s">
        <v>28</v>
      </c>
      <c r="H1151">
        <v>0</v>
      </c>
      <c r="I1151" t="s">
        <v>17</v>
      </c>
      <c r="J1151" t="s">
        <v>13</v>
      </c>
      <c r="K1151">
        <v>7</v>
      </c>
      <c r="O1151">
        <v>21.99</v>
      </c>
    </row>
    <row r="1152" spans="1:15" x14ac:dyDescent="0.35">
      <c r="A1152" t="s">
        <v>1502</v>
      </c>
      <c r="B1152">
        <v>1</v>
      </c>
      <c r="C1152">
        <v>16.989999999999998</v>
      </c>
      <c r="D1152">
        <v>16.989999999999998</v>
      </c>
      <c r="E1152" s="6">
        <v>46202</v>
      </c>
      <c r="F1152" t="s">
        <v>1717</v>
      </c>
      <c r="G1152" t="s">
        <v>21</v>
      </c>
      <c r="H1152">
        <v>0</v>
      </c>
      <c r="I1152" t="s">
        <v>17</v>
      </c>
      <c r="J1152" t="s">
        <v>25</v>
      </c>
      <c r="K1152">
        <v>5</v>
      </c>
      <c r="O1152">
        <v>21.99</v>
      </c>
    </row>
    <row r="1153" spans="1:15" x14ac:dyDescent="0.35">
      <c r="A1153" t="s">
        <v>1503</v>
      </c>
      <c r="B1153">
        <v>2</v>
      </c>
      <c r="C1153">
        <v>30.99</v>
      </c>
      <c r="D1153">
        <v>53.81</v>
      </c>
      <c r="E1153" t="s">
        <v>722</v>
      </c>
      <c r="F1153" t="s">
        <v>1718</v>
      </c>
      <c r="G1153" t="s">
        <v>16</v>
      </c>
      <c r="H1153">
        <v>2</v>
      </c>
      <c r="I1153" t="s">
        <v>12</v>
      </c>
      <c r="J1153" t="s">
        <v>18</v>
      </c>
      <c r="K1153">
        <v>10.5</v>
      </c>
      <c r="O1153">
        <v>37.979999999999997</v>
      </c>
    </row>
    <row r="1154" spans="1:15" x14ac:dyDescent="0.35">
      <c r="A1154" t="s">
        <v>1504</v>
      </c>
      <c r="B1154">
        <v>1</v>
      </c>
      <c r="C1154">
        <v>21.99</v>
      </c>
      <c r="D1154">
        <v>21.99</v>
      </c>
      <c r="E1154" t="s">
        <v>1505</v>
      </c>
      <c r="F1154" t="s">
        <v>1719</v>
      </c>
      <c r="G1154" t="s">
        <v>16</v>
      </c>
      <c r="H1154">
        <v>8</v>
      </c>
      <c r="I1154" t="s">
        <v>12</v>
      </c>
      <c r="J1154" t="s">
        <v>13</v>
      </c>
      <c r="K1154">
        <v>7</v>
      </c>
      <c r="O1154">
        <v>21.99</v>
      </c>
    </row>
    <row r="1155" spans="1:15" x14ac:dyDescent="0.35">
      <c r="A1155" t="s">
        <v>1506</v>
      </c>
      <c r="B1155">
        <v>1</v>
      </c>
      <c r="C1155">
        <v>34.99</v>
      </c>
      <c r="D1155">
        <v>34.99</v>
      </c>
      <c r="E1155" t="s">
        <v>290</v>
      </c>
      <c r="F1155" t="s">
        <v>1720</v>
      </c>
      <c r="G1155" t="s">
        <v>16</v>
      </c>
      <c r="H1155">
        <v>11</v>
      </c>
      <c r="I1155" t="s">
        <v>17</v>
      </c>
      <c r="J1155" t="s">
        <v>36</v>
      </c>
      <c r="K1155">
        <v>12.5</v>
      </c>
      <c r="O1155">
        <v>21.99</v>
      </c>
    </row>
    <row r="1156" spans="1:15" x14ac:dyDescent="0.35">
      <c r="A1156" t="s">
        <v>1507</v>
      </c>
      <c r="B1156">
        <v>1</v>
      </c>
      <c r="C1156">
        <v>16.989999999999998</v>
      </c>
      <c r="D1156">
        <v>16.989999999999998</v>
      </c>
      <c r="E1156" t="s">
        <v>465</v>
      </c>
      <c r="F1156" t="s">
        <v>1721</v>
      </c>
      <c r="G1156" t="s">
        <v>16</v>
      </c>
      <c r="H1156">
        <v>15</v>
      </c>
      <c r="I1156" t="s">
        <v>17</v>
      </c>
      <c r="J1156" t="s">
        <v>25</v>
      </c>
      <c r="K1156">
        <v>5</v>
      </c>
      <c r="O1156">
        <v>21.99</v>
      </c>
    </row>
    <row r="1157" spans="1:15" x14ac:dyDescent="0.35">
      <c r="A1157" t="s">
        <v>1508</v>
      </c>
      <c r="B1157">
        <v>1</v>
      </c>
      <c r="C1157">
        <v>34.99</v>
      </c>
      <c r="D1157">
        <v>34.99</v>
      </c>
      <c r="E1157" t="s">
        <v>199</v>
      </c>
      <c r="F1157" t="s">
        <v>1722</v>
      </c>
      <c r="G1157" t="s">
        <v>11</v>
      </c>
      <c r="H1157">
        <v>7</v>
      </c>
      <c r="I1157" t="s">
        <v>12</v>
      </c>
      <c r="J1157" t="s">
        <v>36</v>
      </c>
      <c r="K1157">
        <v>12.5</v>
      </c>
      <c r="O1157">
        <v>21.99</v>
      </c>
    </row>
    <row r="1158" spans="1:15" x14ac:dyDescent="0.35">
      <c r="A1158" t="s">
        <v>1509</v>
      </c>
      <c r="B1158">
        <v>1</v>
      </c>
      <c r="C1158">
        <v>16.989999999999998</v>
      </c>
      <c r="D1158">
        <v>16.989999999999998</v>
      </c>
      <c r="E1158" t="s">
        <v>730</v>
      </c>
      <c r="F1158" t="s">
        <v>1723</v>
      </c>
      <c r="G1158" t="s">
        <v>16</v>
      </c>
      <c r="H1158">
        <v>20</v>
      </c>
      <c r="I1158" t="s">
        <v>41</v>
      </c>
      <c r="J1158" t="s">
        <v>25</v>
      </c>
      <c r="K1158">
        <v>5</v>
      </c>
      <c r="O1158">
        <v>21.99</v>
      </c>
    </row>
    <row r="1159" spans="1:15" x14ac:dyDescent="0.35">
      <c r="A1159" t="s">
        <v>1510</v>
      </c>
      <c r="B1159">
        <v>1</v>
      </c>
      <c r="C1159">
        <v>21.99</v>
      </c>
      <c r="D1159">
        <v>21.99</v>
      </c>
      <c r="E1159" t="s">
        <v>1324</v>
      </c>
      <c r="F1159" t="s">
        <v>1724</v>
      </c>
      <c r="G1159" t="s">
        <v>16</v>
      </c>
      <c r="H1159">
        <v>3</v>
      </c>
      <c r="I1159" t="s">
        <v>17</v>
      </c>
      <c r="J1159" t="s">
        <v>13</v>
      </c>
      <c r="K1159">
        <v>7</v>
      </c>
      <c r="O1159">
        <v>21.99</v>
      </c>
    </row>
    <row r="1160" spans="1:15" x14ac:dyDescent="0.35">
      <c r="A1160" t="s">
        <v>1511</v>
      </c>
      <c r="B1160">
        <v>1</v>
      </c>
      <c r="C1160">
        <v>30.99</v>
      </c>
      <c r="D1160">
        <v>30.99</v>
      </c>
      <c r="E1160" t="s">
        <v>730</v>
      </c>
      <c r="F1160" t="s">
        <v>1725</v>
      </c>
      <c r="G1160" t="s">
        <v>16</v>
      </c>
      <c r="H1160">
        <v>3</v>
      </c>
      <c r="I1160" t="s">
        <v>17</v>
      </c>
      <c r="J1160" t="s">
        <v>18</v>
      </c>
      <c r="K1160">
        <v>10.5</v>
      </c>
      <c r="O1160">
        <v>21.99</v>
      </c>
    </row>
    <row r="1161" spans="1:15" x14ac:dyDescent="0.35">
      <c r="A1161" t="s">
        <v>1512</v>
      </c>
      <c r="B1161">
        <v>1</v>
      </c>
      <c r="C1161">
        <v>30.99</v>
      </c>
      <c r="D1161">
        <v>30.99</v>
      </c>
      <c r="E1161" t="s">
        <v>674</v>
      </c>
      <c r="F1161" t="s">
        <v>1726</v>
      </c>
      <c r="G1161" t="s">
        <v>11</v>
      </c>
      <c r="H1161">
        <v>3</v>
      </c>
      <c r="I1161" t="s">
        <v>17</v>
      </c>
      <c r="J1161" t="s">
        <v>18</v>
      </c>
      <c r="K1161">
        <v>10.5</v>
      </c>
      <c r="O1161">
        <v>21.99</v>
      </c>
    </row>
    <row r="1162" spans="1:15" x14ac:dyDescent="0.35">
      <c r="A1162" t="s">
        <v>1513</v>
      </c>
      <c r="B1162">
        <v>1</v>
      </c>
      <c r="C1162">
        <v>30.99</v>
      </c>
      <c r="D1162">
        <v>30.99</v>
      </c>
      <c r="E1162" t="s">
        <v>164</v>
      </c>
      <c r="F1162" t="s">
        <v>1727</v>
      </c>
      <c r="G1162" t="s">
        <v>16</v>
      </c>
      <c r="H1162">
        <v>3</v>
      </c>
      <c r="I1162" t="s">
        <v>17</v>
      </c>
      <c r="J1162" t="s">
        <v>18</v>
      </c>
      <c r="K1162">
        <v>10.5</v>
      </c>
      <c r="O1162">
        <v>21.99</v>
      </c>
    </row>
    <row r="1163" spans="1:15" x14ac:dyDescent="0.35">
      <c r="A1163" t="s">
        <v>1514</v>
      </c>
      <c r="B1163">
        <v>2</v>
      </c>
      <c r="C1163">
        <v>16.989999999999998</v>
      </c>
      <c r="D1163">
        <v>29.54</v>
      </c>
      <c r="E1163" s="6">
        <v>46293</v>
      </c>
      <c r="F1163" t="s">
        <v>1728</v>
      </c>
      <c r="G1163" t="s">
        <v>16</v>
      </c>
      <c r="H1163">
        <v>20</v>
      </c>
      <c r="I1163" t="s">
        <v>17</v>
      </c>
      <c r="J1163" t="s">
        <v>25</v>
      </c>
      <c r="K1163">
        <v>5</v>
      </c>
      <c r="O1163">
        <v>37.979999999999997</v>
      </c>
    </row>
    <row r="1164" spans="1:15" x14ac:dyDescent="0.35">
      <c r="A1164" t="s">
        <v>1515</v>
      </c>
      <c r="B1164">
        <v>3</v>
      </c>
      <c r="C1164">
        <v>34.99</v>
      </c>
      <c r="D1164">
        <v>84.02</v>
      </c>
      <c r="E1164" t="s">
        <v>439</v>
      </c>
      <c r="F1164" t="s">
        <v>1717</v>
      </c>
      <c r="G1164" t="s">
        <v>16</v>
      </c>
      <c r="H1164">
        <v>7</v>
      </c>
      <c r="I1164" t="s">
        <v>41</v>
      </c>
      <c r="J1164" t="s">
        <v>36</v>
      </c>
      <c r="K1164">
        <v>12.5</v>
      </c>
      <c r="O1164">
        <v>84.73</v>
      </c>
    </row>
    <row r="1165" spans="1:15" x14ac:dyDescent="0.35">
      <c r="A1165" t="s">
        <v>1516</v>
      </c>
      <c r="B1165">
        <v>1</v>
      </c>
      <c r="C1165">
        <v>30.99</v>
      </c>
      <c r="D1165">
        <v>30.99</v>
      </c>
      <c r="E1165" t="s">
        <v>598</v>
      </c>
      <c r="F1165" t="s">
        <v>1718</v>
      </c>
      <c r="G1165" t="s">
        <v>16</v>
      </c>
      <c r="H1165">
        <v>2</v>
      </c>
      <c r="I1165" t="s">
        <v>12</v>
      </c>
      <c r="J1165" t="s">
        <v>18</v>
      </c>
      <c r="K1165">
        <v>10.5</v>
      </c>
      <c r="O1165">
        <v>21.99</v>
      </c>
    </row>
    <row r="1166" spans="1:15" x14ac:dyDescent="0.35">
      <c r="A1166" t="s">
        <v>1517</v>
      </c>
      <c r="B1166">
        <v>1</v>
      </c>
      <c r="C1166">
        <v>27.99</v>
      </c>
      <c r="D1166">
        <v>27.99</v>
      </c>
      <c r="E1166" t="s">
        <v>1238</v>
      </c>
      <c r="F1166" t="s">
        <v>1719</v>
      </c>
      <c r="G1166" t="s">
        <v>16</v>
      </c>
      <c r="H1166">
        <v>2</v>
      </c>
      <c r="I1166" t="s">
        <v>24</v>
      </c>
      <c r="J1166" t="s">
        <v>31</v>
      </c>
      <c r="K1166">
        <v>9</v>
      </c>
      <c r="O1166">
        <v>21.99</v>
      </c>
    </row>
    <row r="1167" spans="1:15" x14ac:dyDescent="0.35">
      <c r="A1167" t="s">
        <v>1518</v>
      </c>
      <c r="B1167">
        <v>1</v>
      </c>
      <c r="C1167">
        <v>34.99</v>
      </c>
      <c r="D1167">
        <v>34.99</v>
      </c>
      <c r="E1167" t="s">
        <v>474</v>
      </c>
      <c r="F1167" t="s">
        <v>1720</v>
      </c>
      <c r="G1167" t="s">
        <v>16</v>
      </c>
      <c r="H1167">
        <v>7</v>
      </c>
      <c r="I1167" t="s">
        <v>24</v>
      </c>
      <c r="J1167" t="s">
        <v>36</v>
      </c>
      <c r="K1167">
        <v>12.5</v>
      </c>
      <c r="O1167">
        <v>21.99</v>
      </c>
    </row>
    <row r="1168" spans="1:15" x14ac:dyDescent="0.35">
      <c r="A1168" t="s">
        <v>1519</v>
      </c>
      <c r="B1168">
        <v>1</v>
      </c>
      <c r="C1168">
        <v>30.99</v>
      </c>
      <c r="D1168">
        <v>30.99</v>
      </c>
      <c r="E1168" t="s">
        <v>610</v>
      </c>
      <c r="F1168" t="s">
        <v>1721</v>
      </c>
      <c r="G1168" t="s">
        <v>28</v>
      </c>
      <c r="H1168">
        <v>0</v>
      </c>
      <c r="I1168" t="s">
        <v>41</v>
      </c>
      <c r="J1168" t="s">
        <v>18</v>
      </c>
      <c r="K1168">
        <v>10.5</v>
      </c>
      <c r="O1168">
        <v>21.99</v>
      </c>
    </row>
    <row r="1169" spans="1:15" x14ac:dyDescent="0.35">
      <c r="A1169" t="s">
        <v>1520</v>
      </c>
      <c r="B1169">
        <v>3</v>
      </c>
      <c r="C1169">
        <v>16.989999999999998</v>
      </c>
      <c r="D1169">
        <v>40.85</v>
      </c>
      <c r="E1169" t="s">
        <v>231</v>
      </c>
      <c r="F1169" t="s">
        <v>1722</v>
      </c>
      <c r="G1169" t="s">
        <v>16</v>
      </c>
      <c r="H1169">
        <v>18</v>
      </c>
      <c r="I1169" t="s">
        <v>17</v>
      </c>
      <c r="J1169" t="s">
        <v>25</v>
      </c>
      <c r="K1169">
        <v>5</v>
      </c>
      <c r="O1169">
        <v>84.73</v>
      </c>
    </row>
    <row r="1170" spans="1:15" x14ac:dyDescent="0.35">
      <c r="A1170" t="s">
        <v>1521</v>
      </c>
      <c r="B1170">
        <v>3</v>
      </c>
      <c r="C1170">
        <v>34.99</v>
      </c>
      <c r="D1170">
        <v>83.39</v>
      </c>
      <c r="E1170" t="s">
        <v>1474</v>
      </c>
      <c r="F1170" t="s">
        <v>1723</v>
      </c>
      <c r="G1170" t="s">
        <v>16</v>
      </c>
      <c r="H1170">
        <v>6</v>
      </c>
      <c r="I1170" t="s">
        <v>17</v>
      </c>
      <c r="J1170" t="s">
        <v>36</v>
      </c>
      <c r="K1170">
        <v>12.5</v>
      </c>
      <c r="O1170">
        <v>84.73</v>
      </c>
    </row>
    <row r="1171" spans="1:15" x14ac:dyDescent="0.35">
      <c r="A1171" t="s">
        <v>1522</v>
      </c>
      <c r="B1171">
        <v>1</v>
      </c>
      <c r="C1171">
        <v>18.989999999999998</v>
      </c>
      <c r="D1171">
        <v>18.989999999999998</v>
      </c>
      <c r="E1171" t="s">
        <v>1523</v>
      </c>
      <c r="F1171" t="s">
        <v>1724</v>
      </c>
      <c r="G1171" t="s">
        <v>28</v>
      </c>
      <c r="H1171">
        <v>0</v>
      </c>
      <c r="I1171" t="s">
        <v>17</v>
      </c>
      <c r="J1171" t="s">
        <v>42</v>
      </c>
      <c r="K1171">
        <v>6</v>
      </c>
      <c r="O1171">
        <v>21.99</v>
      </c>
    </row>
    <row r="1172" spans="1:15" x14ac:dyDescent="0.35">
      <c r="A1172" t="s">
        <v>1524</v>
      </c>
      <c r="B1172">
        <v>3</v>
      </c>
      <c r="C1172">
        <v>30.99</v>
      </c>
      <c r="D1172">
        <v>74.290000000000006</v>
      </c>
      <c r="E1172" t="s">
        <v>1125</v>
      </c>
      <c r="F1172" t="s">
        <v>1725</v>
      </c>
      <c r="G1172" t="s">
        <v>87</v>
      </c>
      <c r="H1172">
        <v>0</v>
      </c>
      <c r="I1172" t="s">
        <v>12</v>
      </c>
      <c r="J1172" t="s">
        <v>18</v>
      </c>
      <c r="K1172">
        <v>10.5</v>
      </c>
      <c r="O1172">
        <v>84.73</v>
      </c>
    </row>
    <row r="1173" spans="1:15" x14ac:dyDescent="0.35">
      <c r="A1173" t="s">
        <v>1525</v>
      </c>
      <c r="B1173">
        <v>1</v>
      </c>
      <c r="C1173">
        <v>30.99</v>
      </c>
      <c r="D1173">
        <v>30.99</v>
      </c>
      <c r="E1173" t="s">
        <v>46</v>
      </c>
      <c r="F1173" t="s">
        <v>1726</v>
      </c>
      <c r="G1173" t="s">
        <v>16</v>
      </c>
      <c r="H1173">
        <v>2</v>
      </c>
      <c r="I1173" t="s">
        <v>17</v>
      </c>
      <c r="J1173" t="s">
        <v>18</v>
      </c>
      <c r="K1173">
        <v>10.5</v>
      </c>
      <c r="O1173">
        <v>21.99</v>
      </c>
    </row>
    <row r="1174" spans="1:15" x14ac:dyDescent="0.35">
      <c r="A1174" t="s">
        <v>1526</v>
      </c>
      <c r="B1174">
        <v>1</v>
      </c>
      <c r="C1174">
        <v>27.99</v>
      </c>
      <c r="D1174">
        <v>27.99</v>
      </c>
      <c r="E1174" t="s">
        <v>199</v>
      </c>
      <c r="F1174" t="s">
        <v>1727</v>
      </c>
      <c r="G1174" t="s">
        <v>28</v>
      </c>
      <c r="H1174">
        <v>0</v>
      </c>
      <c r="I1174" t="s">
        <v>17</v>
      </c>
      <c r="J1174" t="s">
        <v>31</v>
      </c>
      <c r="K1174">
        <v>9</v>
      </c>
      <c r="O1174">
        <v>21.99</v>
      </c>
    </row>
    <row r="1175" spans="1:15" x14ac:dyDescent="0.35">
      <c r="A1175" t="s">
        <v>1527</v>
      </c>
      <c r="B1175">
        <v>3</v>
      </c>
      <c r="C1175">
        <v>18.989999999999998</v>
      </c>
      <c r="D1175">
        <v>44.78</v>
      </c>
      <c r="E1175" t="s">
        <v>917</v>
      </c>
      <c r="F1175" t="s">
        <v>1728</v>
      </c>
      <c r="G1175" t="s">
        <v>16</v>
      </c>
      <c r="H1175">
        <v>12</v>
      </c>
      <c r="I1175" t="s">
        <v>17</v>
      </c>
      <c r="J1175" t="s">
        <v>42</v>
      </c>
      <c r="K1175">
        <v>6</v>
      </c>
      <c r="O1175">
        <v>84.73</v>
      </c>
    </row>
    <row r="1176" spans="1:15" x14ac:dyDescent="0.35">
      <c r="A1176" t="s">
        <v>1528</v>
      </c>
      <c r="B1176">
        <v>1</v>
      </c>
      <c r="C1176">
        <v>18.989999999999998</v>
      </c>
      <c r="D1176">
        <v>18.989999999999998</v>
      </c>
      <c r="E1176" t="s">
        <v>485</v>
      </c>
      <c r="F1176" t="s">
        <v>1717</v>
      </c>
      <c r="G1176" t="s">
        <v>21</v>
      </c>
      <c r="H1176">
        <v>0</v>
      </c>
      <c r="I1176" t="s">
        <v>12</v>
      </c>
      <c r="J1176" t="s">
        <v>42</v>
      </c>
      <c r="K1176">
        <v>6</v>
      </c>
      <c r="O1176">
        <v>21.99</v>
      </c>
    </row>
    <row r="1177" spans="1:15" x14ac:dyDescent="0.35">
      <c r="A1177" t="s">
        <v>1529</v>
      </c>
      <c r="B1177">
        <v>1</v>
      </c>
      <c r="C1177">
        <v>18.989999999999998</v>
      </c>
      <c r="D1177">
        <v>18.989999999999998</v>
      </c>
      <c r="E1177" t="s">
        <v>1530</v>
      </c>
      <c r="F1177" t="s">
        <v>1718</v>
      </c>
      <c r="G1177" t="s">
        <v>11</v>
      </c>
      <c r="H1177">
        <v>17</v>
      </c>
      <c r="I1177" t="s">
        <v>17</v>
      </c>
      <c r="J1177" t="s">
        <v>42</v>
      </c>
      <c r="K1177">
        <v>6</v>
      </c>
      <c r="O1177">
        <v>21.99</v>
      </c>
    </row>
    <row r="1178" spans="1:15" x14ac:dyDescent="0.35">
      <c r="A1178" t="s">
        <v>1531</v>
      </c>
      <c r="B1178">
        <v>1</v>
      </c>
      <c r="C1178">
        <v>16.989999999999998</v>
      </c>
      <c r="D1178">
        <v>16.989999999999998</v>
      </c>
      <c r="E1178" t="s">
        <v>236</v>
      </c>
      <c r="F1178" t="s">
        <v>1719</v>
      </c>
      <c r="G1178" t="s">
        <v>16</v>
      </c>
      <c r="H1178">
        <v>16</v>
      </c>
      <c r="I1178" t="s">
        <v>12</v>
      </c>
      <c r="J1178" t="s">
        <v>25</v>
      </c>
      <c r="K1178">
        <v>5</v>
      </c>
      <c r="O1178">
        <v>21.99</v>
      </c>
    </row>
    <row r="1179" spans="1:15" x14ac:dyDescent="0.35">
      <c r="A1179" t="s">
        <v>1532</v>
      </c>
      <c r="B1179">
        <v>1</v>
      </c>
      <c r="C1179">
        <v>34.99</v>
      </c>
      <c r="D1179">
        <v>34.99</v>
      </c>
      <c r="E1179" t="s">
        <v>1179</v>
      </c>
      <c r="F1179" t="s">
        <v>1720</v>
      </c>
      <c r="G1179" t="s">
        <v>16</v>
      </c>
      <c r="H1179">
        <v>6</v>
      </c>
      <c r="I1179" t="s">
        <v>17</v>
      </c>
      <c r="J1179" t="s">
        <v>36</v>
      </c>
      <c r="K1179">
        <v>12.5</v>
      </c>
      <c r="O1179">
        <v>21.99</v>
      </c>
    </row>
    <row r="1180" spans="1:15" x14ac:dyDescent="0.35">
      <c r="A1180" t="s">
        <v>1533</v>
      </c>
      <c r="B1180">
        <v>1</v>
      </c>
      <c r="C1180">
        <v>27.99</v>
      </c>
      <c r="D1180">
        <v>27.99</v>
      </c>
      <c r="E1180" t="s">
        <v>1534</v>
      </c>
      <c r="F1180" t="s">
        <v>1721</v>
      </c>
      <c r="G1180" t="s">
        <v>16</v>
      </c>
      <c r="H1180">
        <v>2</v>
      </c>
      <c r="I1180" t="s">
        <v>17</v>
      </c>
      <c r="J1180" t="s">
        <v>31</v>
      </c>
      <c r="K1180">
        <v>9</v>
      </c>
      <c r="O1180">
        <v>21.99</v>
      </c>
    </row>
    <row r="1181" spans="1:15" x14ac:dyDescent="0.35">
      <c r="A1181" t="s">
        <v>1535</v>
      </c>
      <c r="B1181">
        <v>1</v>
      </c>
      <c r="C1181">
        <v>16.989999999999998</v>
      </c>
      <c r="D1181">
        <v>16.989999999999998</v>
      </c>
      <c r="E1181" t="s">
        <v>1328</v>
      </c>
      <c r="F1181" t="s">
        <v>1722</v>
      </c>
      <c r="G1181" t="s">
        <v>16</v>
      </c>
      <c r="H1181">
        <v>20</v>
      </c>
      <c r="I1181" t="s">
        <v>24</v>
      </c>
      <c r="J1181" t="s">
        <v>25</v>
      </c>
      <c r="K1181">
        <v>5</v>
      </c>
      <c r="O1181">
        <v>21.99</v>
      </c>
    </row>
    <row r="1182" spans="1:15" x14ac:dyDescent="0.35">
      <c r="A1182" t="s">
        <v>1536</v>
      </c>
      <c r="B1182">
        <v>1</v>
      </c>
      <c r="C1182">
        <v>21.99</v>
      </c>
      <c r="D1182">
        <v>21.99</v>
      </c>
      <c r="E1182" t="s">
        <v>1537</v>
      </c>
      <c r="F1182" t="s">
        <v>1723</v>
      </c>
      <c r="G1182" t="s">
        <v>16</v>
      </c>
      <c r="H1182">
        <v>8</v>
      </c>
      <c r="I1182" t="s">
        <v>24</v>
      </c>
      <c r="J1182" t="s">
        <v>13</v>
      </c>
      <c r="K1182">
        <v>7</v>
      </c>
      <c r="O1182">
        <v>21.99</v>
      </c>
    </row>
    <row r="1183" spans="1:15" x14ac:dyDescent="0.35">
      <c r="A1183" t="s">
        <v>1538</v>
      </c>
      <c r="B1183">
        <v>3</v>
      </c>
      <c r="C1183">
        <v>18.989999999999998</v>
      </c>
      <c r="D1183">
        <v>45.11</v>
      </c>
      <c r="E1183" t="s">
        <v>1539</v>
      </c>
      <c r="F1183" t="s">
        <v>1724</v>
      </c>
      <c r="G1183" t="s">
        <v>16</v>
      </c>
      <c r="H1183">
        <v>20</v>
      </c>
      <c r="I1183" t="s">
        <v>24</v>
      </c>
      <c r="J1183" t="s">
        <v>42</v>
      </c>
      <c r="K1183">
        <v>6</v>
      </c>
      <c r="O1183">
        <v>84.73</v>
      </c>
    </row>
    <row r="1184" spans="1:15" x14ac:dyDescent="0.35">
      <c r="A1184" t="s">
        <v>1540</v>
      </c>
      <c r="B1184">
        <v>3</v>
      </c>
      <c r="C1184">
        <v>27.99</v>
      </c>
      <c r="D1184">
        <v>67.709999999999994</v>
      </c>
      <c r="E1184" t="s">
        <v>1244</v>
      </c>
      <c r="F1184" t="s">
        <v>1725</v>
      </c>
      <c r="G1184" t="s">
        <v>21</v>
      </c>
      <c r="H1184">
        <v>0</v>
      </c>
      <c r="I1184" t="s">
        <v>24</v>
      </c>
      <c r="J1184" t="s">
        <v>31</v>
      </c>
      <c r="K1184">
        <v>9</v>
      </c>
      <c r="O1184">
        <v>84.73</v>
      </c>
    </row>
    <row r="1185" spans="1:15" x14ac:dyDescent="0.35">
      <c r="A1185" t="s">
        <v>1541</v>
      </c>
      <c r="B1185">
        <v>1</v>
      </c>
      <c r="C1185">
        <v>27.99</v>
      </c>
      <c r="D1185">
        <v>27.99</v>
      </c>
      <c r="E1185" t="s">
        <v>1084</v>
      </c>
      <c r="F1185" t="s">
        <v>1726</v>
      </c>
      <c r="G1185" t="s">
        <v>28</v>
      </c>
      <c r="H1185">
        <v>0</v>
      </c>
      <c r="I1185" t="s">
        <v>24</v>
      </c>
      <c r="J1185" t="s">
        <v>31</v>
      </c>
      <c r="K1185">
        <v>9</v>
      </c>
      <c r="O1185">
        <v>21.99</v>
      </c>
    </row>
    <row r="1186" spans="1:15" x14ac:dyDescent="0.35">
      <c r="A1186" t="s">
        <v>1542</v>
      </c>
      <c r="B1186">
        <v>1</v>
      </c>
      <c r="C1186">
        <v>18.989999999999998</v>
      </c>
      <c r="D1186">
        <v>18.989999999999998</v>
      </c>
      <c r="E1186" t="s">
        <v>701</v>
      </c>
      <c r="F1186" t="s">
        <v>1727</v>
      </c>
      <c r="G1186" t="s">
        <v>21</v>
      </c>
      <c r="H1186">
        <v>0</v>
      </c>
      <c r="I1186" t="s">
        <v>41</v>
      </c>
      <c r="J1186" t="s">
        <v>42</v>
      </c>
      <c r="K1186">
        <v>6</v>
      </c>
      <c r="O1186">
        <v>21.99</v>
      </c>
    </row>
    <row r="1187" spans="1:15" x14ac:dyDescent="0.35">
      <c r="A1187" t="s">
        <v>1543</v>
      </c>
      <c r="B1187">
        <v>3</v>
      </c>
      <c r="C1187">
        <v>34.99</v>
      </c>
      <c r="D1187">
        <v>83.13</v>
      </c>
      <c r="E1187" t="s">
        <v>132</v>
      </c>
      <c r="F1187" t="s">
        <v>1728</v>
      </c>
      <c r="G1187" t="s">
        <v>16</v>
      </c>
      <c r="H1187">
        <v>6</v>
      </c>
      <c r="I1187" t="s">
        <v>24</v>
      </c>
      <c r="J1187" t="s">
        <v>36</v>
      </c>
      <c r="K1187">
        <v>12.5</v>
      </c>
      <c r="O1187">
        <v>84.73</v>
      </c>
    </row>
    <row r="1188" spans="1:15" x14ac:dyDescent="0.35">
      <c r="A1188" t="s">
        <v>1544</v>
      </c>
      <c r="B1188">
        <v>3</v>
      </c>
      <c r="C1188">
        <v>30.99</v>
      </c>
      <c r="D1188">
        <v>73.66</v>
      </c>
      <c r="E1188" t="s">
        <v>666</v>
      </c>
      <c r="F1188" t="s">
        <v>1717</v>
      </c>
      <c r="G1188" t="s">
        <v>16</v>
      </c>
      <c r="H1188">
        <v>6</v>
      </c>
      <c r="I1188" t="s">
        <v>17</v>
      </c>
      <c r="J1188" t="s">
        <v>18</v>
      </c>
      <c r="K1188">
        <v>10.5</v>
      </c>
      <c r="O1188">
        <v>84.73</v>
      </c>
    </row>
    <row r="1189" spans="1:15" x14ac:dyDescent="0.35">
      <c r="A1189" t="s">
        <v>1545</v>
      </c>
      <c r="B1189">
        <v>1</v>
      </c>
      <c r="C1189">
        <v>34.99</v>
      </c>
      <c r="D1189">
        <v>34.99</v>
      </c>
      <c r="E1189" t="s">
        <v>820</v>
      </c>
      <c r="F1189" t="s">
        <v>1718</v>
      </c>
      <c r="G1189" t="s">
        <v>87</v>
      </c>
      <c r="H1189">
        <v>0</v>
      </c>
      <c r="I1189" t="s">
        <v>17</v>
      </c>
      <c r="J1189" t="s">
        <v>36</v>
      </c>
      <c r="K1189">
        <v>12.5</v>
      </c>
      <c r="O1189">
        <v>21.99</v>
      </c>
    </row>
    <row r="1190" spans="1:15" x14ac:dyDescent="0.35">
      <c r="A1190" t="s">
        <v>1546</v>
      </c>
      <c r="B1190">
        <v>1</v>
      </c>
      <c r="C1190">
        <v>18.989999999999998</v>
      </c>
      <c r="D1190">
        <v>18.989999999999998</v>
      </c>
      <c r="E1190" t="s">
        <v>1547</v>
      </c>
      <c r="F1190" t="s">
        <v>1719</v>
      </c>
      <c r="G1190" t="s">
        <v>21</v>
      </c>
      <c r="H1190">
        <v>0</v>
      </c>
      <c r="I1190" t="s">
        <v>24</v>
      </c>
      <c r="J1190" t="s">
        <v>42</v>
      </c>
      <c r="K1190">
        <v>6</v>
      </c>
      <c r="O1190">
        <v>21.99</v>
      </c>
    </row>
    <row r="1191" spans="1:15" x14ac:dyDescent="0.35">
      <c r="A1191" t="s">
        <v>1548</v>
      </c>
      <c r="B1191">
        <v>1</v>
      </c>
      <c r="C1191">
        <v>21.99</v>
      </c>
      <c r="D1191">
        <v>21.99</v>
      </c>
      <c r="E1191" t="s">
        <v>171</v>
      </c>
      <c r="F1191" t="s">
        <v>1720</v>
      </c>
      <c r="G1191" t="s">
        <v>16</v>
      </c>
      <c r="H1191">
        <v>3</v>
      </c>
      <c r="I1191" t="s">
        <v>12</v>
      </c>
      <c r="J1191" t="s">
        <v>13</v>
      </c>
      <c r="K1191">
        <v>7</v>
      </c>
      <c r="O1191">
        <v>21.99</v>
      </c>
    </row>
    <row r="1192" spans="1:15" x14ac:dyDescent="0.35">
      <c r="A1192" t="s">
        <v>1549</v>
      </c>
      <c r="B1192">
        <v>3</v>
      </c>
      <c r="C1192">
        <v>21.99</v>
      </c>
      <c r="D1192">
        <v>52.8</v>
      </c>
      <c r="E1192" t="s">
        <v>99</v>
      </c>
      <c r="F1192" t="s">
        <v>1721</v>
      </c>
      <c r="G1192" t="s">
        <v>28</v>
      </c>
      <c r="H1192">
        <v>0</v>
      </c>
      <c r="I1192" t="s">
        <v>17</v>
      </c>
      <c r="J1192" t="s">
        <v>13</v>
      </c>
      <c r="K1192">
        <v>7</v>
      </c>
      <c r="O1192">
        <v>84.73</v>
      </c>
    </row>
    <row r="1193" spans="1:15" x14ac:dyDescent="0.35">
      <c r="A1193" t="s">
        <v>1550</v>
      </c>
      <c r="B1193">
        <v>1</v>
      </c>
      <c r="C1193">
        <v>30.99</v>
      </c>
      <c r="D1193">
        <v>30.99</v>
      </c>
      <c r="E1193" t="s">
        <v>349</v>
      </c>
      <c r="F1193" t="s">
        <v>1722</v>
      </c>
      <c r="G1193" t="s">
        <v>16</v>
      </c>
      <c r="H1193">
        <v>2</v>
      </c>
      <c r="I1193" t="s">
        <v>24</v>
      </c>
      <c r="J1193" t="s">
        <v>18</v>
      </c>
      <c r="K1193">
        <v>10.5</v>
      </c>
      <c r="O1193">
        <v>21.99</v>
      </c>
    </row>
    <row r="1194" spans="1:15" x14ac:dyDescent="0.35">
      <c r="A1194" t="s">
        <v>1551</v>
      </c>
      <c r="B1194">
        <v>1</v>
      </c>
      <c r="C1194">
        <v>18.989999999999998</v>
      </c>
      <c r="D1194">
        <v>18.989999999999998</v>
      </c>
      <c r="E1194" t="s">
        <v>48</v>
      </c>
      <c r="F1194" t="s">
        <v>1723</v>
      </c>
      <c r="G1194" t="s">
        <v>21</v>
      </c>
      <c r="H1194">
        <v>0</v>
      </c>
      <c r="I1194" t="s">
        <v>12</v>
      </c>
      <c r="J1194" t="s">
        <v>42</v>
      </c>
      <c r="K1194">
        <v>6</v>
      </c>
      <c r="O1194">
        <v>21.99</v>
      </c>
    </row>
    <row r="1195" spans="1:15" x14ac:dyDescent="0.35">
      <c r="A1195" t="s">
        <v>1552</v>
      </c>
      <c r="B1195">
        <v>3</v>
      </c>
      <c r="C1195">
        <v>27.99</v>
      </c>
      <c r="D1195">
        <v>67.7</v>
      </c>
      <c r="E1195" t="s">
        <v>725</v>
      </c>
      <c r="F1195" t="s">
        <v>1724</v>
      </c>
      <c r="G1195" t="s">
        <v>16</v>
      </c>
      <c r="H1195">
        <v>3</v>
      </c>
      <c r="I1195" t="s">
        <v>24</v>
      </c>
      <c r="J1195" t="s">
        <v>31</v>
      </c>
      <c r="K1195">
        <v>9</v>
      </c>
      <c r="O1195">
        <v>84.73</v>
      </c>
    </row>
    <row r="1196" spans="1:15" x14ac:dyDescent="0.35">
      <c r="A1196" t="s">
        <v>1553</v>
      </c>
      <c r="B1196">
        <v>1</v>
      </c>
      <c r="C1196">
        <v>16.989999999999998</v>
      </c>
      <c r="D1196">
        <v>16.989999999999998</v>
      </c>
      <c r="E1196" t="s">
        <v>907</v>
      </c>
      <c r="F1196" t="s">
        <v>1725</v>
      </c>
      <c r="G1196" t="s">
        <v>28</v>
      </c>
      <c r="H1196">
        <v>0</v>
      </c>
      <c r="I1196" t="s">
        <v>41</v>
      </c>
      <c r="J1196" t="s">
        <v>25</v>
      </c>
      <c r="K1196">
        <v>5</v>
      </c>
      <c r="O1196">
        <v>21.99</v>
      </c>
    </row>
    <row r="1197" spans="1:15" x14ac:dyDescent="0.35">
      <c r="A1197" t="s">
        <v>1554</v>
      </c>
      <c r="B1197">
        <v>1</v>
      </c>
      <c r="C1197">
        <v>30.99</v>
      </c>
      <c r="D1197">
        <v>30.99</v>
      </c>
      <c r="E1197" t="s">
        <v>618</v>
      </c>
      <c r="F1197" t="s">
        <v>1726</v>
      </c>
      <c r="G1197" t="s">
        <v>16</v>
      </c>
      <c r="H1197">
        <v>6</v>
      </c>
      <c r="I1197" t="s">
        <v>17</v>
      </c>
      <c r="J1197" t="s">
        <v>18</v>
      </c>
      <c r="K1197">
        <v>10.5</v>
      </c>
      <c r="O1197">
        <v>21.99</v>
      </c>
    </row>
    <row r="1198" spans="1:15" x14ac:dyDescent="0.35">
      <c r="A1198" t="s">
        <v>1555</v>
      </c>
      <c r="B1198">
        <v>1</v>
      </c>
      <c r="C1198">
        <v>27.99</v>
      </c>
      <c r="D1198">
        <v>27.99</v>
      </c>
      <c r="E1198" t="s">
        <v>808</v>
      </c>
      <c r="F1198" t="s">
        <v>1727</v>
      </c>
      <c r="G1198" t="s">
        <v>16</v>
      </c>
      <c r="H1198">
        <v>3</v>
      </c>
      <c r="I1198" t="s">
        <v>41</v>
      </c>
      <c r="J1198" t="s">
        <v>31</v>
      </c>
      <c r="K1198">
        <v>9</v>
      </c>
      <c r="O1198">
        <v>21.99</v>
      </c>
    </row>
    <row r="1199" spans="1:15" x14ac:dyDescent="0.35">
      <c r="A1199" t="s">
        <v>1556</v>
      </c>
      <c r="B1199">
        <v>3</v>
      </c>
      <c r="C1199">
        <v>21.99</v>
      </c>
      <c r="D1199">
        <v>52.66</v>
      </c>
      <c r="E1199" t="s">
        <v>919</v>
      </c>
      <c r="F1199" t="s">
        <v>1728</v>
      </c>
      <c r="G1199" t="s">
        <v>16</v>
      </c>
      <c r="H1199">
        <v>3</v>
      </c>
      <c r="I1199" t="s">
        <v>24</v>
      </c>
      <c r="J1199" t="s">
        <v>13</v>
      </c>
      <c r="K1199">
        <v>7</v>
      </c>
      <c r="O1199">
        <v>84.73</v>
      </c>
    </row>
    <row r="1200" spans="1:15" x14ac:dyDescent="0.35">
      <c r="A1200" t="s">
        <v>1557</v>
      </c>
      <c r="B1200">
        <v>1</v>
      </c>
      <c r="C1200">
        <v>21.99</v>
      </c>
      <c r="D1200">
        <v>21.99</v>
      </c>
      <c r="E1200" t="s">
        <v>1558</v>
      </c>
      <c r="F1200" t="s">
        <v>1717</v>
      </c>
      <c r="G1200" t="s">
        <v>16</v>
      </c>
      <c r="H1200">
        <v>3</v>
      </c>
      <c r="I1200" t="s">
        <v>41</v>
      </c>
      <c r="J1200" t="s">
        <v>13</v>
      </c>
      <c r="K1200">
        <v>7</v>
      </c>
      <c r="O1200">
        <v>21.99</v>
      </c>
    </row>
    <row r="1201" spans="1:15" x14ac:dyDescent="0.35">
      <c r="A1201" t="s">
        <v>1559</v>
      </c>
      <c r="B1201">
        <v>2</v>
      </c>
      <c r="C1201">
        <v>34.99</v>
      </c>
      <c r="D1201">
        <v>60.72</v>
      </c>
      <c r="E1201" t="s">
        <v>1312</v>
      </c>
      <c r="F1201" t="s">
        <v>1718</v>
      </c>
      <c r="G1201" t="s">
        <v>28</v>
      </c>
      <c r="H1201">
        <v>0</v>
      </c>
      <c r="I1201" t="s">
        <v>12</v>
      </c>
      <c r="J1201" t="s">
        <v>36</v>
      </c>
      <c r="K1201">
        <v>12.5</v>
      </c>
      <c r="O1201">
        <v>37.979999999999997</v>
      </c>
    </row>
    <row r="1202" spans="1:15" x14ac:dyDescent="0.35">
      <c r="A1202" t="s">
        <v>1560</v>
      </c>
      <c r="B1202">
        <v>3</v>
      </c>
      <c r="C1202">
        <v>27.99</v>
      </c>
      <c r="D1202">
        <v>66.040000000000006</v>
      </c>
      <c r="E1202" t="s">
        <v>1230</v>
      </c>
      <c r="F1202" t="s">
        <v>1719</v>
      </c>
      <c r="G1202" t="s">
        <v>21</v>
      </c>
      <c r="H1202">
        <v>0</v>
      </c>
      <c r="I1202" t="s">
        <v>41</v>
      </c>
      <c r="J1202" t="s">
        <v>31</v>
      </c>
      <c r="K1202">
        <v>9</v>
      </c>
      <c r="O1202">
        <v>84.73</v>
      </c>
    </row>
    <row r="1203" spans="1:15" x14ac:dyDescent="0.35">
      <c r="A1203" t="s">
        <v>1561</v>
      </c>
      <c r="B1203">
        <v>1</v>
      </c>
      <c r="C1203">
        <v>30.99</v>
      </c>
      <c r="D1203">
        <v>30.99</v>
      </c>
      <c r="E1203" t="s">
        <v>1064</v>
      </c>
      <c r="F1203" t="s">
        <v>1720</v>
      </c>
      <c r="G1203" t="s">
        <v>16</v>
      </c>
      <c r="H1203">
        <v>2</v>
      </c>
      <c r="I1203" t="s">
        <v>24</v>
      </c>
      <c r="J1203" t="s">
        <v>18</v>
      </c>
      <c r="K1203">
        <v>10.5</v>
      </c>
      <c r="O1203">
        <v>21.99</v>
      </c>
    </row>
    <row r="1204" spans="1:15" x14ac:dyDescent="0.35">
      <c r="A1204" t="s">
        <v>1562</v>
      </c>
      <c r="B1204">
        <v>1</v>
      </c>
      <c r="C1204">
        <v>30.99</v>
      </c>
      <c r="D1204">
        <v>30.99</v>
      </c>
      <c r="E1204" t="s">
        <v>1319</v>
      </c>
      <c r="F1204" t="s">
        <v>1721</v>
      </c>
      <c r="G1204" t="s">
        <v>16</v>
      </c>
      <c r="H1204">
        <v>2</v>
      </c>
      <c r="I1204" t="s">
        <v>41</v>
      </c>
      <c r="J1204" t="s">
        <v>18</v>
      </c>
      <c r="K1204">
        <v>10.5</v>
      </c>
      <c r="O1204">
        <v>21.99</v>
      </c>
    </row>
    <row r="1205" spans="1:15" x14ac:dyDescent="0.35">
      <c r="A1205" t="s">
        <v>1563</v>
      </c>
      <c r="B1205">
        <v>1</v>
      </c>
      <c r="C1205">
        <v>30.99</v>
      </c>
      <c r="D1205">
        <v>30.99</v>
      </c>
      <c r="E1205" t="s">
        <v>1014</v>
      </c>
      <c r="F1205" t="s">
        <v>1722</v>
      </c>
      <c r="G1205" t="s">
        <v>21</v>
      </c>
      <c r="H1205">
        <v>0</v>
      </c>
      <c r="I1205" t="s">
        <v>12</v>
      </c>
      <c r="J1205" t="s">
        <v>18</v>
      </c>
      <c r="K1205">
        <v>10.5</v>
      </c>
      <c r="O1205">
        <v>21.99</v>
      </c>
    </row>
    <row r="1206" spans="1:15" x14ac:dyDescent="0.35">
      <c r="A1206" t="s">
        <v>1564</v>
      </c>
      <c r="B1206">
        <v>3</v>
      </c>
      <c r="C1206">
        <v>27.99</v>
      </c>
      <c r="D1206">
        <v>68</v>
      </c>
      <c r="E1206" t="s">
        <v>1565</v>
      </c>
      <c r="F1206" t="s">
        <v>1723</v>
      </c>
      <c r="G1206" t="s">
        <v>16</v>
      </c>
      <c r="H1206">
        <v>2</v>
      </c>
      <c r="I1206" t="s">
        <v>17</v>
      </c>
      <c r="J1206" t="s">
        <v>31</v>
      </c>
      <c r="K1206">
        <v>9</v>
      </c>
      <c r="O1206">
        <v>84.73</v>
      </c>
    </row>
    <row r="1207" spans="1:15" x14ac:dyDescent="0.35">
      <c r="A1207" t="s">
        <v>1566</v>
      </c>
      <c r="B1207">
        <v>1</v>
      </c>
      <c r="C1207">
        <v>30.99</v>
      </c>
      <c r="D1207">
        <v>30.99</v>
      </c>
      <c r="E1207" t="s">
        <v>664</v>
      </c>
      <c r="F1207" t="s">
        <v>1724</v>
      </c>
      <c r="G1207" t="s">
        <v>16</v>
      </c>
      <c r="H1207">
        <v>2</v>
      </c>
      <c r="I1207" t="s">
        <v>41</v>
      </c>
      <c r="J1207" t="s">
        <v>18</v>
      </c>
      <c r="K1207">
        <v>10.5</v>
      </c>
      <c r="O1207">
        <v>21.99</v>
      </c>
    </row>
    <row r="1208" spans="1:15" x14ac:dyDescent="0.35">
      <c r="A1208" t="s">
        <v>1567</v>
      </c>
      <c r="B1208">
        <v>1</v>
      </c>
      <c r="C1208">
        <v>21.99</v>
      </c>
      <c r="D1208">
        <v>21.99</v>
      </c>
      <c r="E1208" t="s">
        <v>82</v>
      </c>
      <c r="F1208" t="s">
        <v>1725</v>
      </c>
      <c r="G1208" t="s">
        <v>11</v>
      </c>
      <c r="H1208">
        <v>2</v>
      </c>
      <c r="I1208" t="s">
        <v>17</v>
      </c>
      <c r="J1208" t="s">
        <v>13</v>
      </c>
      <c r="K1208">
        <v>7</v>
      </c>
      <c r="O1208">
        <v>21.99</v>
      </c>
    </row>
    <row r="1209" spans="1:15" x14ac:dyDescent="0.35">
      <c r="A1209" t="s">
        <v>1568</v>
      </c>
      <c r="B1209">
        <v>1</v>
      </c>
      <c r="C1209">
        <v>16.989999999999998</v>
      </c>
      <c r="D1209">
        <v>16.989999999999998</v>
      </c>
      <c r="E1209" t="s">
        <v>44</v>
      </c>
      <c r="F1209" t="s">
        <v>1726</v>
      </c>
      <c r="G1209" t="s">
        <v>16</v>
      </c>
      <c r="H1209">
        <v>17</v>
      </c>
      <c r="I1209" t="s">
        <v>24</v>
      </c>
      <c r="J1209" t="s">
        <v>25</v>
      </c>
      <c r="K1209">
        <v>5</v>
      </c>
      <c r="O1209">
        <v>21.99</v>
      </c>
    </row>
    <row r="1210" spans="1:15" x14ac:dyDescent="0.35">
      <c r="A1210" t="s">
        <v>1569</v>
      </c>
      <c r="B1210">
        <v>1</v>
      </c>
      <c r="C1210">
        <v>34.99</v>
      </c>
      <c r="D1210">
        <v>34.99</v>
      </c>
      <c r="E1210" t="s">
        <v>1570</v>
      </c>
      <c r="F1210" t="s">
        <v>1727</v>
      </c>
      <c r="G1210" t="s">
        <v>16</v>
      </c>
      <c r="H1210">
        <v>7</v>
      </c>
      <c r="I1210" t="s">
        <v>41</v>
      </c>
      <c r="J1210" t="s">
        <v>36</v>
      </c>
      <c r="K1210">
        <v>12.5</v>
      </c>
      <c r="O1210">
        <v>21.99</v>
      </c>
    </row>
    <row r="1211" spans="1:15" x14ac:dyDescent="0.35">
      <c r="A1211" t="s">
        <v>1571</v>
      </c>
      <c r="B1211">
        <v>1</v>
      </c>
      <c r="C1211">
        <v>16.989999999999998</v>
      </c>
      <c r="D1211">
        <v>16.989999999999998</v>
      </c>
      <c r="E1211" t="s">
        <v>694</v>
      </c>
      <c r="F1211" t="s">
        <v>1728</v>
      </c>
      <c r="G1211" t="s">
        <v>16</v>
      </c>
      <c r="H1211">
        <v>19</v>
      </c>
      <c r="I1211" t="s">
        <v>12</v>
      </c>
      <c r="J1211" t="s">
        <v>25</v>
      </c>
      <c r="K1211">
        <v>5</v>
      </c>
      <c r="O1211">
        <v>21.99</v>
      </c>
    </row>
    <row r="1212" spans="1:15" x14ac:dyDescent="0.35">
      <c r="A1212" t="s">
        <v>1572</v>
      </c>
      <c r="B1212">
        <v>2</v>
      </c>
      <c r="C1212">
        <v>18.989999999999998</v>
      </c>
      <c r="D1212">
        <v>32.53</v>
      </c>
      <c r="E1212" t="s">
        <v>439</v>
      </c>
      <c r="F1212" t="s">
        <v>1717</v>
      </c>
      <c r="G1212" t="s">
        <v>21</v>
      </c>
      <c r="H1212">
        <v>0</v>
      </c>
      <c r="I1212" t="s">
        <v>17</v>
      </c>
      <c r="J1212" t="s">
        <v>42</v>
      </c>
      <c r="K1212">
        <v>6</v>
      </c>
      <c r="O1212">
        <v>37.979999999999997</v>
      </c>
    </row>
    <row r="1213" spans="1:15" x14ac:dyDescent="0.35">
      <c r="A1213" t="s">
        <v>1573</v>
      </c>
      <c r="B1213">
        <v>3</v>
      </c>
      <c r="C1213">
        <v>27.99</v>
      </c>
      <c r="D1213">
        <v>65.959999999999994</v>
      </c>
      <c r="E1213" t="s">
        <v>1010</v>
      </c>
      <c r="F1213" t="s">
        <v>1718</v>
      </c>
      <c r="G1213" t="s">
        <v>16</v>
      </c>
      <c r="H1213">
        <v>7</v>
      </c>
      <c r="I1213" t="s">
        <v>12</v>
      </c>
      <c r="J1213" t="s">
        <v>31</v>
      </c>
      <c r="K1213">
        <v>9</v>
      </c>
      <c r="O1213">
        <v>84.73</v>
      </c>
    </row>
    <row r="1214" spans="1:15" x14ac:dyDescent="0.35">
      <c r="A1214" t="s">
        <v>1574</v>
      </c>
      <c r="B1214">
        <v>1</v>
      </c>
      <c r="C1214">
        <v>16.989999999999998</v>
      </c>
      <c r="D1214">
        <v>16.989999999999998</v>
      </c>
      <c r="E1214" t="s">
        <v>1575</v>
      </c>
      <c r="F1214" t="s">
        <v>1719</v>
      </c>
      <c r="G1214" t="s">
        <v>16</v>
      </c>
      <c r="H1214">
        <v>16</v>
      </c>
      <c r="I1214" t="s">
        <v>12</v>
      </c>
      <c r="J1214" t="s">
        <v>25</v>
      </c>
      <c r="K1214">
        <v>5</v>
      </c>
      <c r="O1214">
        <v>21.99</v>
      </c>
    </row>
    <row r="1215" spans="1:15" x14ac:dyDescent="0.35">
      <c r="A1215" t="s">
        <v>1576</v>
      </c>
      <c r="B1215">
        <v>1</v>
      </c>
      <c r="C1215">
        <v>18.989999999999998</v>
      </c>
      <c r="D1215">
        <v>18.989999999999998</v>
      </c>
      <c r="E1215" t="s">
        <v>660</v>
      </c>
      <c r="F1215" t="s">
        <v>1720</v>
      </c>
      <c r="G1215" t="s">
        <v>16</v>
      </c>
      <c r="H1215">
        <v>18</v>
      </c>
      <c r="I1215" t="s">
        <v>12</v>
      </c>
      <c r="J1215" t="s">
        <v>42</v>
      </c>
      <c r="K1215">
        <v>6</v>
      </c>
      <c r="O1215">
        <v>21.99</v>
      </c>
    </row>
    <row r="1216" spans="1:15" x14ac:dyDescent="0.35">
      <c r="A1216" t="s">
        <v>1577</v>
      </c>
      <c r="B1216">
        <v>1</v>
      </c>
      <c r="C1216">
        <v>21.99</v>
      </c>
      <c r="D1216">
        <v>21.99</v>
      </c>
      <c r="E1216" t="s">
        <v>1578</v>
      </c>
      <c r="F1216" t="s">
        <v>1721</v>
      </c>
      <c r="G1216" t="s">
        <v>16</v>
      </c>
      <c r="H1216">
        <v>2</v>
      </c>
      <c r="I1216" t="s">
        <v>41</v>
      </c>
      <c r="J1216" t="s">
        <v>13</v>
      </c>
      <c r="K1216">
        <v>7</v>
      </c>
      <c r="O1216">
        <v>21.99</v>
      </c>
    </row>
    <row r="1217" spans="1:15" x14ac:dyDescent="0.35">
      <c r="A1217" t="s">
        <v>1579</v>
      </c>
      <c r="B1217">
        <v>3</v>
      </c>
      <c r="C1217">
        <v>30.99</v>
      </c>
      <c r="D1217">
        <v>74.930000000000007</v>
      </c>
      <c r="E1217" t="s">
        <v>1580</v>
      </c>
      <c r="F1217" t="s">
        <v>1722</v>
      </c>
      <c r="G1217" t="s">
        <v>21</v>
      </c>
      <c r="H1217">
        <v>0</v>
      </c>
      <c r="I1217" t="s">
        <v>24</v>
      </c>
      <c r="J1217" t="s">
        <v>18</v>
      </c>
      <c r="K1217">
        <v>10.5</v>
      </c>
      <c r="O1217">
        <v>84.73</v>
      </c>
    </row>
    <row r="1218" spans="1:15" x14ac:dyDescent="0.35">
      <c r="A1218" t="s">
        <v>1581</v>
      </c>
      <c r="B1218">
        <v>1</v>
      </c>
      <c r="C1218">
        <v>21.99</v>
      </c>
      <c r="D1218">
        <v>21.99</v>
      </c>
      <c r="E1218" t="s">
        <v>118</v>
      </c>
      <c r="F1218" t="s">
        <v>1723</v>
      </c>
      <c r="G1218" t="s">
        <v>21</v>
      </c>
      <c r="H1218">
        <v>0</v>
      </c>
      <c r="I1218" t="s">
        <v>17</v>
      </c>
      <c r="J1218" t="s">
        <v>13</v>
      </c>
      <c r="K1218">
        <v>7</v>
      </c>
      <c r="O1218">
        <v>21.99</v>
      </c>
    </row>
    <row r="1219" spans="1:15" x14ac:dyDescent="0.35">
      <c r="A1219" t="s">
        <v>1582</v>
      </c>
      <c r="B1219">
        <v>2</v>
      </c>
      <c r="C1219">
        <v>16.989999999999998</v>
      </c>
      <c r="D1219">
        <v>29.44</v>
      </c>
      <c r="E1219" t="s">
        <v>639</v>
      </c>
      <c r="F1219" t="s">
        <v>1724</v>
      </c>
      <c r="G1219" t="s">
        <v>87</v>
      </c>
      <c r="H1219">
        <v>0</v>
      </c>
      <c r="I1219" t="s">
        <v>17</v>
      </c>
      <c r="J1219" t="s">
        <v>25</v>
      </c>
      <c r="K1219">
        <v>5</v>
      </c>
      <c r="O1219">
        <v>37.979999999999997</v>
      </c>
    </row>
    <row r="1220" spans="1:15" x14ac:dyDescent="0.35">
      <c r="A1220" t="s">
        <v>1583</v>
      </c>
      <c r="B1220">
        <v>1</v>
      </c>
      <c r="C1220">
        <v>18.989999999999998</v>
      </c>
      <c r="D1220">
        <v>18.989999999999998</v>
      </c>
      <c r="E1220" t="s">
        <v>461</v>
      </c>
      <c r="F1220" t="s">
        <v>1725</v>
      </c>
      <c r="G1220" t="s">
        <v>16</v>
      </c>
      <c r="H1220">
        <v>10</v>
      </c>
      <c r="I1220" t="s">
        <v>12</v>
      </c>
      <c r="J1220" t="s">
        <v>42</v>
      </c>
      <c r="K1220">
        <v>6</v>
      </c>
      <c r="O1220">
        <v>21.99</v>
      </c>
    </row>
    <row r="1221" spans="1:15" x14ac:dyDescent="0.35">
      <c r="A1221" t="s">
        <v>1584</v>
      </c>
      <c r="B1221">
        <v>1</v>
      </c>
      <c r="C1221">
        <v>27.99</v>
      </c>
      <c r="D1221">
        <v>27.99</v>
      </c>
      <c r="E1221" s="6">
        <v>46191</v>
      </c>
      <c r="F1221" t="s">
        <v>1726</v>
      </c>
      <c r="G1221" t="s">
        <v>16</v>
      </c>
      <c r="H1221">
        <v>3</v>
      </c>
      <c r="I1221" t="s">
        <v>12</v>
      </c>
      <c r="J1221" t="s">
        <v>31</v>
      </c>
      <c r="K1221">
        <v>9</v>
      </c>
      <c r="O1221">
        <v>21.99</v>
      </c>
    </row>
    <row r="1222" spans="1:15" x14ac:dyDescent="0.35">
      <c r="A1222" t="s">
        <v>1585</v>
      </c>
      <c r="B1222">
        <v>2</v>
      </c>
      <c r="C1222">
        <v>21.99</v>
      </c>
      <c r="D1222">
        <v>38.26</v>
      </c>
      <c r="E1222" t="s">
        <v>600</v>
      </c>
      <c r="F1222" t="s">
        <v>1727</v>
      </c>
      <c r="G1222" t="s">
        <v>16</v>
      </c>
      <c r="H1222">
        <v>2</v>
      </c>
      <c r="I1222" t="s">
        <v>17</v>
      </c>
      <c r="J1222" t="s">
        <v>13</v>
      </c>
      <c r="K1222">
        <v>7</v>
      </c>
      <c r="O1222">
        <v>37.979999999999997</v>
      </c>
    </row>
    <row r="1223" spans="1:15" x14ac:dyDescent="0.35">
      <c r="A1223" t="s">
        <v>1586</v>
      </c>
      <c r="B1223">
        <v>3</v>
      </c>
      <c r="C1223">
        <v>18.989999999999998</v>
      </c>
      <c r="D1223">
        <v>45.03</v>
      </c>
      <c r="E1223" t="s">
        <v>644</v>
      </c>
      <c r="F1223" t="s">
        <v>1728</v>
      </c>
      <c r="G1223" t="s">
        <v>16</v>
      </c>
      <c r="H1223">
        <v>10</v>
      </c>
      <c r="I1223" t="s">
        <v>12</v>
      </c>
      <c r="J1223" t="s">
        <v>42</v>
      </c>
      <c r="K1223">
        <v>6</v>
      </c>
      <c r="O1223">
        <v>84.73</v>
      </c>
    </row>
    <row r="1224" spans="1:15" x14ac:dyDescent="0.35">
      <c r="A1224" t="s">
        <v>1587</v>
      </c>
      <c r="B1224">
        <v>1</v>
      </c>
      <c r="C1224">
        <v>18.989999999999998</v>
      </c>
      <c r="D1224">
        <v>18.989999999999998</v>
      </c>
      <c r="E1224" t="s">
        <v>79</v>
      </c>
      <c r="F1224" t="s">
        <v>1717</v>
      </c>
      <c r="G1224" t="s">
        <v>16</v>
      </c>
      <c r="H1224">
        <v>10</v>
      </c>
      <c r="I1224" t="s">
        <v>24</v>
      </c>
      <c r="J1224" t="s">
        <v>42</v>
      </c>
      <c r="K1224">
        <v>6</v>
      </c>
      <c r="O1224">
        <v>21.99</v>
      </c>
    </row>
    <row r="1225" spans="1:15" x14ac:dyDescent="0.35">
      <c r="A1225" t="s">
        <v>1588</v>
      </c>
      <c r="B1225">
        <v>1</v>
      </c>
      <c r="C1225">
        <v>30.99</v>
      </c>
      <c r="D1225">
        <v>30.99</v>
      </c>
      <c r="E1225" t="s">
        <v>639</v>
      </c>
      <c r="F1225" t="s">
        <v>1718</v>
      </c>
      <c r="G1225" t="s">
        <v>16</v>
      </c>
      <c r="H1225">
        <v>2</v>
      </c>
      <c r="I1225" t="s">
        <v>12</v>
      </c>
      <c r="J1225" t="s">
        <v>18</v>
      </c>
      <c r="K1225">
        <v>10.5</v>
      </c>
      <c r="O1225">
        <v>21.99</v>
      </c>
    </row>
    <row r="1226" spans="1:15" x14ac:dyDescent="0.35">
      <c r="A1226" t="s">
        <v>1589</v>
      </c>
      <c r="B1226">
        <v>1</v>
      </c>
      <c r="C1226">
        <v>18.989999999999998</v>
      </c>
      <c r="D1226">
        <v>18.989999999999998</v>
      </c>
      <c r="E1226" t="s">
        <v>1590</v>
      </c>
      <c r="F1226" t="s">
        <v>1719</v>
      </c>
      <c r="G1226" t="s">
        <v>16</v>
      </c>
      <c r="H1226">
        <v>16</v>
      </c>
      <c r="I1226" t="s">
        <v>24</v>
      </c>
      <c r="J1226" t="s">
        <v>42</v>
      </c>
      <c r="K1226">
        <v>6</v>
      </c>
      <c r="O1226">
        <v>21.99</v>
      </c>
    </row>
    <row r="1227" spans="1:15" x14ac:dyDescent="0.35">
      <c r="A1227" t="s">
        <v>1591</v>
      </c>
      <c r="B1227">
        <v>1</v>
      </c>
      <c r="C1227">
        <v>30.99</v>
      </c>
      <c r="D1227">
        <v>30.99</v>
      </c>
      <c r="E1227" t="s">
        <v>1007</v>
      </c>
      <c r="F1227" t="s">
        <v>1720</v>
      </c>
      <c r="G1227" t="s">
        <v>16</v>
      </c>
      <c r="H1227">
        <v>3</v>
      </c>
      <c r="I1227" t="s">
        <v>41</v>
      </c>
      <c r="J1227" t="s">
        <v>18</v>
      </c>
      <c r="K1227">
        <v>10.5</v>
      </c>
      <c r="O1227">
        <v>21.99</v>
      </c>
    </row>
    <row r="1228" spans="1:15" x14ac:dyDescent="0.35">
      <c r="A1228" t="s">
        <v>1592</v>
      </c>
      <c r="B1228">
        <v>3</v>
      </c>
      <c r="C1228">
        <v>18.989999999999998</v>
      </c>
      <c r="D1228">
        <v>45.15</v>
      </c>
      <c r="E1228" t="s">
        <v>50</v>
      </c>
      <c r="F1228" t="s">
        <v>1721</v>
      </c>
      <c r="G1228" t="s">
        <v>21</v>
      </c>
      <c r="H1228">
        <v>0</v>
      </c>
      <c r="I1228" t="s">
        <v>41</v>
      </c>
      <c r="J1228" t="s">
        <v>42</v>
      </c>
      <c r="K1228">
        <v>6</v>
      </c>
      <c r="O1228">
        <v>84.73</v>
      </c>
    </row>
    <row r="1229" spans="1:15" x14ac:dyDescent="0.35">
      <c r="A1229" t="s">
        <v>1593</v>
      </c>
      <c r="B1229">
        <v>1</v>
      </c>
      <c r="C1229">
        <v>18.989999999999998</v>
      </c>
      <c r="D1229">
        <v>18.989999999999998</v>
      </c>
      <c r="E1229" t="s">
        <v>522</v>
      </c>
      <c r="F1229" t="s">
        <v>1722</v>
      </c>
      <c r="G1229" t="s">
        <v>21</v>
      </c>
      <c r="H1229">
        <v>0</v>
      </c>
      <c r="I1229" t="s">
        <v>41</v>
      </c>
      <c r="J1229" t="s">
        <v>42</v>
      </c>
      <c r="K1229">
        <v>6</v>
      </c>
      <c r="O1229">
        <v>21.99</v>
      </c>
    </row>
    <row r="1230" spans="1:15" x14ac:dyDescent="0.35">
      <c r="A1230" t="s">
        <v>1594</v>
      </c>
      <c r="B1230">
        <v>1</v>
      </c>
      <c r="C1230">
        <v>16.989999999999998</v>
      </c>
      <c r="D1230">
        <v>16.989999999999998</v>
      </c>
      <c r="E1230" t="s">
        <v>1314</v>
      </c>
      <c r="F1230" t="s">
        <v>1723</v>
      </c>
      <c r="G1230" t="s">
        <v>16</v>
      </c>
      <c r="H1230">
        <v>16</v>
      </c>
      <c r="I1230" t="s">
        <v>41</v>
      </c>
      <c r="J1230" t="s">
        <v>25</v>
      </c>
      <c r="K1230">
        <v>5</v>
      </c>
      <c r="O1230">
        <v>21.99</v>
      </c>
    </row>
    <row r="1231" spans="1:15" x14ac:dyDescent="0.35">
      <c r="A1231" t="s">
        <v>1595</v>
      </c>
      <c r="B1231">
        <v>1</v>
      </c>
      <c r="C1231">
        <v>27.99</v>
      </c>
      <c r="D1231">
        <v>27.99</v>
      </c>
      <c r="E1231" t="s">
        <v>573</v>
      </c>
      <c r="F1231" t="s">
        <v>1724</v>
      </c>
      <c r="G1231" t="s">
        <v>16</v>
      </c>
      <c r="H1231">
        <v>2</v>
      </c>
      <c r="I1231" t="s">
        <v>12</v>
      </c>
      <c r="J1231" t="s">
        <v>31</v>
      </c>
      <c r="K1231">
        <v>9</v>
      </c>
      <c r="O1231">
        <v>21.99</v>
      </c>
    </row>
    <row r="1232" spans="1:15" x14ac:dyDescent="0.35">
      <c r="A1232" t="s">
        <v>1596</v>
      </c>
      <c r="B1232">
        <v>3</v>
      </c>
      <c r="C1232">
        <v>34.99</v>
      </c>
      <c r="D1232">
        <v>83.23</v>
      </c>
      <c r="E1232" t="s">
        <v>1523</v>
      </c>
      <c r="F1232" t="s">
        <v>1725</v>
      </c>
      <c r="G1232" t="s">
        <v>16</v>
      </c>
      <c r="H1232">
        <v>6</v>
      </c>
      <c r="I1232" t="s">
        <v>41</v>
      </c>
      <c r="J1232" t="s">
        <v>36</v>
      </c>
      <c r="K1232">
        <v>12.5</v>
      </c>
      <c r="O1232">
        <v>84.73</v>
      </c>
    </row>
    <row r="1233" spans="1:15" x14ac:dyDescent="0.35">
      <c r="A1233" t="s">
        <v>1597</v>
      </c>
      <c r="B1233">
        <v>1</v>
      </c>
      <c r="C1233">
        <v>16.989999999999998</v>
      </c>
      <c r="D1233">
        <v>16.989999999999998</v>
      </c>
      <c r="E1233" t="s">
        <v>443</v>
      </c>
      <c r="F1233" t="s">
        <v>1726</v>
      </c>
      <c r="G1233" t="s">
        <v>28</v>
      </c>
      <c r="H1233">
        <v>0</v>
      </c>
      <c r="I1233" t="s">
        <v>17</v>
      </c>
      <c r="J1233" t="s">
        <v>25</v>
      </c>
      <c r="K1233">
        <v>5</v>
      </c>
      <c r="O1233">
        <v>21.99</v>
      </c>
    </row>
    <row r="1234" spans="1:15" x14ac:dyDescent="0.35">
      <c r="A1234" t="s">
        <v>1598</v>
      </c>
      <c r="B1234">
        <v>2</v>
      </c>
      <c r="C1234">
        <v>34.99</v>
      </c>
      <c r="D1234">
        <v>60.65</v>
      </c>
      <c r="E1234" t="s">
        <v>106</v>
      </c>
      <c r="F1234" t="s">
        <v>1727</v>
      </c>
      <c r="G1234" t="s">
        <v>28</v>
      </c>
      <c r="H1234">
        <v>0</v>
      </c>
      <c r="I1234" t="s">
        <v>12</v>
      </c>
      <c r="J1234" t="s">
        <v>36</v>
      </c>
      <c r="K1234">
        <v>12.5</v>
      </c>
      <c r="O1234">
        <v>37.979999999999997</v>
      </c>
    </row>
    <row r="1235" spans="1:15" x14ac:dyDescent="0.35">
      <c r="A1235" t="s">
        <v>1599</v>
      </c>
      <c r="B1235">
        <v>1</v>
      </c>
      <c r="C1235">
        <v>16.989999999999998</v>
      </c>
      <c r="D1235">
        <v>16.989999999999998</v>
      </c>
      <c r="E1235" t="s">
        <v>54</v>
      </c>
      <c r="F1235" t="s">
        <v>1728</v>
      </c>
      <c r="G1235" t="s">
        <v>16</v>
      </c>
      <c r="H1235">
        <v>17</v>
      </c>
      <c r="I1235" t="s">
        <v>41</v>
      </c>
      <c r="J1235" t="s">
        <v>25</v>
      </c>
      <c r="K1235">
        <v>5</v>
      </c>
      <c r="O1235">
        <v>21.99</v>
      </c>
    </row>
    <row r="1236" spans="1:15" x14ac:dyDescent="0.35">
      <c r="A1236" t="s">
        <v>1600</v>
      </c>
      <c r="B1236">
        <v>2</v>
      </c>
      <c r="C1236">
        <v>21.99</v>
      </c>
      <c r="D1236">
        <v>38.340000000000003</v>
      </c>
      <c r="E1236" t="s">
        <v>23</v>
      </c>
      <c r="F1236" t="s">
        <v>1717</v>
      </c>
      <c r="G1236" t="s">
        <v>28</v>
      </c>
      <c r="H1236">
        <v>0</v>
      </c>
      <c r="I1236" t="s">
        <v>24</v>
      </c>
      <c r="J1236" t="s">
        <v>13</v>
      </c>
      <c r="K1236">
        <v>7</v>
      </c>
      <c r="O1236">
        <v>37.979999999999997</v>
      </c>
    </row>
    <row r="1237" spans="1:15" x14ac:dyDescent="0.35">
      <c r="A1237" t="s">
        <v>1601</v>
      </c>
      <c r="B1237">
        <v>3</v>
      </c>
      <c r="C1237">
        <v>34.99</v>
      </c>
      <c r="D1237">
        <v>82.94</v>
      </c>
      <c r="E1237" t="s">
        <v>1602</v>
      </c>
      <c r="F1237" t="s">
        <v>1718</v>
      </c>
      <c r="G1237" t="s">
        <v>16</v>
      </c>
      <c r="H1237">
        <v>5</v>
      </c>
      <c r="I1237" t="s">
        <v>12</v>
      </c>
      <c r="J1237" t="s">
        <v>36</v>
      </c>
      <c r="K1237">
        <v>12.5</v>
      </c>
      <c r="O1237">
        <v>84.73</v>
      </c>
    </row>
    <row r="1238" spans="1:15" x14ac:dyDescent="0.35">
      <c r="A1238" t="s">
        <v>1603</v>
      </c>
      <c r="B1238">
        <v>2</v>
      </c>
      <c r="C1238">
        <v>21.99</v>
      </c>
      <c r="D1238">
        <v>37.619999999999997</v>
      </c>
      <c r="E1238" t="s">
        <v>522</v>
      </c>
      <c r="F1238" t="s">
        <v>1719</v>
      </c>
      <c r="G1238" t="s">
        <v>16</v>
      </c>
      <c r="H1238">
        <v>2</v>
      </c>
      <c r="I1238" t="s">
        <v>24</v>
      </c>
      <c r="J1238" t="s">
        <v>13</v>
      </c>
      <c r="K1238">
        <v>7</v>
      </c>
      <c r="O1238">
        <v>37.979999999999997</v>
      </c>
    </row>
    <row r="1239" spans="1:15" x14ac:dyDescent="0.35">
      <c r="A1239" t="s">
        <v>1604</v>
      </c>
      <c r="B1239">
        <v>1</v>
      </c>
      <c r="C1239">
        <v>18.989999999999998</v>
      </c>
      <c r="D1239">
        <v>18.989999999999998</v>
      </c>
      <c r="E1239" t="s">
        <v>947</v>
      </c>
      <c r="F1239" t="s">
        <v>1720</v>
      </c>
      <c r="G1239" t="s">
        <v>28</v>
      </c>
      <c r="H1239">
        <v>0</v>
      </c>
      <c r="I1239" t="s">
        <v>24</v>
      </c>
      <c r="J1239" t="s">
        <v>42</v>
      </c>
      <c r="K1239">
        <v>6</v>
      </c>
      <c r="O1239">
        <v>21.99</v>
      </c>
    </row>
    <row r="1240" spans="1:15" x14ac:dyDescent="0.35">
      <c r="A1240" t="s">
        <v>1605</v>
      </c>
      <c r="B1240">
        <v>1</v>
      </c>
      <c r="C1240">
        <v>21.99</v>
      </c>
      <c r="D1240">
        <v>21.99</v>
      </c>
      <c r="E1240" t="s">
        <v>1185</v>
      </c>
      <c r="F1240" t="s">
        <v>1721</v>
      </c>
      <c r="G1240" t="s">
        <v>21</v>
      </c>
      <c r="H1240">
        <v>0</v>
      </c>
      <c r="I1240" t="s">
        <v>12</v>
      </c>
      <c r="J1240" t="s">
        <v>13</v>
      </c>
      <c r="K1240">
        <v>7</v>
      </c>
      <c r="O1240">
        <v>21.99</v>
      </c>
    </row>
    <row r="1241" spans="1:15" x14ac:dyDescent="0.35">
      <c r="A1241" t="s">
        <v>1606</v>
      </c>
      <c r="B1241">
        <v>1</v>
      </c>
      <c r="C1241">
        <v>18.989999999999998</v>
      </c>
      <c r="D1241">
        <v>18.989999999999998</v>
      </c>
      <c r="E1241" s="6">
        <v>46286</v>
      </c>
      <c r="F1241" t="s">
        <v>1722</v>
      </c>
      <c r="G1241" t="s">
        <v>87</v>
      </c>
      <c r="H1241">
        <v>0</v>
      </c>
      <c r="I1241" t="s">
        <v>12</v>
      </c>
      <c r="J1241" t="s">
        <v>42</v>
      </c>
      <c r="K1241">
        <v>6</v>
      </c>
      <c r="O1241">
        <v>21.99</v>
      </c>
    </row>
    <row r="1242" spans="1:15" x14ac:dyDescent="0.35">
      <c r="A1242" t="s">
        <v>1607</v>
      </c>
      <c r="B1242">
        <v>1</v>
      </c>
      <c r="C1242">
        <v>18.989999999999998</v>
      </c>
      <c r="D1242">
        <v>18.989999999999998</v>
      </c>
      <c r="E1242" t="s">
        <v>531</v>
      </c>
      <c r="F1242" t="s">
        <v>1723</v>
      </c>
      <c r="G1242" t="s">
        <v>21</v>
      </c>
      <c r="H1242">
        <v>0</v>
      </c>
      <c r="I1242" t="s">
        <v>17</v>
      </c>
      <c r="J1242" t="s">
        <v>42</v>
      </c>
      <c r="K1242">
        <v>6</v>
      </c>
      <c r="O1242">
        <v>21.99</v>
      </c>
    </row>
    <row r="1243" spans="1:15" x14ac:dyDescent="0.35">
      <c r="A1243" t="s">
        <v>1608</v>
      </c>
      <c r="B1243">
        <v>3</v>
      </c>
      <c r="C1243">
        <v>30.99</v>
      </c>
      <c r="D1243">
        <v>74.59</v>
      </c>
      <c r="E1243" t="s">
        <v>1609</v>
      </c>
      <c r="F1243" t="s">
        <v>1724</v>
      </c>
      <c r="G1243" t="s">
        <v>16</v>
      </c>
      <c r="H1243">
        <v>2</v>
      </c>
      <c r="I1243" t="s">
        <v>12</v>
      </c>
      <c r="J1243" t="s">
        <v>18</v>
      </c>
      <c r="K1243">
        <v>10.5</v>
      </c>
      <c r="O1243">
        <v>84.73</v>
      </c>
    </row>
    <row r="1244" spans="1:15" x14ac:dyDescent="0.35">
      <c r="A1244" t="s">
        <v>1610</v>
      </c>
      <c r="B1244">
        <v>1</v>
      </c>
      <c r="C1244">
        <v>18.989999999999998</v>
      </c>
      <c r="D1244">
        <v>18.989999999999998</v>
      </c>
      <c r="E1244" s="6">
        <v>46325</v>
      </c>
      <c r="F1244" t="s">
        <v>1725</v>
      </c>
      <c r="G1244" t="s">
        <v>21</v>
      </c>
      <c r="H1244">
        <v>0</v>
      </c>
      <c r="I1244" t="s">
        <v>24</v>
      </c>
      <c r="J1244" t="s">
        <v>42</v>
      </c>
      <c r="K1244">
        <v>6</v>
      </c>
      <c r="O1244">
        <v>21.99</v>
      </c>
    </row>
    <row r="1245" spans="1:15" x14ac:dyDescent="0.35">
      <c r="A1245" t="s">
        <v>1611</v>
      </c>
      <c r="B1245">
        <v>2</v>
      </c>
      <c r="C1245">
        <v>18.989999999999998</v>
      </c>
      <c r="D1245">
        <v>32.950000000000003</v>
      </c>
      <c r="E1245" t="s">
        <v>773</v>
      </c>
      <c r="F1245" t="s">
        <v>1726</v>
      </c>
      <c r="G1245" t="s">
        <v>28</v>
      </c>
      <c r="H1245">
        <v>0</v>
      </c>
      <c r="I1245" t="s">
        <v>24</v>
      </c>
      <c r="J1245" t="s">
        <v>42</v>
      </c>
      <c r="K1245">
        <v>6</v>
      </c>
      <c r="O1245">
        <v>37.979999999999997</v>
      </c>
    </row>
    <row r="1246" spans="1:15" x14ac:dyDescent="0.35">
      <c r="A1246" t="s">
        <v>1612</v>
      </c>
      <c r="B1246">
        <v>1</v>
      </c>
      <c r="C1246">
        <v>21.99</v>
      </c>
      <c r="D1246">
        <v>21.99</v>
      </c>
      <c r="E1246" t="s">
        <v>958</v>
      </c>
      <c r="F1246" t="s">
        <v>1727</v>
      </c>
      <c r="G1246" t="s">
        <v>16</v>
      </c>
      <c r="H1246">
        <v>2</v>
      </c>
      <c r="I1246" t="s">
        <v>24</v>
      </c>
      <c r="J1246" t="s">
        <v>13</v>
      </c>
      <c r="K1246">
        <v>7</v>
      </c>
      <c r="O1246">
        <v>21.99</v>
      </c>
    </row>
    <row r="1247" spans="1:15" x14ac:dyDescent="0.35">
      <c r="A1247" t="s">
        <v>1613</v>
      </c>
      <c r="B1247">
        <v>1</v>
      </c>
      <c r="C1247">
        <v>34.99</v>
      </c>
      <c r="D1247">
        <v>34.99</v>
      </c>
      <c r="E1247" t="s">
        <v>1017</v>
      </c>
      <c r="F1247" t="s">
        <v>1728</v>
      </c>
      <c r="G1247" t="s">
        <v>11</v>
      </c>
      <c r="H1247">
        <v>8</v>
      </c>
      <c r="I1247" t="s">
        <v>24</v>
      </c>
      <c r="J1247" t="s">
        <v>36</v>
      </c>
      <c r="K1247">
        <v>12.5</v>
      </c>
      <c r="O1247">
        <v>21.99</v>
      </c>
    </row>
    <row r="1248" spans="1:15" x14ac:dyDescent="0.35">
      <c r="A1248" t="s">
        <v>1614</v>
      </c>
      <c r="B1248">
        <v>2</v>
      </c>
      <c r="C1248">
        <v>34.99</v>
      </c>
      <c r="D1248">
        <v>60.24</v>
      </c>
      <c r="E1248" t="s">
        <v>657</v>
      </c>
      <c r="F1248" t="s">
        <v>1717</v>
      </c>
      <c r="G1248" t="s">
        <v>16</v>
      </c>
      <c r="H1248">
        <v>10</v>
      </c>
      <c r="I1248" t="s">
        <v>24</v>
      </c>
      <c r="J1248" t="s">
        <v>36</v>
      </c>
      <c r="K1248">
        <v>12.5</v>
      </c>
      <c r="O1248">
        <v>37.979999999999997</v>
      </c>
    </row>
    <row r="1249" spans="1:15" x14ac:dyDescent="0.35">
      <c r="A1249" t="s">
        <v>1615</v>
      </c>
      <c r="B1249">
        <v>1</v>
      </c>
      <c r="C1249">
        <v>21.99</v>
      </c>
      <c r="D1249">
        <v>21.99</v>
      </c>
      <c r="E1249" t="s">
        <v>1345</v>
      </c>
      <c r="F1249" t="s">
        <v>1718</v>
      </c>
      <c r="G1249" t="s">
        <v>11</v>
      </c>
      <c r="H1249">
        <v>2</v>
      </c>
      <c r="I1249" t="s">
        <v>24</v>
      </c>
      <c r="J1249" t="s">
        <v>13</v>
      </c>
      <c r="K1249">
        <v>7</v>
      </c>
      <c r="O1249">
        <v>21.99</v>
      </c>
    </row>
    <row r="1250" spans="1:15" x14ac:dyDescent="0.35">
      <c r="A1250" t="s">
        <v>1616</v>
      </c>
      <c r="B1250">
        <v>2</v>
      </c>
      <c r="C1250">
        <v>34.99</v>
      </c>
      <c r="D1250">
        <v>60.49</v>
      </c>
      <c r="E1250" t="s">
        <v>86</v>
      </c>
      <c r="F1250" t="s">
        <v>1719</v>
      </c>
      <c r="G1250" t="s">
        <v>87</v>
      </c>
      <c r="H1250">
        <v>0</v>
      </c>
      <c r="I1250" t="s">
        <v>12</v>
      </c>
      <c r="J1250" t="s">
        <v>36</v>
      </c>
      <c r="K1250">
        <v>12.5</v>
      </c>
      <c r="O1250">
        <v>37.979999999999997</v>
      </c>
    </row>
    <row r="1251" spans="1:15" x14ac:dyDescent="0.35">
      <c r="A1251" t="s">
        <v>1617</v>
      </c>
      <c r="B1251">
        <v>3</v>
      </c>
      <c r="C1251">
        <v>18.989999999999998</v>
      </c>
      <c r="D1251">
        <v>45.04</v>
      </c>
      <c r="E1251" s="6">
        <v>46049</v>
      </c>
      <c r="F1251" t="s">
        <v>1720</v>
      </c>
      <c r="G1251" t="s">
        <v>87</v>
      </c>
      <c r="H1251">
        <v>0</v>
      </c>
      <c r="I1251" t="s">
        <v>12</v>
      </c>
      <c r="J1251" t="s">
        <v>42</v>
      </c>
      <c r="K1251">
        <v>6</v>
      </c>
      <c r="O1251">
        <v>84.73</v>
      </c>
    </row>
    <row r="1252" spans="1:15" x14ac:dyDescent="0.35">
      <c r="A1252" t="s">
        <v>1618</v>
      </c>
      <c r="B1252">
        <v>1</v>
      </c>
      <c r="C1252">
        <v>30.99</v>
      </c>
      <c r="D1252">
        <v>30.99</v>
      </c>
      <c r="E1252" t="s">
        <v>116</v>
      </c>
      <c r="F1252" t="s">
        <v>1721</v>
      </c>
      <c r="G1252" t="s">
        <v>11</v>
      </c>
      <c r="H1252">
        <v>2</v>
      </c>
      <c r="I1252" t="s">
        <v>24</v>
      </c>
      <c r="J1252" t="s">
        <v>18</v>
      </c>
      <c r="K1252">
        <v>10.5</v>
      </c>
      <c r="O1252">
        <v>21.99</v>
      </c>
    </row>
    <row r="1253" spans="1:15" x14ac:dyDescent="0.35">
      <c r="A1253" t="s">
        <v>1619</v>
      </c>
      <c r="B1253">
        <v>1</v>
      </c>
      <c r="C1253">
        <v>16.989999999999998</v>
      </c>
      <c r="D1253">
        <v>16.989999999999998</v>
      </c>
      <c r="E1253" t="s">
        <v>195</v>
      </c>
      <c r="F1253" t="s">
        <v>1722</v>
      </c>
      <c r="G1253" t="s">
        <v>16</v>
      </c>
      <c r="H1253">
        <v>17</v>
      </c>
      <c r="I1253" t="s">
        <v>41</v>
      </c>
      <c r="J1253" t="s">
        <v>25</v>
      </c>
      <c r="K1253">
        <v>5</v>
      </c>
      <c r="O1253">
        <v>21.99</v>
      </c>
    </row>
    <row r="1254" spans="1:15" x14ac:dyDescent="0.35">
      <c r="A1254" t="s">
        <v>1620</v>
      </c>
      <c r="B1254">
        <v>1</v>
      </c>
      <c r="C1254">
        <v>34.99</v>
      </c>
      <c r="D1254">
        <v>34.99</v>
      </c>
      <c r="E1254" t="s">
        <v>50</v>
      </c>
      <c r="F1254" t="s">
        <v>1723</v>
      </c>
      <c r="G1254" t="s">
        <v>16</v>
      </c>
      <c r="H1254">
        <v>5</v>
      </c>
      <c r="I1254" t="s">
        <v>17</v>
      </c>
      <c r="J1254" t="s">
        <v>36</v>
      </c>
      <c r="K1254">
        <v>12.5</v>
      </c>
      <c r="O1254">
        <v>21.99</v>
      </c>
    </row>
    <row r="1255" spans="1:15" x14ac:dyDescent="0.35">
      <c r="A1255" t="s">
        <v>1621</v>
      </c>
      <c r="B1255">
        <v>1</v>
      </c>
      <c r="C1255">
        <v>16.989999999999998</v>
      </c>
      <c r="D1255">
        <v>16.989999999999998</v>
      </c>
      <c r="E1255" t="s">
        <v>903</v>
      </c>
      <c r="F1255" t="s">
        <v>1724</v>
      </c>
      <c r="G1255" t="s">
        <v>16</v>
      </c>
      <c r="H1255">
        <v>17</v>
      </c>
      <c r="I1255" t="s">
        <v>41</v>
      </c>
      <c r="J1255" t="s">
        <v>25</v>
      </c>
      <c r="K1255">
        <v>5</v>
      </c>
      <c r="O1255">
        <v>21.99</v>
      </c>
    </row>
    <row r="1256" spans="1:15" x14ac:dyDescent="0.35">
      <c r="A1256" t="s">
        <v>1622</v>
      </c>
      <c r="B1256">
        <v>1</v>
      </c>
      <c r="C1256">
        <v>27.99</v>
      </c>
      <c r="D1256">
        <v>27.99</v>
      </c>
      <c r="E1256" t="s">
        <v>703</v>
      </c>
      <c r="F1256" t="s">
        <v>1725</v>
      </c>
      <c r="G1256" t="s">
        <v>21</v>
      </c>
      <c r="H1256">
        <v>0</v>
      </c>
      <c r="I1256" t="s">
        <v>12</v>
      </c>
      <c r="J1256" t="s">
        <v>31</v>
      </c>
      <c r="K1256">
        <v>9</v>
      </c>
      <c r="O1256">
        <v>21.99</v>
      </c>
    </row>
    <row r="1257" spans="1:15" x14ac:dyDescent="0.35">
      <c r="A1257" t="s">
        <v>1623</v>
      </c>
      <c r="B1257">
        <v>1</v>
      </c>
      <c r="C1257">
        <v>34.99</v>
      </c>
      <c r="D1257">
        <v>34.99</v>
      </c>
      <c r="E1257" t="s">
        <v>524</v>
      </c>
      <c r="F1257" t="s">
        <v>1726</v>
      </c>
      <c r="G1257" t="s">
        <v>16</v>
      </c>
      <c r="H1257">
        <v>12</v>
      </c>
      <c r="I1257" t="s">
        <v>17</v>
      </c>
      <c r="J1257" t="s">
        <v>36</v>
      </c>
      <c r="K1257">
        <v>12.5</v>
      </c>
      <c r="O1257">
        <v>21.99</v>
      </c>
    </row>
    <row r="1258" spans="1:15" x14ac:dyDescent="0.35">
      <c r="A1258" t="s">
        <v>1624</v>
      </c>
      <c r="B1258">
        <v>1</v>
      </c>
      <c r="C1258">
        <v>18.989999999999998</v>
      </c>
      <c r="D1258">
        <v>18.989999999999998</v>
      </c>
      <c r="E1258" t="s">
        <v>427</v>
      </c>
      <c r="F1258" t="s">
        <v>1727</v>
      </c>
      <c r="G1258" t="s">
        <v>16</v>
      </c>
      <c r="H1258">
        <v>19</v>
      </c>
      <c r="I1258" t="s">
        <v>12</v>
      </c>
      <c r="J1258" t="s">
        <v>42</v>
      </c>
      <c r="K1258">
        <v>6</v>
      </c>
      <c r="O1258">
        <v>21.99</v>
      </c>
    </row>
    <row r="1259" spans="1:15" x14ac:dyDescent="0.35">
      <c r="A1259" t="s">
        <v>1625</v>
      </c>
      <c r="B1259">
        <v>1</v>
      </c>
      <c r="C1259">
        <v>30.99</v>
      </c>
      <c r="D1259">
        <v>30.99</v>
      </c>
      <c r="E1259" t="s">
        <v>472</v>
      </c>
      <c r="F1259" t="s">
        <v>1728</v>
      </c>
      <c r="G1259" t="s">
        <v>16</v>
      </c>
      <c r="H1259">
        <v>3</v>
      </c>
      <c r="I1259" t="s">
        <v>41</v>
      </c>
      <c r="J1259" t="s">
        <v>18</v>
      </c>
      <c r="K1259">
        <v>10.5</v>
      </c>
      <c r="O1259">
        <v>21.99</v>
      </c>
    </row>
    <row r="1260" spans="1:15" x14ac:dyDescent="0.35">
      <c r="A1260" t="s">
        <v>1626</v>
      </c>
      <c r="B1260">
        <v>1</v>
      </c>
      <c r="C1260">
        <v>16.989999999999998</v>
      </c>
      <c r="D1260">
        <v>16.989999999999998</v>
      </c>
      <c r="E1260" t="s">
        <v>877</v>
      </c>
      <c r="F1260" t="s">
        <v>1717</v>
      </c>
      <c r="G1260" t="s">
        <v>11</v>
      </c>
      <c r="H1260">
        <v>24</v>
      </c>
      <c r="I1260" t="s">
        <v>12</v>
      </c>
      <c r="J1260" t="s">
        <v>25</v>
      </c>
      <c r="K1260">
        <v>5</v>
      </c>
      <c r="O1260">
        <v>21.99</v>
      </c>
    </row>
    <row r="1261" spans="1:15" x14ac:dyDescent="0.35">
      <c r="A1261" t="s">
        <v>1627</v>
      </c>
      <c r="B1261">
        <v>1</v>
      </c>
      <c r="C1261">
        <v>21.99</v>
      </c>
      <c r="D1261">
        <v>21.99</v>
      </c>
      <c r="E1261" t="s">
        <v>722</v>
      </c>
      <c r="F1261" t="s">
        <v>1718</v>
      </c>
      <c r="G1261" t="s">
        <v>16</v>
      </c>
      <c r="H1261">
        <v>2</v>
      </c>
      <c r="I1261" t="s">
        <v>12</v>
      </c>
      <c r="J1261" t="s">
        <v>13</v>
      </c>
      <c r="K1261">
        <v>7</v>
      </c>
      <c r="O1261">
        <v>21.99</v>
      </c>
    </row>
    <row r="1262" spans="1:15" x14ac:dyDescent="0.35">
      <c r="A1262" t="s">
        <v>1628</v>
      </c>
      <c r="B1262">
        <v>1</v>
      </c>
      <c r="C1262">
        <v>16.989999999999998</v>
      </c>
      <c r="D1262">
        <v>16.989999999999998</v>
      </c>
      <c r="E1262" t="s">
        <v>1064</v>
      </c>
      <c r="F1262" t="s">
        <v>1719</v>
      </c>
      <c r="G1262" t="s">
        <v>16</v>
      </c>
      <c r="H1262">
        <v>16</v>
      </c>
      <c r="I1262" t="s">
        <v>17</v>
      </c>
      <c r="J1262" t="s">
        <v>25</v>
      </c>
      <c r="K1262">
        <v>5</v>
      </c>
      <c r="O1262">
        <v>21.99</v>
      </c>
    </row>
    <row r="1263" spans="1:15" x14ac:dyDescent="0.35">
      <c r="A1263" t="s">
        <v>1629</v>
      </c>
      <c r="B1263">
        <v>1</v>
      </c>
      <c r="C1263">
        <v>21.99</v>
      </c>
      <c r="D1263">
        <v>21.99</v>
      </c>
      <c r="E1263" t="s">
        <v>551</v>
      </c>
      <c r="F1263" t="s">
        <v>1720</v>
      </c>
      <c r="G1263" t="s">
        <v>28</v>
      </c>
      <c r="H1263">
        <v>0</v>
      </c>
      <c r="I1263" t="s">
        <v>24</v>
      </c>
      <c r="J1263" t="s">
        <v>13</v>
      </c>
      <c r="K1263">
        <v>7</v>
      </c>
      <c r="O1263">
        <v>21.99</v>
      </c>
    </row>
    <row r="1264" spans="1:15" x14ac:dyDescent="0.35">
      <c r="A1264" t="s">
        <v>1630</v>
      </c>
      <c r="B1264">
        <v>2</v>
      </c>
      <c r="C1264">
        <v>27.99</v>
      </c>
      <c r="D1264">
        <v>48.35</v>
      </c>
      <c r="E1264" t="s">
        <v>832</v>
      </c>
      <c r="F1264" t="s">
        <v>1721</v>
      </c>
      <c r="G1264" t="s">
        <v>21</v>
      </c>
      <c r="H1264">
        <v>0</v>
      </c>
      <c r="I1264" t="s">
        <v>41</v>
      </c>
      <c r="J1264" t="s">
        <v>31</v>
      </c>
      <c r="K1264">
        <v>9</v>
      </c>
      <c r="O1264">
        <v>37.979999999999997</v>
      </c>
    </row>
    <row r="1265" spans="1:15" x14ac:dyDescent="0.35">
      <c r="A1265" t="s">
        <v>1631</v>
      </c>
      <c r="B1265">
        <v>1</v>
      </c>
      <c r="C1265">
        <v>27.99</v>
      </c>
      <c r="D1265">
        <v>27.99</v>
      </c>
      <c r="E1265" t="s">
        <v>1632</v>
      </c>
      <c r="F1265" t="s">
        <v>1722</v>
      </c>
      <c r="G1265" t="s">
        <v>16</v>
      </c>
      <c r="H1265">
        <v>2</v>
      </c>
      <c r="I1265" t="s">
        <v>17</v>
      </c>
      <c r="J1265" t="s">
        <v>31</v>
      </c>
      <c r="K1265">
        <v>9</v>
      </c>
      <c r="O1265">
        <v>21.99</v>
      </c>
    </row>
    <row r="1266" spans="1:15" x14ac:dyDescent="0.35">
      <c r="A1266" t="s">
        <v>1633</v>
      </c>
      <c r="B1266">
        <v>1</v>
      </c>
      <c r="C1266">
        <v>21.99</v>
      </c>
      <c r="D1266">
        <v>21.99</v>
      </c>
      <c r="E1266" t="s">
        <v>562</v>
      </c>
      <c r="F1266" t="s">
        <v>1723</v>
      </c>
      <c r="G1266" t="s">
        <v>16</v>
      </c>
      <c r="H1266">
        <v>3</v>
      </c>
      <c r="I1266" t="s">
        <v>24</v>
      </c>
      <c r="J1266" t="s">
        <v>13</v>
      </c>
      <c r="K1266">
        <v>7</v>
      </c>
      <c r="O1266">
        <v>21.99</v>
      </c>
    </row>
    <row r="1267" spans="1:15" x14ac:dyDescent="0.35">
      <c r="A1267" t="s">
        <v>1634</v>
      </c>
      <c r="B1267">
        <v>2</v>
      </c>
      <c r="C1267">
        <v>30.99</v>
      </c>
      <c r="D1267">
        <v>53.51</v>
      </c>
      <c r="E1267" t="s">
        <v>229</v>
      </c>
      <c r="F1267" t="s">
        <v>1724</v>
      </c>
      <c r="G1267" t="s">
        <v>87</v>
      </c>
      <c r="H1267">
        <v>0</v>
      </c>
      <c r="I1267" t="s">
        <v>12</v>
      </c>
      <c r="J1267" t="s">
        <v>18</v>
      </c>
      <c r="K1267">
        <v>10.5</v>
      </c>
      <c r="O1267">
        <v>37.979999999999997</v>
      </c>
    </row>
    <row r="1268" spans="1:15" x14ac:dyDescent="0.35">
      <c r="A1268" t="s">
        <v>1635</v>
      </c>
      <c r="B1268">
        <v>1</v>
      </c>
      <c r="C1268">
        <v>16.989999999999998</v>
      </c>
      <c r="D1268">
        <v>16.989999999999998</v>
      </c>
      <c r="E1268" t="s">
        <v>1636</v>
      </c>
      <c r="F1268" t="s">
        <v>1725</v>
      </c>
      <c r="G1268" t="s">
        <v>21</v>
      </c>
      <c r="H1268">
        <v>0</v>
      </c>
      <c r="I1268" t="s">
        <v>12</v>
      </c>
      <c r="J1268" t="s">
        <v>25</v>
      </c>
      <c r="K1268">
        <v>5</v>
      </c>
      <c r="O1268">
        <v>21.99</v>
      </c>
    </row>
    <row r="1269" spans="1:15" x14ac:dyDescent="0.35">
      <c r="A1269" t="s">
        <v>1637</v>
      </c>
      <c r="B1269">
        <v>1</v>
      </c>
      <c r="C1269">
        <v>27.99</v>
      </c>
      <c r="D1269">
        <v>27.99</v>
      </c>
      <c r="E1269" t="s">
        <v>46</v>
      </c>
      <c r="F1269" t="s">
        <v>1726</v>
      </c>
      <c r="G1269" t="s">
        <v>16</v>
      </c>
      <c r="H1269">
        <v>3</v>
      </c>
      <c r="I1269" t="s">
        <v>12</v>
      </c>
      <c r="J1269" t="s">
        <v>31</v>
      </c>
      <c r="K1269">
        <v>9</v>
      </c>
      <c r="O1269">
        <v>21.99</v>
      </c>
    </row>
    <row r="1270" spans="1:15" x14ac:dyDescent="0.35">
      <c r="A1270" t="s">
        <v>1638</v>
      </c>
      <c r="B1270">
        <v>3</v>
      </c>
      <c r="C1270">
        <v>34.99</v>
      </c>
      <c r="D1270">
        <v>82.46</v>
      </c>
      <c r="E1270" t="s">
        <v>865</v>
      </c>
      <c r="F1270" t="s">
        <v>1727</v>
      </c>
      <c r="G1270" t="s">
        <v>87</v>
      </c>
      <c r="H1270">
        <v>0</v>
      </c>
      <c r="I1270" t="s">
        <v>24</v>
      </c>
      <c r="J1270" t="s">
        <v>36</v>
      </c>
      <c r="K1270">
        <v>12.5</v>
      </c>
      <c r="O1270">
        <v>84.73</v>
      </c>
    </row>
    <row r="1271" spans="1:15" x14ac:dyDescent="0.35">
      <c r="A1271" t="s">
        <v>1639</v>
      </c>
      <c r="B1271">
        <v>1</v>
      </c>
      <c r="C1271">
        <v>27.99</v>
      </c>
      <c r="D1271">
        <v>27.99</v>
      </c>
      <c r="E1271" t="s">
        <v>500</v>
      </c>
      <c r="F1271" t="s">
        <v>1728</v>
      </c>
      <c r="G1271" t="s">
        <v>16</v>
      </c>
      <c r="H1271">
        <v>2</v>
      </c>
      <c r="I1271" t="s">
        <v>17</v>
      </c>
      <c r="J1271" t="s">
        <v>31</v>
      </c>
      <c r="K1271">
        <v>9</v>
      </c>
      <c r="O1271">
        <v>21.99</v>
      </c>
    </row>
    <row r="1272" spans="1:15" x14ac:dyDescent="0.35">
      <c r="A1272" t="s">
        <v>1640</v>
      </c>
      <c r="B1272">
        <v>2</v>
      </c>
      <c r="C1272">
        <v>18.989999999999998</v>
      </c>
      <c r="D1272">
        <v>32.71</v>
      </c>
      <c r="E1272" t="s">
        <v>573</v>
      </c>
      <c r="F1272" t="s">
        <v>1717</v>
      </c>
      <c r="G1272" t="s">
        <v>21</v>
      </c>
      <c r="H1272">
        <v>0</v>
      </c>
      <c r="I1272" t="s">
        <v>41</v>
      </c>
      <c r="J1272" t="s">
        <v>42</v>
      </c>
      <c r="K1272">
        <v>6</v>
      </c>
      <c r="O1272">
        <v>37.979999999999997</v>
      </c>
    </row>
    <row r="1273" spans="1:15" x14ac:dyDescent="0.35">
      <c r="A1273" t="s">
        <v>1641</v>
      </c>
      <c r="B1273">
        <v>3</v>
      </c>
      <c r="C1273">
        <v>18.989999999999998</v>
      </c>
      <c r="D1273">
        <v>45.65</v>
      </c>
      <c r="E1273" t="s">
        <v>888</v>
      </c>
      <c r="F1273" t="s">
        <v>1718</v>
      </c>
      <c r="G1273" t="s">
        <v>11</v>
      </c>
      <c r="H1273">
        <v>20</v>
      </c>
      <c r="I1273" t="s">
        <v>17</v>
      </c>
      <c r="J1273" t="s">
        <v>42</v>
      </c>
      <c r="K1273">
        <v>6</v>
      </c>
      <c r="O1273">
        <v>84.73</v>
      </c>
    </row>
    <row r="1274" spans="1:15" x14ac:dyDescent="0.35">
      <c r="A1274" t="s">
        <v>1642</v>
      </c>
      <c r="B1274">
        <v>1</v>
      </c>
      <c r="C1274">
        <v>18.989999999999998</v>
      </c>
      <c r="D1274">
        <v>18.989999999999998</v>
      </c>
      <c r="E1274" t="s">
        <v>1249</v>
      </c>
      <c r="F1274" t="s">
        <v>1719</v>
      </c>
      <c r="G1274" t="s">
        <v>16</v>
      </c>
      <c r="H1274">
        <v>13</v>
      </c>
      <c r="I1274" t="s">
        <v>41</v>
      </c>
      <c r="J1274" t="s">
        <v>42</v>
      </c>
      <c r="K1274">
        <v>6</v>
      </c>
      <c r="O1274">
        <v>21.99</v>
      </c>
    </row>
    <row r="1275" spans="1:15" x14ac:dyDescent="0.35">
      <c r="A1275" t="s">
        <v>1643</v>
      </c>
      <c r="B1275">
        <v>1</v>
      </c>
      <c r="C1275">
        <v>30.99</v>
      </c>
      <c r="D1275">
        <v>30.99</v>
      </c>
      <c r="E1275" t="s">
        <v>1644</v>
      </c>
      <c r="F1275" t="s">
        <v>1720</v>
      </c>
      <c r="G1275" t="s">
        <v>16</v>
      </c>
      <c r="H1275">
        <v>3</v>
      </c>
      <c r="I1275" t="s">
        <v>41</v>
      </c>
      <c r="J1275" t="s">
        <v>18</v>
      </c>
      <c r="K1275">
        <v>10.5</v>
      </c>
      <c r="O1275">
        <v>21.99</v>
      </c>
    </row>
    <row r="1276" spans="1:15" x14ac:dyDescent="0.35">
      <c r="A1276" t="s">
        <v>1645</v>
      </c>
      <c r="B1276">
        <v>1</v>
      </c>
      <c r="C1276">
        <v>16.989999999999998</v>
      </c>
      <c r="D1276">
        <v>16.989999999999998</v>
      </c>
      <c r="E1276" t="s">
        <v>1014</v>
      </c>
      <c r="F1276" t="s">
        <v>1721</v>
      </c>
      <c r="G1276" t="s">
        <v>28</v>
      </c>
      <c r="H1276">
        <v>0</v>
      </c>
      <c r="I1276" t="s">
        <v>24</v>
      </c>
      <c r="J1276" t="s">
        <v>25</v>
      </c>
      <c r="K1276">
        <v>5</v>
      </c>
      <c r="O1276">
        <v>21.99</v>
      </c>
    </row>
    <row r="1277" spans="1:15" x14ac:dyDescent="0.35">
      <c r="A1277" t="s">
        <v>1646</v>
      </c>
      <c r="B1277">
        <v>1</v>
      </c>
      <c r="C1277">
        <v>21.99</v>
      </c>
      <c r="D1277">
        <v>21.99</v>
      </c>
      <c r="E1277" s="6">
        <v>46257</v>
      </c>
      <c r="F1277" t="s">
        <v>1722</v>
      </c>
      <c r="G1277" t="s">
        <v>16</v>
      </c>
      <c r="H1277">
        <v>3</v>
      </c>
      <c r="I1277" t="s">
        <v>24</v>
      </c>
      <c r="J1277" t="s">
        <v>13</v>
      </c>
      <c r="K1277">
        <v>7</v>
      </c>
      <c r="O1277">
        <v>21.99</v>
      </c>
    </row>
    <row r="1278" spans="1:15" x14ac:dyDescent="0.35">
      <c r="A1278" t="s">
        <v>1647</v>
      </c>
      <c r="B1278">
        <v>1</v>
      </c>
      <c r="C1278">
        <v>27.99</v>
      </c>
      <c r="D1278">
        <v>27.99</v>
      </c>
      <c r="E1278" t="s">
        <v>38</v>
      </c>
      <c r="F1278" t="s">
        <v>1723</v>
      </c>
      <c r="G1278" t="s">
        <v>16</v>
      </c>
      <c r="H1278">
        <v>3</v>
      </c>
      <c r="I1278" t="s">
        <v>41</v>
      </c>
      <c r="J1278" t="s">
        <v>31</v>
      </c>
      <c r="K1278">
        <v>9</v>
      </c>
      <c r="O1278">
        <v>21.99</v>
      </c>
    </row>
    <row r="1279" spans="1:15" x14ac:dyDescent="0.35">
      <c r="A1279" t="s">
        <v>1648</v>
      </c>
      <c r="B1279">
        <v>1</v>
      </c>
      <c r="C1279">
        <v>27.99</v>
      </c>
      <c r="D1279">
        <v>27.99</v>
      </c>
      <c r="E1279" t="s">
        <v>623</v>
      </c>
      <c r="F1279" t="s">
        <v>1724</v>
      </c>
      <c r="G1279" t="s">
        <v>16</v>
      </c>
      <c r="H1279">
        <v>2</v>
      </c>
      <c r="I1279" t="s">
        <v>41</v>
      </c>
      <c r="J1279" t="s">
        <v>31</v>
      </c>
      <c r="K1279">
        <v>9</v>
      </c>
      <c r="O1279">
        <v>21.99</v>
      </c>
    </row>
    <row r="1280" spans="1:15" x14ac:dyDescent="0.35">
      <c r="A1280" t="s">
        <v>1649</v>
      </c>
      <c r="B1280">
        <v>2</v>
      </c>
      <c r="C1280">
        <v>18.989999999999998</v>
      </c>
      <c r="D1280">
        <v>32.75</v>
      </c>
      <c r="E1280" t="s">
        <v>1179</v>
      </c>
      <c r="F1280" t="s">
        <v>1725</v>
      </c>
      <c r="G1280" t="s">
        <v>16</v>
      </c>
      <c r="H1280">
        <v>15</v>
      </c>
      <c r="I1280" t="s">
        <v>41</v>
      </c>
      <c r="J1280" t="s">
        <v>42</v>
      </c>
      <c r="K1280">
        <v>6</v>
      </c>
      <c r="O1280">
        <v>37.979999999999997</v>
      </c>
    </row>
    <row r="1281" spans="1:15" x14ac:dyDescent="0.35">
      <c r="A1281" t="s">
        <v>1650</v>
      </c>
      <c r="B1281">
        <v>1</v>
      </c>
      <c r="C1281">
        <v>30.99</v>
      </c>
      <c r="D1281">
        <v>30.99</v>
      </c>
      <c r="E1281" t="s">
        <v>30</v>
      </c>
      <c r="F1281" t="s">
        <v>1726</v>
      </c>
      <c r="G1281" t="s">
        <v>16</v>
      </c>
      <c r="H1281">
        <v>4</v>
      </c>
      <c r="I1281" t="s">
        <v>12</v>
      </c>
      <c r="J1281" t="s">
        <v>18</v>
      </c>
      <c r="K1281">
        <v>10.5</v>
      </c>
      <c r="O1281">
        <v>21.99</v>
      </c>
    </row>
    <row r="1282" spans="1:15" x14ac:dyDescent="0.35">
      <c r="A1282" t="s">
        <v>1651</v>
      </c>
      <c r="B1282">
        <v>1</v>
      </c>
      <c r="C1282">
        <v>30.99</v>
      </c>
      <c r="D1282">
        <v>30.99</v>
      </c>
      <c r="E1282" t="s">
        <v>909</v>
      </c>
      <c r="F1282" t="s">
        <v>1727</v>
      </c>
      <c r="G1282" t="s">
        <v>16</v>
      </c>
      <c r="H1282">
        <v>3</v>
      </c>
      <c r="I1282" t="s">
        <v>17</v>
      </c>
      <c r="J1282" t="s">
        <v>18</v>
      </c>
      <c r="K1282">
        <v>10.5</v>
      </c>
      <c r="O1282">
        <v>21.99</v>
      </c>
    </row>
    <row r="1283" spans="1:15" x14ac:dyDescent="0.35">
      <c r="A1283" t="s">
        <v>1652</v>
      </c>
      <c r="B1283">
        <v>3</v>
      </c>
      <c r="C1283">
        <v>30.99</v>
      </c>
      <c r="D1283">
        <v>73.5</v>
      </c>
      <c r="E1283" t="s">
        <v>534</v>
      </c>
      <c r="F1283" t="s">
        <v>1728</v>
      </c>
      <c r="G1283" t="s">
        <v>16</v>
      </c>
      <c r="H1283">
        <v>3</v>
      </c>
      <c r="I1283" t="s">
        <v>24</v>
      </c>
      <c r="J1283" t="s">
        <v>18</v>
      </c>
      <c r="K1283">
        <v>10.5</v>
      </c>
      <c r="O1283">
        <v>84.73</v>
      </c>
    </row>
    <row r="1284" spans="1:15" x14ac:dyDescent="0.35">
      <c r="A1284" t="s">
        <v>1653</v>
      </c>
      <c r="B1284">
        <v>1</v>
      </c>
      <c r="C1284">
        <v>34.99</v>
      </c>
      <c r="D1284">
        <v>34.99</v>
      </c>
      <c r="E1284" t="s">
        <v>148</v>
      </c>
      <c r="F1284" t="s">
        <v>1717</v>
      </c>
      <c r="G1284" t="s">
        <v>87</v>
      </c>
      <c r="H1284">
        <v>0</v>
      </c>
      <c r="I1284" t="s">
        <v>12</v>
      </c>
      <c r="J1284" t="s">
        <v>36</v>
      </c>
      <c r="K1284">
        <v>12.5</v>
      </c>
      <c r="O1284">
        <v>21.99</v>
      </c>
    </row>
    <row r="1285" spans="1:15" x14ac:dyDescent="0.35">
      <c r="A1285" t="s">
        <v>1654</v>
      </c>
      <c r="B1285">
        <v>3</v>
      </c>
      <c r="C1285">
        <v>18.989999999999998</v>
      </c>
      <c r="D1285">
        <v>44.74</v>
      </c>
      <c r="E1285" t="s">
        <v>775</v>
      </c>
      <c r="F1285" t="s">
        <v>1718</v>
      </c>
      <c r="G1285" t="s">
        <v>21</v>
      </c>
      <c r="H1285">
        <v>0</v>
      </c>
      <c r="I1285" t="s">
        <v>24</v>
      </c>
      <c r="J1285" t="s">
        <v>42</v>
      </c>
      <c r="K1285">
        <v>6</v>
      </c>
      <c r="O1285">
        <v>84.73</v>
      </c>
    </row>
    <row r="1286" spans="1:15" x14ac:dyDescent="0.35">
      <c r="A1286" t="s">
        <v>1655</v>
      </c>
      <c r="B1286">
        <v>1</v>
      </c>
      <c r="C1286">
        <v>21.99</v>
      </c>
      <c r="D1286">
        <v>21.99</v>
      </c>
      <c r="E1286" t="s">
        <v>921</v>
      </c>
      <c r="F1286" t="s">
        <v>1719</v>
      </c>
      <c r="G1286" t="s">
        <v>21</v>
      </c>
      <c r="H1286">
        <v>0</v>
      </c>
      <c r="I1286" t="s">
        <v>12</v>
      </c>
      <c r="J1286" t="s">
        <v>13</v>
      </c>
      <c r="K1286">
        <v>7</v>
      </c>
      <c r="O1286">
        <v>21.99</v>
      </c>
    </row>
    <row r="1287" spans="1:15" x14ac:dyDescent="0.35">
      <c r="A1287" t="s">
        <v>1656</v>
      </c>
      <c r="B1287">
        <v>2</v>
      </c>
      <c r="C1287">
        <v>30.99</v>
      </c>
      <c r="D1287">
        <v>53.54</v>
      </c>
      <c r="E1287" t="s">
        <v>158</v>
      </c>
      <c r="F1287" t="s">
        <v>1720</v>
      </c>
      <c r="G1287" t="s">
        <v>87</v>
      </c>
      <c r="H1287">
        <v>0</v>
      </c>
      <c r="I1287" t="s">
        <v>12</v>
      </c>
      <c r="J1287" t="s">
        <v>18</v>
      </c>
      <c r="K1287">
        <v>10.5</v>
      </c>
      <c r="O1287">
        <v>37.979999999999997</v>
      </c>
    </row>
    <row r="1288" spans="1:15" x14ac:dyDescent="0.35">
      <c r="A1288" t="s">
        <v>1657</v>
      </c>
      <c r="B1288">
        <v>1</v>
      </c>
      <c r="C1288">
        <v>21.99</v>
      </c>
      <c r="D1288">
        <v>21.99</v>
      </c>
      <c r="E1288" t="s">
        <v>397</v>
      </c>
      <c r="F1288" t="s">
        <v>1721</v>
      </c>
      <c r="G1288" t="s">
        <v>16</v>
      </c>
      <c r="H1288">
        <v>2</v>
      </c>
      <c r="I1288" t="s">
        <v>41</v>
      </c>
      <c r="J1288" t="s">
        <v>13</v>
      </c>
      <c r="K1288">
        <v>7</v>
      </c>
      <c r="O1288">
        <v>21.99</v>
      </c>
    </row>
    <row r="1289" spans="1:15" x14ac:dyDescent="0.35">
      <c r="A1289" t="s">
        <v>1658</v>
      </c>
      <c r="B1289">
        <v>1</v>
      </c>
      <c r="C1289">
        <v>18.989999999999998</v>
      </c>
      <c r="D1289">
        <v>18.989999999999998</v>
      </c>
      <c r="E1289" t="s">
        <v>644</v>
      </c>
      <c r="F1289" t="s">
        <v>1722</v>
      </c>
      <c r="G1289" t="s">
        <v>87</v>
      </c>
      <c r="H1289">
        <v>0</v>
      </c>
      <c r="I1289" t="s">
        <v>17</v>
      </c>
      <c r="J1289" t="s">
        <v>42</v>
      </c>
      <c r="K1289">
        <v>6</v>
      </c>
      <c r="O1289">
        <v>21.99</v>
      </c>
    </row>
    <row r="1290" spans="1:15" x14ac:dyDescent="0.35">
      <c r="A1290" t="s">
        <v>1659</v>
      </c>
      <c r="B1290">
        <v>1</v>
      </c>
      <c r="C1290">
        <v>34.99</v>
      </c>
      <c r="D1290">
        <v>34.99</v>
      </c>
      <c r="E1290" t="s">
        <v>1660</v>
      </c>
      <c r="F1290" t="s">
        <v>1723</v>
      </c>
      <c r="G1290" t="s">
        <v>16</v>
      </c>
      <c r="H1290">
        <v>5</v>
      </c>
      <c r="I1290" t="s">
        <v>17</v>
      </c>
      <c r="J1290" t="s">
        <v>36</v>
      </c>
      <c r="K1290">
        <v>12.5</v>
      </c>
      <c r="O1290">
        <v>21.99</v>
      </c>
    </row>
    <row r="1291" spans="1:15" x14ac:dyDescent="0.35">
      <c r="A1291" t="s">
        <v>1661</v>
      </c>
      <c r="B1291">
        <v>1</v>
      </c>
      <c r="C1291">
        <v>16.989999999999998</v>
      </c>
      <c r="D1291">
        <v>16.989999999999998</v>
      </c>
      <c r="E1291" t="s">
        <v>236</v>
      </c>
      <c r="F1291" t="s">
        <v>1724</v>
      </c>
      <c r="G1291" t="s">
        <v>16</v>
      </c>
      <c r="H1291">
        <v>20</v>
      </c>
      <c r="I1291" t="s">
        <v>17</v>
      </c>
      <c r="J1291" t="s">
        <v>25</v>
      </c>
      <c r="K1291">
        <v>5</v>
      </c>
      <c r="O1291">
        <v>21.99</v>
      </c>
    </row>
    <row r="1292" spans="1:15" x14ac:dyDescent="0.35">
      <c r="A1292" t="s">
        <v>1662</v>
      </c>
      <c r="B1292">
        <v>1</v>
      </c>
      <c r="C1292">
        <v>27.99</v>
      </c>
      <c r="D1292">
        <v>27.99</v>
      </c>
      <c r="E1292" t="s">
        <v>822</v>
      </c>
      <c r="F1292" t="s">
        <v>1725</v>
      </c>
      <c r="G1292" t="s">
        <v>21</v>
      </c>
      <c r="H1292">
        <v>0</v>
      </c>
      <c r="I1292" t="s">
        <v>24</v>
      </c>
      <c r="J1292" t="s">
        <v>31</v>
      </c>
      <c r="K1292">
        <v>9</v>
      </c>
      <c r="O1292">
        <v>21.99</v>
      </c>
    </row>
    <row r="1293" spans="1:15" x14ac:dyDescent="0.35">
      <c r="A1293" t="s">
        <v>1663</v>
      </c>
      <c r="B1293">
        <v>1</v>
      </c>
      <c r="C1293">
        <v>30.99</v>
      </c>
      <c r="D1293">
        <v>30.99</v>
      </c>
      <c r="E1293" t="s">
        <v>164</v>
      </c>
      <c r="F1293" t="s">
        <v>1726</v>
      </c>
      <c r="G1293" t="s">
        <v>16</v>
      </c>
      <c r="H1293">
        <v>3</v>
      </c>
      <c r="I1293" t="s">
        <v>24</v>
      </c>
      <c r="J1293" t="s">
        <v>18</v>
      </c>
      <c r="K1293">
        <v>10.5</v>
      </c>
      <c r="O1293">
        <v>21.99</v>
      </c>
    </row>
    <row r="1294" spans="1:15" x14ac:dyDescent="0.35">
      <c r="A1294" t="s">
        <v>1664</v>
      </c>
      <c r="B1294">
        <v>3</v>
      </c>
      <c r="C1294">
        <v>30.99</v>
      </c>
      <c r="D1294">
        <v>75.02</v>
      </c>
      <c r="E1294" t="s">
        <v>96</v>
      </c>
      <c r="F1294" t="s">
        <v>1727</v>
      </c>
      <c r="G1294" t="s">
        <v>16</v>
      </c>
      <c r="H1294">
        <v>2</v>
      </c>
      <c r="I1294" t="s">
        <v>24</v>
      </c>
      <c r="J1294" t="s">
        <v>18</v>
      </c>
      <c r="K1294">
        <v>10.5</v>
      </c>
      <c r="O1294">
        <v>84.73</v>
      </c>
    </row>
    <row r="1295" spans="1:15" x14ac:dyDescent="0.35">
      <c r="A1295" t="s">
        <v>1665</v>
      </c>
      <c r="B1295">
        <v>1</v>
      </c>
      <c r="C1295">
        <v>16.989999999999998</v>
      </c>
      <c r="D1295">
        <v>16.989999999999998</v>
      </c>
      <c r="E1295" t="s">
        <v>923</v>
      </c>
      <c r="F1295" t="s">
        <v>1728</v>
      </c>
      <c r="G1295" t="s">
        <v>21</v>
      </c>
      <c r="H1295">
        <v>0</v>
      </c>
      <c r="I1295" t="s">
        <v>12</v>
      </c>
      <c r="J1295" t="s">
        <v>25</v>
      </c>
      <c r="K1295">
        <v>5</v>
      </c>
      <c r="O1295">
        <v>21.99</v>
      </c>
    </row>
    <row r="1296" spans="1:15" x14ac:dyDescent="0.35">
      <c r="A1296" t="s">
        <v>1666</v>
      </c>
      <c r="B1296">
        <v>1</v>
      </c>
      <c r="C1296">
        <v>30.99</v>
      </c>
      <c r="D1296">
        <v>30.99</v>
      </c>
      <c r="E1296" t="s">
        <v>1632</v>
      </c>
      <c r="F1296" t="s">
        <v>1717</v>
      </c>
      <c r="G1296" t="s">
        <v>11</v>
      </c>
      <c r="H1296">
        <v>3</v>
      </c>
      <c r="I1296" t="s">
        <v>12</v>
      </c>
      <c r="J1296" t="s">
        <v>18</v>
      </c>
      <c r="K1296">
        <v>10.5</v>
      </c>
      <c r="O1296">
        <v>21.99</v>
      </c>
    </row>
    <row r="1297" spans="1:15" x14ac:dyDescent="0.35">
      <c r="A1297" t="s">
        <v>1667</v>
      </c>
      <c r="B1297">
        <v>1</v>
      </c>
      <c r="C1297">
        <v>27.99</v>
      </c>
      <c r="D1297">
        <v>27.99</v>
      </c>
      <c r="E1297" t="s">
        <v>447</v>
      </c>
      <c r="F1297" t="s">
        <v>1718</v>
      </c>
      <c r="G1297" t="s">
        <v>21</v>
      </c>
      <c r="H1297">
        <v>0</v>
      </c>
      <c r="I1297" t="s">
        <v>41</v>
      </c>
      <c r="J1297" t="s">
        <v>31</v>
      </c>
      <c r="K1297">
        <v>9</v>
      </c>
      <c r="O1297">
        <v>21.99</v>
      </c>
    </row>
    <row r="1298" spans="1:15" x14ac:dyDescent="0.35">
      <c r="A1298" t="s">
        <v>1668</v>
      </c>
      <c r="B1298">
        <v>3</v>
      </c>
      <c r="C1298">
        <v>21.99</v>
      </c>
      <c r="D1298">
        <v>53.43</v>
      </c>
      <c r="E1298" t="s">
        <v>1669</v>
      </c>
      <c r="F1298" t="s">
        <v>1719</v>
      </c>
      <c r="G1298" t="s">
        <v>16</v>
      </c>
      <c r="H1298">
        <v>2</v>
      </c>
      <c r="I1298" t="s">
        <v>24</v>
      </c>
      <c r="J1298" t="s">
        <v>13</v>
      </c>
      <c r="K1298">
        <v>7</v>
      </c>
      <c r="O1298">
        <v>84.73</v>
      </c>
    </row>
    <row r="1299" spans="1:15" x14ac:dyDescent="0.35">
      <c r="A1299" t="s">
        <v>1670</v>
      </c>
      <c r="B1299">
        <v>3</v>
      </c>
      <c r="C1299">
        <v>21.99</v>
      </c>
      <c r="D1299">
        <v>52.48</v>
      </c>
      <c r="E1299" t="s">
        <v>818</v>
      </c>
      <c r="F1299" t="s">
        <v>1720</v>
      </c>
      <c r="G1299" t="s">
        <v>21</v>
      </c>
      <c r="H1299">
        <v>0</v>
      </c>
      <c r="I1299" t="s">
        <v>41</v>
      </c>
      <c r="J1299" t="s">
        <v>13</v>
      </c>
      <c r="K1299">
        <v>7</v>
      </c>
      <c r="O1299">
        <v>84.73</v>
      </c>
    </row>
    <row r="1300" spans="1:15" x14ac:dyDescent="0.35">
      <c r="A1300" t="s">
        <v>1671</v>
      </c>
      <c r="B1300">
        <v>3</v>
      </c>
      <c r="C1300">
        <v>30.99</v>
      </c>
      <c r="D1300">
        <v>73.2</v>
      </c>
      <c r="E1300" t="s">
        <v>701</v>
      </c>
      <c r="F1300" t="s">
        <v>1721</v>
      </c>
      <c r="G1300" t="s">
        <v>16</v>
      </c>
      <c r="H1300">
        <v>5</v>
      </c>
      <c r="I1300" t="s">
        <v>24</v>
      </c>
      <c r="J1300" t="s">
        <v>18</v>
      </c>
      <c r="K1300">
        <v>10.5</v>
      </c>
      <c r="O1300">
        <v>84.73</v>
      </c>
    </row>
    <row r="1301" spans="1:15" x14ac:dyDescent="0.35">
      <c r="A1301" t="s">
        <v>1672</v>
      </c>
      <c r="B1301">
        <v>1</v>
      </c>
      <c r="C1301">
        <v>27.99</v>
      </c>
      <c r="D1301">
        <v>27.99</v>
      </c>
      <c r="E1301" t="s">
        <v>1673</v>
      </c>
      <c r="F1301" t="s">
        <v>1722</v>
      </c>
      <c r="G1301" t="s">
        <v>21</v>
      </c>
      <c r="H1301">
        <v>0</v>
      </c>
      <c r="I1301" t="s">
        <v>24</v>
      </c>
      <c r="J1301" t="s">
        <v>31</v>
      </c>
      <c r="K1301">
        <v>9</v>
      </c>
      <c r="O1301">
        <v>21.99</v>
      </c>
    </row>
    <row r="1302" spans="1:15" x14ac:dyDescent="0.35">
      <c r="A1302" t="s">
        <v>1674</v>
      </c>
      <c r="B1302">
        <v>2</v>
      </c>
      <c r="C1302">
        <v>34.99</v>
      </c>
      <c r="D1302">
        <v>60.85</v>
      </c>
      <c r="E1302" t="s">
        <v>1523</v>
      </c>
      <c r="F1302" t="s">
        <v>1723</v>
      </c>
      <c r="G1302" t="s">
        <v>21</v>
      </c>
      <c r="H1302">
        <v>0</v>
      </c>
      <c r="I1302" t="s">
        <v>12</v>
      </c>
      <c r="J1302" t="s">
        <v>36</v>
      </c>
      <c r="K1302">
        <v>12.5</v>
      </c>
      <c r="O1302">
        <v>37.979999999999997</v>
      </c>
    </row>
    <row r="1303" spans="1:15" x14ac:dyDescent="0.35">
      <c r="A1303" t="s">
        <v>1675</v>
      </c>
      <c r="B1303">
        <v>1</v>
      </c>
      <c r="C1303">
        <v>30.99</v>
      </c>
      <c r="D1303">
        <v>30.99</v>
      </c>
      <c r="E1303" t="s">
        <v>455</v>
      </c>
      <c r="F1303" t="s">
        <v>1724</v>
      </c>
      <c r="G1303" t="s">
        <v>16</v>
      </c>
      <c r="H1303">
        <v>3</v>
      </c>
      <c r="I1303" t="s">
        <v>24</v>
      </c>
      <c r="J1303" t="s">
        <v>18</v>
      </c>
      <c r="K1303">
        <v>10.5</v>
      </c>
      <c r="O1303">
        <v>21.99</v>
      </c>
    </row>
    <row r="1304" spans="1:15" x14ac:dyDescent="0.35">
      <c r="A1304" t="s">
        <v>1676</v>
      </c>
      <c r="B1304">
        <v>3</v>
      </c>
      <c r="C1304">
        <v>30.99</v>
      </c>
      <c r="D1304">
        <v>73.12</v>
      </c>
      <c r="E1304" t="s">
        <v>1677</v>
      </c>
      <c r="F1304" t="s">
        <v>1725</v>
      </c>
      <c r="G1304" t="s">
        <v>16</v>
      </c>
      <c r="H1304">
        <v>3</v>
      </c>
      <c r="I1304" t="s">
        <v>17</v>
      </c>
      <c r="J1304" t="s">
        <v>18</v>
      </c>
      <c r="K1304">
        <v>10.5</v>
      </c>
      <c r="O1304">
        <v>84.73</v>
      </c>
    </row>
    <row r="1305" spans="1:15" x14ac:dyDescent="0.35">
      <c r="A1305" t="s">
        <v>1678</v>
      </c>
      <c r="B1305">
        <v>1</v>
      </c>
      <c r="C1305">
        <v>18.989999999999998</v>
      </c>
      <c r="D1305">
        <v>18.989999999999998</v>
      </c>
      <c r="E1305" t="s">
        <v>102</v>
      </c>
      <c r="F1305" t="s">
        <v>1726</v>
      </c>
      <c r="G1305" t="s">
        <v>21</v>
      </c>
      <c r="H1305">
        <v>0</v>
      </c>
      <c r="I1305" t="s">
        <v>24</v>
      </c>
      <c r="J1305" t="s">
        <v>42</v>
      </c>
      <c r="K1305">
        <v>6</v>
      </c>
      <c r="O1305">
        <v>21.99</v>
      </c>
    </row>
    <row r="1306" spans="1:15" x14ac:dyDescent="0.35">
      <c r="A1306" t="s">
        <v>1679</v>
      </c>
      <c r="B1306">
        <v>1</v>
      </c>
      <c r="C1306">
        <v>34.99</v>
      </c>
      <c r="D1306">
        <v>34.99</v>
      </c>
      <c r="E1306" t="s">
        <v>1505</v>
      </c>
      <c r="F1306" t="s">
        <v>1727</v>
      </c>
      <c r="G1306" t="s">
        <v>11</v>
      </c>
      <c r="H1306">
        <v>6</v>
      </c>
      <c r="I1306" t="s">
        <v>41</v>
      </c>
      <c r="J1306" t="s">
        <v>36</v>
      </c>
      <c r="K1306">
        <v>12.5</v>
      </c>
      <c r="O1306">
        <v>21.99</v>
      </c>
    </row>
    <row r="1307" spans="1:15" x14ac:dyDescent="0.35">
      <c r="A1307" t="s">
        <v>1680</v>
      </c>
      <c r="B1307">
        <v>1</v>
      </c>
      <c r="C1307">
        <v>21.99</v>
      </c>
      <c r="D1307">
        <v>21.99</v>
      </c>
      <c r="E1307" t="s">
        <v>602</v>
      </c>
      <c r="F1307" t="s">
        <v>1728</v>
      </c>
      <c r="G1307" t="s">
        <v>16</v>
      </c>
      <c r="H1307">
        <v>2</v>
      </c>
      <c r="I1307" t="s">
        <v>12</v>
      </c>
      <c r="J1307" t="s">
        <v>13</v>
      </c>
      <c r="K1307">
        <v>7</v>
      </c>
      <c r="O1307">
        <v>21.99</v>
      </c>
    </row>
    <row r="1308" spans="1:15" x14ac:dyDescent="0.35">
      <c r="A1308" t="s">
        <v>1681</v>
      </c>
      <c r="B1308">
        <v>1</v>
      </c>
      <c r="C1308">
        <v>16.989999999999998</v>
      </c>
      <c r="D1308">
        <v>16.989999999999998</v>
      </c>
      <c r="E1308" t="s">
        <v>455</v>
      </c>
      <c r="F1308" t="s">
        <v>1717</v>
      </c>
      <c r="G1308" t="s">
        <v>16</v>
      </c>
      <c r="H1308">
        <v>20</v>
      </c>
      <c r="I1308" t="s">
        <v>24</v>
      </c>
      <c r="J1308" t="s">
        <v>25</v>
      </c>
      <c r="K1308">
        <v>5</v>
      </c>
      <c r="O1308">
        <v>21.99</v>
      </c>
    </row>
    <row r="1309" spans="1:15" x14ac:dyDescent="0.35">
      <c r="A1309" t="s">
        <v>1682</v>
      </c>
      <c r="B1309">
        <v>3</v>
      </c>
      <c r="C1309">
        <v>16.989999999999998</v>
      </c>
      <c r="D1309">
        <v>40.07</v>
      </c>
      <c r="E1309" t="s">
        <v>162</v>
      </c>
      <c r="F1309" t="s">
        <v>1718</v>
      </c>
      <c r="G1309" t="s">
        <v>16</v>
      </c>
      <c r="H1309">
        <v>19</v>
      </c>
      <c r="I1309" t="s">
        <v>17</v>
      </c>
      <c r="J1309" t="s">
        <v>25</v>
      </c>
      <c r="K1309">
        <v>5</v>
      </c>
      <c r="O1309">
        <v>84.73</v>
      </c>
    </row>
    <row r="1310" spans="1:15" x14ac:dyDescent="0.35">
      <c r="A1310" t="s">
        <v>1683</v>
      </c>
      <c r="B1310">
        <v>1</v>
      </c>
      <c r="C1310">
        <v>30.99</v>
      </c>
      <c r="D1310">
        <v>30.99</v>
      </c>
      <c r="E1310" t="s">
        <v>1114</v>
      </c>
      <c r="F1310" t="s">
        <v>1719</v>
      </c>
      <c r="G1310" t="s">
        <v>11</v>
      </c>
      <c r="H1310">
        <v>3</v>
      </c>
      <c r="I1310" t="s">
        <v>17</v>
      </c>
      <c r="J1310" t="s">
        <v>18</v>
      </c>
      <c r="K1310">
        <v>10.5</v>
      </c>
      <c r="O1310">
        <v>21.99</v>
      </c>
    </row>
    <row r="1311" spans="1:15" x14ac:dyDescent="0.35">
      <c r="A1311" t="s">
        <v>1684</v>
      </c>
      <c r="B1311">
        <v>1</v>
      </c>
      <c r="C1311">
        <v>30.99</v>
      </c>
      <c r="D1311">
        <v>30.99</v>
      </c>
      <c r="E1311" s="6">
        <v>46263</v>
      </c>
      <c r="F1311" t="s">
        <v>1720</v>
      </c>
      <c r="G1311" t="s">
        <v>28</v>
      </c>
      <c r="H1311">
        <v>0</v>
      </c>
      <c r="I1311" t="s">
        <v>12</v>
      </c>
      <c r="J1311" t="s">
        <v>18</v>
      </c>
      <c r="K1311">
        <v>10.5</v>
      </c>
      <c r="O1311">
        <v>21.99</v>
      </c>
    </row>
    <row r="1312" spans="1:15" x14ac:dyDescent="0.35">
      <c r="A1312" t="s">
        <v>1685</v>
      </c>
      <c r="B1312">
        <v>1</v>
      </c>
      <c r="C1312">
        <v>21.99</v>
      </c>
      <c r="D1312">
        <v>21.99</v>
      </c>
      <c r="E1312" t="s">
        <v>33</v>
      </c>
      <c r="F1312" t="s">
        <v>1721</v>
      </c>
      <c r="G1312" t="s">
        <v>16</v>
      </c>
      <c r="H1312">
        <v>3</v>
      </c>
      <c r="I1312" t="s">
        <v>24</v>
      </c>
      <c r="J1312" t="s">
        <v>13</v>
      </c>
      <c r="K1312">
        <v>7</v>
      </c>
      <c r="O1312">
        <v>21.99</v>
      </c>
    </row>
    <row r="1313" spans="1:15" x14ac:dyDescent="0.35">
      <c r="A1313" t="s">
        <v>1686</v>
      </c>
      <c r="B1313">
        <v>1</v>
      </c>
      <c r="C1313">
        <v>16.989999999999998</v>
      </c>
      <c r="D1313">
        <v>16.989999999999998</v>
      </c>
      <c r="E1313" t="s">
        <v>657</v>
      </c>
      <c r="F1313" t="s">
        <v>1722</v>
      </c>
      <c r="G1313" t="s">
        <v>16</v>
      </c>
      <c r="H1313">
        <v>20</v>
      </c>
      <c r="I1313" t="s">
        <v>17</v>
      </c>
      <c r="J1313" t="s">
        <v>25</v>
      </c>
      <c r="K1313">
        <v>5</v>
      </c>
      <c r="O1313">
        <v>21.99</v>
      </c>
    </row>
    <row r="1314" spans="1:15" x14ac:dyDescent="0.35">
      <c r="A1314" t="s">
        <v>1687</v>
      </c>
      <c r="B1314">
        <v>1</v>
      </c>
      <c r="C1314">
        <v>21.99</v>
      </c>
      <c r="D1314">
        <v>21.99</v>
      </c>
      <c r="E1314" t="s">
        <v>841</v>
      </c>
      <c r="F1314" t="s">
        <v>1723</v>
      </c>
      <c r="G1314" t="s">
        <v>16</v>
      </c>
      <c r="H1314">
        <v>2</v>
      </c>
      <c r="I1314" t="s">
        <v>17</v>
      </c>
      <c r="J1314" t="s">
        <v>13</v>
      </c>
      <c r="K1314">
        <v>7</v>
      </c>
      <c r="O1314">
        <v>21.99</v>
      </c>
    </row>
    <row r="1315" spans="1:15" x14ac:dyDescent="0.35">
      <c r="A1315" t="s">
        <v>1688</v>
      </c>
      <c r="B1315">
        <v>1</v>
      </c>
      <c r="C1315">
        <v>16.989999999999998</v>
      </c>
      <c r="D1315">
        <v>16.989999999999998</v>
      </c>
      <c r="E1315" t="s">
        <v>1367</v>
      </c>
      <c r="F1315" t="s">
        <v>1724</v>
      </c>
      <c r="G1315" t="s">
        <v>16</v>
      </c>
      <c r="H1315">
        <v>16</v>
      </c>
      <c r="I1315" t="s">
        <v>24</v>
      </c>
      <c r="J1315" t="s">
        <v>25</v>
      </c>
      <c r="K1315">
        <v>5</v>
      </c>
      <c r="O1315">
        <v>21.99</v>
      </c>
    </row>
    <row r="1316" spans="1:15" x14ac:dyDescent="0.35">
      <c r="A1316" t="s">
        <v>1689</v>
      </c>
      <c r="B1316">
        <v>3</v>
      </c>
      <c r="C1316">
        <v>34.99</v>
      </c>
      <c r="D1316">
        <v>83.92</v>
      </c>
      <c r="E1316" t="s">
        <v>10</v>
      </c>
      <c r="F1316" t="s">
        <v>1725</v>
      </c>
      <c r="G1316" t="s">
        <v>16</v>
      </c>
      <c r="H1316">
        <v>5</v>
      </c>
      <c r="I1316" t="s">
        <v>24</v>
      </c>
      <c r="J1316" t="s">
        <v>36</v>
      </c>
      <c r="K1316">
        <v>12.5</v>
      </c>
      <c r="O1316">
        <v>84.73</v>
      </c>
    </row>
    <row r="1317" spans="1:15" x14ac:dyDescent="0.35">
      <c r="A1317" t="s">
        <v>1690</v>
      </c>
      <c r="B1317">
        <v>1</v>
      </c>
      <c r="C1317">
        <v>30.99</v>
      </c>
      <c r="D1317">
        <v>30.99</v>
      </c>
      <c r="E1317" t="s">
        <v>439</v>
      </c>
      <c r="F1317" t="s">
        <v>1726</v>
      </c>
      <c r="G1317" t="s">
        <v>16</v>
      </c>
      <c r="H1317">
        <v>2</v>
      </c>
      <c r="I1317" t="s">
        <v>12</v>
      </c>
      <c r="J1317" t="s">
        <v>18</v>
      </c>
      <c r="K1317">
        <v>10.5</v>
      </c>
      <c r="O1317">
        <v>21.99</v>
      </c>
    </row>
    <row r="1318" spans="1:15" x14ac:dyDescent="0.35">
      <c r="A1318" t="s">
        <v>1691</v>
      </c>
      <c r="B1318">
        <v>1</v>
      </c>
      <c r="C1318">
        <v>16.989999999999998</v>
      </c>
      <c r="D1318">
        <v>16.989999999999998</v>
      </c>
      <c r="E1318" t="s">
        <v>1326</v>
      </c>
      <c r="F1318" t="s">
        <v>1727</v>
      </c>
      <c r="G1318" t="s">
        <v>87</v>
      </c>
      <c r="H1318">
        <v>0</v>
      </c>
      <c r="I1318" t="s">
        <v>17</v>
      </c>
      <c r="J1318" t="s">
        <v>25</v>
      </c>
      <c r="K1318">
        <v>5</v>
      </c>
      <c r="O1318">
        <v>21.99</v>
      </c>
    </row>
    <row r="1319" spans="1:15" x14ac:dyDescent="0.35">
      <c r="A1319" t="s">
        <v>1692</v>
      </c>
      <c r="B1319">
        <v>1</v>
      </c>
      <c r="C1319">
        <v>18.989999999999998</v>
      </c>
      <c r="D1319">
        <v>18.989999999999998</v>
      </c>
      <c r="E1319" t="s">
        <v>801</v>
      </c>
      <c r="F1319" t="s">
        <v>1728</v>
      </c>
      <c r="G1319" t="s">
        <v>16</v>
      </c>
      <c r="H1319">
        <v>11</v>
      </c>
      <c r="I1319" t="s">
        <v>12</v>
      </c>
      <c r="J1319" t="s">
        <v>42</v>
      </c>
      <c r="K1319">
        <v>6</v>
      </c>
      <c r="O1319">
        <v>21.99</v>
      </c>
    </row>
    <row r="1320" spans="1:15" x14ac:dyDescent="0.35">
      <c r="A1320" t="s">
        <v>1693</v>
      </c>
      <c r="B1320">
        <v>1</v>
      </c>
      <c r="C1320">
        <v>18.989999999999998</v>
      </c>
      <c r="D1320">
        <v>18.989999999999998</v>
      </c>
      <c r="E1320" t="s">
        <v>320</v>
      </c>
      <c r="F1320" t="s">
        <v>1717</v>
      </c>
      <c r="G1320" t="s">
        <v>16</v>
      </c>
      <c r="H1320">
        <v>12</v>
      </c>
      <c r="I1320" t="s">
        <v>41</v>
      </c>
      <c r="J1320" t="s">
        <v>42</v>
      </c>
      <c r="K1320">
        <v>6</v>
      </c>
      <c r="O1320">
        <v>21.99</v>
      </c>
    </row>
    <row r="1321" spans="1:15" x14ac:dyDescent="0.35">
      <c r="A1321" t="s">
        <v>1694</v>
      </c>
      <c r="B1321">
        <v>1</v>
      </c>
      <c r="C1321">
        <v>34.99</v>
      </c>
      <c r="D1321">
        <v>34.99</v>
      </c>
      <c r="E1321" t="s">
        <v>1119</v>
      </c>
      <c r="F1321" t="s">
        <v>1718</v>
      </c>
      <c r="G1321" t="s">
        <v>21</v>
      </c>
      <c r="H1321">
        <v>0</v>
      </c>
      <c r="I1321" t="s">
        <v>12</v>
      </c>
      <c r="J1321" t="s">
        <v>36</v>
      </c>
      <c r="K1321">
        <v>12.5</v>
      </c>
      <c r="O1321">
        <v>21.99</v>
      </c>
    </row>
    <row r="1322" spans="1:15" x14ac:dyDescent="0.35">
      <c r="A1322" t="s">
        <v>1695</v>
      </c>
      <c r="B1322">
        <v>1</v>
      </c>
      <c r="C1322">
        <v>30.99</v>
      </c>
      <c r="D1322">
        <v>30.99</v>
      </c>
      <c r="E1322" s="6">
        <v>46317</v>
      </c>
      <c r="F1322" t="s">
        <v>1719</v>
      </c>
      <c r="G1322" t="s">
        <v>16</v>
      </c>
      <c r="H1322">
        <v>3</v>
      </c>
      <c r="I1322" t="s">
        <v>17</v>
      </c>
      <c r="J1322" t="s">
        <v>18</v>
      </c>
      <c r="K1322">
        <v>10.5</v>
      </c>
      <c r="O1322">
        <v>21.99</v>
      </c>
    </row>
    <row r="1323" spans="1:15" x14ac:dyDescent="0.35">
      <c r="A1323" t="s">
        <v>1318</v>
      </c>
      <c r="B1323">
        <v>1</v>
      </c>
      <c r="C1323">
        <v>27.99</v>
      </c>
      <c r="D1323">
        <v>27.99</v>
      </c>
      <c r="E1323" t="s">
        <v>1319</v>
      </c>
      <c r="F1323" t="s">
        <v>1720</v>
      </c>
      <c r="G1323" t="s">
        <v>21</v>
      </c>
      <c r="H1323">
        <v>0</v>
      </c>
      <c r="I1323" t="s">
        <v>12</v>
      </c>
      <c r="J1323" t="s">
        <v>31</v>
      </c>
      <c r="K1323">
        <v>9</v>
      </c>
      <c r="O1323">
        <v>21.99</v>
      </c>
    </row>
    <row r="1324" spans="1:15" x14ac:dyDescent="0.35">
      <c r="A1324" t="s">
        <v>1620</v>
      </c>
      <c r="B1324">
        <v>1</v>
      </c>
      <c r="C1324">
        <v>34.99</v>
      </c>
      <c r="D1324">
        <v>34.99</v>
      </c>
      <c r="E1324" t="s">
        <v>50</v>
      </c>
      <c r="F1324" t="s">
        <v>1721</v>
      </c>
      <c r="G1324" t="s">
        <v>16</v>
      </c>
      <c r="H1324">
        <v>5</v>
      </c>
      <c r="I1324" t="s">
        <v>17</v>
      </c>
      <c r="J1324" t="s">
        <v>36</v>
      </c>
      <c r="K1324">
        <v>12.5</v>
      </c>
      <c r="O1324">
        <v>21.99</v>
      </c>
    </row>
    <row r="1325" spans="1:15" x14ac:dyDescent="0.35">
      <c r="A1325" t="s">
        <v>1511</v>
      </c>
      <c r="B1325">
        <v>1</v>
      </c>
      <c r="C1325">
        <v>30.99</v>
      </c>
      <c r="D1325">
        <v>30.99</v>
      </c>
      <c r="E1325" t="s">
        <v>730</v>
      </c>
      <c r="F1325" t="s">
        <v>1722</v>
      </c>
      <c r="G1325" t="s">
        <v>16</v>
      </c>
      <c r="H1325">
        <v>3</v>
      </c>
      <c r="I1325" t="s">
        <v>17</v>
      </c>
      <c r="J1325" t="s">
        <v>18</v>
      </c>
      <c r="K1325">
        <v>10.5</v>
      </c>
      <c r="O1325">
        <v>21.99</v>
      </c>
    </row>
    <row r="1326" spans="1:15" x14ac:dyDescent="0.35">
      <c r="A1326" t="s">
        <v>698</v>
      </c>
      <c r="B1326">
        <v>1</v>
      </c>
      <c r="C1326">
        <v>18.989999999999998</v>
      </c>
      <c r="D1326">
        <v>18.989999999999998</v>
      </c>
      <c r="E1326" t="s">
        <v>699</v>
      </c>
      <c r="F1326" t="s">
        <v>1723</v>
      </c>
      <c r="G1326" t="s">
        <v>21</v>
      </c>
      <c r="H1326">
        <v>0</v>
      </c>
      <c r="I1326" t="s">
        <v>41</v>
      </c>
      <c r="J1326" t="s">
        <v>42</v>
      </c>
      <c r="K1326">
        <v>6</v>
      </c>
      <c r="O1326">
        <v>21.99</v>
      </c>
    </row>
    <row r="1327" spans="1:15" x14ac:dyDescent="0.35">
      <c r="A1327" t="s">
        <v>1271</v>
      </c>
      <c r="B1327">
        <v>1</v>
      </c>
      <c r="C1327">
        <v>16.989999999999998</v>
      </c>
      <c r="D1327">
        <v>16.989999999999998</v>
      </c>
      <c r="E1327" t="s">
        <v>1272</v>
      </c>
      <c r="F1327" t="s">
        <v>1724</v>
      </c>
      <c r="G1327" t="s">
        <v>21</v>
      </c>
      <c r="H1327">
        <v>0</v>
      </c>
      <c r="I1327" t="s">
        <v>17</v>
      </c>
      <c r="J1327" t="s">
        <v>25</v>
      </c>
      <c r="K1327">
        <v>5</v>
      </c>
      <c r="O1327">
        <v>21.99</v>
      </c>
    </row>
    <row r="1328" spans="1:15" x14ac:dyDescent="0.35">
      <c r="A1328" t="s">
        <v>1245</v>
      </c>
      <c r="B1328">
        <v>1</v>
      </c>
      <c r="C1328">
        <v>18.989999999999998</v>
      </c>
      <c r="D1328">
        <v>18.989999999999998</v>
      </c>
      <c r="E1328" s="6">
        <v>46140</v>
      </c>
      <c r="F1328" t="s">
        <v>1725</v>
      </c>
      <c r="G1328" t="s">
        <v>16</v>
      </c>
      <c r="H1328">
        <v>14</v>
      </c>
      <c r="I1328" t="s">
        <v>41</v>
      </c>
      <c r="J1328" t="s">
        <v>42</v>
      </c>
      <c r="K1328">
        <v>6</v>
      </c>
      <c r="O1328">
        <v>21.99</v>
      </c>
    </row>
    <row r="1329" spans="1:15" x14ac:dyDescent="0.35">
      <c r="A1329" t="s">
        <v>1163</v>
      </c>
      <c r="B1329">
        <v>1</v>
      </c>
      <c r="C1329">
        <v>34.99</v>
      </c>
      <c r="D1329">
        <v>34.99</v>
      </c>
      <c r="E1329" t="s">
        <v>443</v>
      </c>
      <c r="F1329" t="s">
        <v>1726</v>
      </c>
      <c r="G1329" t="s">
        <v>16</v>
      </c>
      <c r="H1329">
        <v>12</v>
      </c>
      <c r="I1329" t="s">
        <v>41</v>
      </c>
      <c r="J1329" t="s">
        <v>36</v>
      </c>
      <c r="K1329">
        <v>12.5</v>
      </c>
      <c r="O1329">
        <v>21.99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58C4-DE42-4F17-ADAA-87C811966769}">
  <dimension ref="A3:H31"/>
  <sheetViews>
    <sheetView topLeftCell="A10" zoomScale="73" workbookViewId="0">
      <selection activeCell="H17" sqref="H17:H18"/>
    </sheetView>
  </sheetViews>
  <sheetFormatPr defaultRowHeight="14.5" x14ac:dyDescent="0.35"/>
  <cols>
    <col min="1" max="1" width="19.453125" customWidth="1"/>
    <col min="2" max="2" width="14.54296875" customWidth="1"/>
    <col min="3" max="3" width="17.7265625" customWidth="1"/>
    <col min="4" max="4" width="30" bestFit="1" customWidth="1"/>
    <col min="5" max="5" width="16.26953125" bestFit="1" customWidth="1"/>
    <col min="7" max="7" width="15.7265625" bestFit="1" customWidth="1"/>
    <col min="8" max="8" width="15.54296875" bestFit="1" customWidth="1"/>
  </cols>
  <sheetData>
    <row r="3" spans="1:8" ht="16" x14ac:dyDescent="0.4">
      <c r="A3" s="10" t="s">
        <v>1714</v>
      </c>
      <c r="B3" s="11" t="s">
        <v>1715</v>
      </c>
      <c r="C3" s="10" t="s">
        <v>1716</v>
      </c>
      <c r="G3" s="3" t="s">
        <v>1711</v>
      </c>
      <c r="H3" t="s">
        <v>1712</v>
      </c>
    </row>
    <row r="4" spans="1:8" ht="16" x14ac:dyDescent="0.4">
      <c r="A4" s="9">
        <v>1326</v>
      </c>
      <c r="B4" s="9">
        <v>46009.679999999855</v>
      </c>
      <c r="C4" s="9">
        <v>1998</v>
      </c>
      <c r="G4" s="4" t="s">
        <v>12</v>
      </c>
      <c r="H4">
        <v>11274.369999999959</v>
      </c>
    </row>
    <row r="5" spans="1:8" x14ac:dyDescent="0.35">
      <c r="G5" s="4" t="s">
        <v>24</v>
      </c>
      <c r="H5">
        <v>12173.889999999963</v>
      </c>
    </row>
    <row r="6" spans="1:8" x14ac:dyDescent="0.35">
      <c r="G6" s="4" t="s">
        <v>17</v>
      </c>
      <c r="H6">
        <v>11741.609999999959</v>
      </c>
    </row>
    <row r="7" spans="1:8" x14ac:dyDescent="0.35">
      <c r="A7" s="3" t="s">
        <v>1729</v>
      </c>
      <c r="B7" t="s">
        <v>1712</v>
      </c>
      <c r="G7" s="4" t="s">
        <v>41</v>
      </c>
      <c r="H7">
        <v>10819.80999999997</v>
      </c>
    </row>
    <row r="8" spans="1:8" x14ac:dyDescent="0.35">
      <c r="A8" s="4" t="s">
        <v>1717</v>
      </c>
      <c r="B8">
        <v>3417.709999999995</v>
      </c>
      <c r="G8" s="4" t="s">
        <v>1708</v>
      </c>
      <c r="H8">
        <v>46009.679999999847</v>
      </c>
    </row>
    <row r="9" spans="1:8" x14ac:dyDescent="0.35">
      <c r="A9" s="4" t="s">
        <v>1718</v>
      </c>
      <c r="B9">
        <v>3634.3999999999942</v>
      </c>
    </row>
    <row r="10" spans="1:8" x14ac:dyDescent="0.35">
      <c r="A10" s="4" t="s">
        <v>1719</v>
      </c>
      <c r="B10">
        <v>3320.5499999999934</v>
      </c>
    </row>
    <row r="11" spans="1:8" x14ac:dyDescent="0.35">
      <c r="A11" s="4" t="s">
        <v>1720</v>
      </c>
      <c r="B11">
        <v>3613.0899999999929</v>
      </c>
    </row>
    <row r="12" spans="1:8" x14ac:dyDescent="0.35">
      <c r="A12" s="4" t="s">
        <v>1721</v>
      </c>
      <c r="B12">
        <v>3463.5499999999934</v>
      </c>
    </row>
    <row r="13" spans="1:8" x14ac:dyDescent="0.35">
      <c r="A13" s="4" t="s">
        <v>1722</v>
      </c>
      <c r="B13">
        <v>5099.1099999999888</v>
      </c>
    </row>
    <row r="14" spans="1:8" x14ac:dyDescent="0.35">
      <c r="A14" s="4" t="s">
        <v>1723</v>
      </c>
      <c r="B14">
        <v>4875.4799999999923</v>
      </c>
    </row>
    <row r="15" spans="1:8" x14ac:dyDescent="0.35">
      <c r="A15" s="4" t="s">
        <v>1724</v>
      </c>
      <c r="B15">
        <v>3944.8899999999931</v>
      </c>
    </row>
    <row r="16" spans="1:8" x14ac:dyDescent="0.35">
      <c r="A16" s="4" t="s">
        <v>1725</v>
      </c>
      <c r="B16">
        <v>3603.6099999999938</v>
      </c>
    </row>
    <row r="17" spans="1:8" ht="16" x14ac:dyDescent="0.4">
      <c r="A17" s="4" t="s">
        <v>1726</v>
      </c>
      <c r="B17">
        <v>3801.3199999999933</v>
      </c>
      <c r="D17" s="3" t="s">
        <v>1730</v>
      </c>
      <c r="E17" t="s">
        <v>1712</v>
      </c>
      <c r="G17" s="11" t="s">
        <v>1733</v>
      </c>
      <c r="H17" s="11" t="s">
        <v>1734</v>
      </c>
    </row>
    <row r="18" spans="1:8" x14ac:dyDescent="0.35">
      <c r="A18" s="4" t="s">
        <v>1727</v>
      </c>
      <c r="B18">
        <v>3595.4799999999946</v>
      </c>
      <c r="D18" s="4" t="s">
        <v>18</v>
      </c>
      <c r="E18">
        <v>9618.409999999978</v>
      </c>
      <c r="G18" s="8">
        <v>11118.5</v>
      </c>
      <c r="H18" s="8">
        <v>33704.740000000827</v>
      </c>
    </row>
    <row r="19" spans="1:8" x14ac:dyDescent="0.35">
      <c r="A19" s="4" t="s">
        <v>1728</v>
      </c>
      <c r="B19">
        <v>3640.4899999999961</v>
      </c>
      <c r="D19" s="4" t="s">
        <v>13</v>
      </c>
      <c r="E19">
        <v>6123.669999999981</v>
      </c>
    </row>
    <row r="20" spans="1:8" x14ac:dyDescent="0.35">
      <c r="A20" s="4" t="s">
        <v>1708</v>
      </c>
      <c r="B20">
        <v>46009.679999999928</v>
      </c>
      <c r="D20" s="4" t="s">
        <v>25</v>
      </c>
      <c r="E20">
        <v>4537.439999999985</v>
      </c>
    </row>
    <row r="21" spans="1:8" x14ac:dyDescent="0.35">
      <c r="D21" s="4" t="s">
        <v>36</v>
      </c>
      <c r="E21">
        <v>11582.269999999973</v>
      </c>
    </row>
    <row r="22" spans="1:8" x14ac:dyDescent="0.35">
      <c r="D22" s="4" t="s">
        <v>42</v>
      </c>
      <c r="E22">
        <v>6369.2799999999761</v>
      </c>
    </row>
    <row r="23" spans="1:8" x14ac:dyDescent="0.35">
      <c r="D23" s="4" t="s">
        <v>31</v>
      </c>
      <c r="E23">
        <v>7778.6099999999788</v>
      </c>
    </row>
    <row r="24" spans="1:8" x14ac:dyDescent="0.35">
      <c r="D24" s="4" t="s">
        <v>1708</v>
      </c>
      <c r="E24">
        <v>46009.679999999869</v>
      </c>
    </row>
    <row r="25" spans="1:8" x14ac:dyDescent="0.35">
      <c r="A25" s="3" t="s">
        <v>1731</v>
      </c>
      <c r="B25" t="s">
        <v>1713</v>
      </c>
      <c r="C25" t="s">
        <v>1709</v>
      </c>
    </row>
    <row r="26" spans="1:8" x14ac:dyDescent="0.35">
      <c r="A26" s="4" t="s">
        <v>28</v>
      </c>
      <c r="B26">
        <v>96</v>
      </c>
      <c r="C26">
        <v>146</v>
      </c>
    </row>
    <row r="27" spans="1:8" x14ac:dyDescent="0.35">
      <c r="A27" s="4" t="s">
        <v>11</v>
      </c>
      <c r="B27">
        <v>102</v>
      </c>
      <c r="C27">
        <v>149</v>
      </c>
    </row>
    <row r="28" spans="1:8" x14ac:dyDescent="0.35">
      <c r="A28" s="4" t="s">
        <v>21</v>
      </c>
      <c r="B28">
        <v>244</v>
      </c>
      <c r="C28">
        <v>353</v>
      </c>
    </row>
    <row r="29" spans="1:8" x14ac:dyDescent="0.35">
      <c r="A29" s="4" t="s">
        <v>16</v>
      </c>
      <c r="B29">
        <v>768</v>
      </c>
      <c r="C29">
        <v>1164</v>
      </c>
    </row>
    <row r="30" spans="1:8" x14ac:dyDescent="0.35">
      <c r="A30" s="4" t="s">
        <v>87</v>
      </c>
      <c r="B30">
        <v>116</v>
      </c>
      <c r="C30">
        <v>186</v>
      </c>
    </row>
    <row r="31" spans="1:8" x14ac:dyDescent="0.35">
      <c r="A31" s="4" t="s">
        <v>1708</v>
      </c>
      <c r="B31">
        <v>1326</v>
      </c>
      <c r="C31">
        <v>1998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CE15-CFC6-442B-8000-A77007820CCC}">
  <dimension ref="T12"/>
  <sheetViews>
    <sheetView tabSelected="1" zoomScale="78" workbookViewId="0">
      <selection activeCell="S25" sqref="S25"/>
    </sheetView>
  </sheetViews>
  <sheetFormatPr defaultRowHeight="14.5" x14ac:dyDescent="0.35"/>
  <sheetData>
    <row r="12" spans="20:20" x14ac:dyDescent="0.35">
      <c r="T1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6149-BA88-4E74-A9BE-FCBF34EC6352}">
  <dimension ref="A1:O1327"/>
  <sheetViews>
    <sheetView topLeftCell="H3" zoomScale="103" workbookViewId="0">
      <selection activeCell="E11" sqref="E11"/>
    </sheetView>
  </sheetViews>
  <sheetFormatPr defaultRowHeight="14.5" x14ac:dyDescent="0.35"/>
  <cols>
    <col min="1" max="1" width="9.90625" bestFit="1" customWidth="1"/>
    <col min="2" max="2" width="10.08984375" bestFit="1" customWidth="1"/>
    <col min="3" max="3" width="11.54296875" bestFit="1" customWidth="1"/>
    <col min="4" max="5" width="12" bestFit="1" customWidth="1"/>
    <col min="6" max="6" width="10.453125" bestFit="1" customWidth="1"/>
    <col min="7" max="7" width="14.453125" bestFit="1" customWidth="1"/>
    <col min="8" max="8" width="17.81640625" bestFit="1" customWidth="1"/>
    <col min="9" max="9" width="29.08984375" bestFit="1" customWidth="1"/>
    <col min="10" max="10" width="19.08984375" customWidth="1"/>
    <col min="11" max="11" width="17.6328125" customWidth="1"/>
    <col min="12" max="12" width="11.08984375" customWidth="1"/>
    <col min="13" max="13" width="13.81640625" customWidth="1"/>
    <col min="14" max="14" width="11.7265625" customWidth="1"/>
  </cols>
  <sheetData>
    <row r="1" spans="1:15" x14ac:dyDescent="0.35">
      <c r="A1" t="s">
        <v>0</v>
      </c>
      <c r="B1" t="s">
        <v>1</v>
      </c>
      <c r="C1" t="s">
        <v>2</v>
      </c>
      <c r="D1" t="s">
        <v>3</v>
      </c>
      <c r="E1" t="s">
        <v>4</v>
      </c>
      <c r="F1" t="s">
        <v>1710</v>
      </c>
      <c r="G1" t="s">
        <v>5</v>
      </c>
      <c r="H1" t="s">
        <v>6</v>
      </c>
      <c r="I1" t="s">
        <v>1711</v>
      </c>
      <c r="J1" t="s">
        <v>7</v>
      </c>
      <c r="K1" t="s">
        <v>8</v>
      </c>
      <c r="L1" s="1" t="s">
        <v>1696</v>
      </c>
      <c r="M1" s="1" t="s">
        <v>1698</v>
      </c>
      <c r="N1" s="1" t="s">
        <v>1706</v>
      </c>
      <c r="O1" t="s">
        <v>1707</v>
      </c>
    </row>
    <row r="2" spans="1:15" x14ac:dyDescent="0.35">
      <c r="A2" t="s">
        <v>9</v>
      </c>
      <c r="B2">
        <v>2</v>
      </c>
      <c r="C2">
        <v>21.99</v>
      </c>
      <c r="D2">
        <v>37.979999999999997</v>
      </c>
      <c r="E2" t="s">
        <v>10</v>
      </c>
      <c r="F2" t="str">
        <f>TEXT(E2,"mmm")</f>
        <v>Jul</v>
      </c>
      <c r="G2" t="s">
        <v>11</v>
      </c>
      <c r="H2">
        <v>2</v>
      </c>
      <c r="I2" t="s">
        <v>12</v>
      </c>
      <c r="J2" t="s">
        <v>13</v>
      </c>
      <c r="K2">
        <v>7</v>
      </c>
      <c r="L2">
        <f>SUM(D:D)</f>
        <v>46009.679999999855</v>
      </c>
      <c r="M2" s="2" t="s">
        <v>1697</v>
      </c>
      <c r="N2" t="e">
        <f>INDEX(D:D,MATCH("Nequi",H:H,0))</f>
        <v>#N/A</v>
      </c>
      <c r="O2">
        <f t="shared" ref="O2:O65" si="0">VLOOKUP(B:B,B:H,3,FALSE)</f>
        <v>37.979999999999997</v>
      </c>
    </row>
    <row r="3" spans="1:15" x14ac:dyDescent="0.35">
      <c r="A3" t="s">
        <v>14</v>
      </c>
      <c r="B3">
        <v>2</v>
      </c>
      <c r="C3">
        <v>30.99</v>
      </c>
      <c r="D3">
        <v>53.78</v>
      </c>
      <c r="E3" t="s">
        <v>15</v>
      </c>
      <c r="F3" t="str">
        <f t="shared" ref="F3:F66" si="1">TEXT(E3,"mmm")</f>
        <v>Jul</v>
      </c>
      <c r="G3" t="s">
        <v>16</v>
      </c>
      <c r="H3">
        <v>3</v>
      </c>
      <c r="I3" t="s">
        <v>17</v>
      </c>
      <c r="J3" t="s">
        <v>18</v>
      </c>
      <c r="K3">
        <v>10.5</v>
      </c>
      <c r="L3">
        <f>MIN(D:D)</f>
        <v>16.989999999999998</v>
      </c>
      <c r="M3" s="2" t="s">
        <v>1699</v>
      </c>
      <c r="O3">
        <f t="shared" si="0"/>
        <v>37.979999999999997</v>
      </c>
    </row>
    <row r="4" spans="1:15" x14ac:dyDescent="0.35">
      <c r="A4" t="s">
        <v>19</v>
      </c>
      <c r="B4">
        <v>1</v>
      </c>
      <c r="C4">
        <v>21.99</v>
      </c>
      <c r="D4">
        <v>21.99</v>
      </c>
      <c r="E4" t="s">
        <v>20</v>
      </c>
      <c r="F4" t="str">
        <f t="shared" si="1"/>
        <v>Jul</v>
      </c>
      <c r="G4" t="s">
        <v>21</v>
      </c>
      <c r="H4">
        <v>0</v>
      </c>
      <c r="I4" t="s">
        <v>17</v>
      </c>
      <c r="J4" t="s">
        <v>13</v>
      </c>
      <c r="K4">
        <v>7</v>
      </c>
      <c r="L4">
        <f>MAX(D:D)</f>
        <v>84.97</v>
      </c>
      <c r="M4" s="2" t="s">
        <v>1700</v>
      </c>
      <c r="O4">
        <f t="shared" si="0"/>
        <v>21.99</v>
      </c>
    </row>
    <row r="5" spans="1:15" x14ac:dyDescent="0.35">
      <c r="A5" t="s">
        <v>22</v>
      </c>
      <c r="B5">
        <v>2</v>
      </c>
      <c r="C5">
        <v>16.989999999999998</v>
      </c>
      <c r="D5">
        <v>29.18</v>
      </c>
      <c r="E5" t="s">
        <v>23</v>
      </c>
      <c r="F5" t="str">
        <f t="shared" si="1"/>
        <v>Jul</v>
      </c>
      <c r="G5" t="s">
        <v>16</v>
      </c>
      <c r="H5">
        <v>19</v>
      </c>
      <c r="I5" t="s">
        <v>24</v>
      </c>
      <c r="J5" t="s">
        <v>25</v>
      </c>
      <c r="K5">
        <v>5</v>
      </c>
      <c r="L5">
        <f>AVERAGE(D:D)</f>
        <v>34.698099547511205</v>
      </c>
      <c r="M5" s="2" t="s">
        <v>1701</v>
      </c>
      <c r="O5">
        <f t="shared" si="0"/>
        <v>37.979999999999997</v>
      </c>
    </row>
    <row r="6" spans="1:15" x14ac:dyDescent="0.35">
      <c r="A6" t="s">
        <v>26</v>
      </c>
      <c r="B6">
        <v>1</v>
      </c>
      <c r="C6">
        <v>16.989999999999998</v>
      </c>
      <c r="D6">
        <v>16.989999999999998</v>
      </c>
      <c r="E6" t="s">
        <v>27</v>
      </c>
      <c r="F6" t="str">
        <f t="shared" si="1"/>
        <v>Jul</v>
      </c>
      <c r="G6" t="s">
        <v>28</v>
      </c>
      <c r="H6">
        <v>0</v>
      </c>
      <c r="I6" t="s">
        <v>24</v>
      </c>
      <c r="J6" t="s">
        <v>25</v>
      </c>
      <c r="K6">
        <v>5</v>
      </c>
      <c r="L6">
        <f>COUNT(D:D)</f>
        <v>1326</v>
      </c>
      <c r="M6" s="2" t="s">
        <v>1702</v>
      </c>
      <c r="O6">
        <f t="shared" si="0"/>
        <v>21.99</v>
      </c>
    </row>
    <row r="7" spans="1:15" x14ac:dyDescent="0.35">
      <c r="A7" t="s">
        <v>29</v>
      </c>
      <c r="B7">
        <v>1</v>
      </c>
      <c r="C7">
        <v>27.99</v>
      </c>
      <c r="D7">
        <v>27.99</v>
      </c>
      <c r="E7" t="s">
        <v>30</v>
      </c>
      <c r="F7" t="str">
        <f t="shared" si="1"/>
        <v>Jun</v>
      </c>
      <c r="G7" t="s">
        <v>16</v>
      </c>
      <c r="H7">
        <v>3</v>
      </c>
      <c r="I7" t="s">
        <v>12</v>
      </c>
      <c r="J7" t="s">
        <v>31</v>
      </c>
      <c r="K7">
        <v>9</v>
      </c>
      <c r="L7">
        <f>COUNTIF(D:D,"&gt;=30")</f>
        <v>699</v>
      </c>
      <c r="M7" s="2" t="s">
        <v>1703</v>
      </c>
      <c r="O7">
        <f t="shared" si="0"/>
        <v>21.99</v>
      </c>
    </row>
    <row r="8" spans="1:15" x14ac:dyDescent="0.35">
      <c r="A8" t="s">
        <v>32</v>
      </c>
      <c r="B8">
        <v>1</v>
      </c>
      <c r="C8">
        <v>30.99</v>
      </c>
      <c r="D8">
        <v>30.99</v>
      </c>
      <c r="E8" t="s">
        <v>33</v>
      </c>
      <c r="F8" t="str">
        <f t="shared" si="1"/>
        <v>Jun</v>
      </c>
      <c r="G8" t="s">
        <v>16</v>
      </c>
      <c r="H8">
        <v>2</v>
      </c>
      <c r="I8" t="s">
        <v>17</v>
      </c>
      <c r="J8" t="s">
        <v>18</v>
      </c>
      <c r="K8">
        <v>10.5</v>
      </c>
      <c r="L8">
        <f>COUNTIF(H:H,"=Nequi")</f>
        <v>0</v>
      </c>
      <c r="M8" s="2" t="s">
        <v>1705</v>
      </c>
      <c r="O8">
        <f t="shared" si="0"/>
        <v>21.99</v>
      </c>
    </row>
    <row r="9" spans="1:15" x14ac:dyDescent="0.35">
      <c r="A9" t="s">
        <v>34</v>
      </c>
      <c r="B9">
        <v>3</v>
      </c>
      <c r="C9">
        <v>34.99</v>
      </c>
      <c r="D9">
        <v>84.73</v>
      </c>
      <c r="E9" t="s">
        <v>35</v>
      </c>
      <c r="F9" t="str">
        <f t="shared" si="1"/>
        <v>Jun</v>
      </c>
      <c r="G9" t="s">
        <v>28</v>
      </c>
      <c r="H9">
        <v>0</v>
      </c>
      <c r="I9" t="s">
        <v>12</v>
      </c>
      <c r="J9" t="s">
        <v>36</v>
      </c>
      <c r="K9">
        <v>12.5</v>
      </c>
      <c r="L9">
        <f>SUMIF(F:F,"Entregado",G:G)</f>
        <v>0</v>
      </c>
      <c r="M9" s="2" t="s">
        <v>1704</v>
      </c>
      <c r="O9">
        <f t="shared" si="0"/>
        <v>84.73</v>
      </c>
    </row>
    <row r="10" spans="1:15" x14ac:dyDescent="0.35">
      <c r="A10" t="s">
        <v>37</v>
      </c>
      <c r="B10">
        <v>1</v>
      </c>
      <c r="C10">
        <v>21.99</v>
      </c>
      <c r="D10">
        <v>21.99</v>
      </c>
      <c r="E10" t="s">
        <v>38</v>
      </c>
      <c r="F10" t="str">
        <f t="shared" si="1"/>
        <v>Jul</v>
      </c>
      <c r="G10" t="s">
        <v>16</v>
      </c>
      <c r="H10">
        <v>3</v>
      </c>
      <c r="I10" t="s">
        <v>24</v>
      </c>
      <c r="J10" t="s">
        <v>13</v>
      </c>
      <c r="K10">
        <v>7</v>
      </c>
      <c r="O10">
        <f t="shared" si="0"/>
        <v>21.99</v>
      </c>
    </row>
    <row r="11" spans="1:15" x14ac:dyDescent="0.35">
      <c r="A11" t="s">
        <v>39</v>
      </c>
      <c r="B11">
        <v>1</v>
      </c>
      <c r="C11">
        <v>18.989999999999998</v>
      </c>
      <c r="D11">
        <v>18.989999999999998</v>
      </c>
      <c r="E11" t="s">
        <v>40</v>
      </c>
      <c r="F11" t="str">
        <f t="shared" si="1"/>
        <v>Jul</v>
      </c>
      <c r="G11" t="s">
        <v>16</v>
      </c>
      <c r="H11">
        <v>15</v>
      </c>
      <c r="I11" t="s">
        <v>41</v>
      </c>
      <c r="J11" t="s">
        <v>42</v>
      </c>
      <c r="K11">
        <v>6</v>
      </c>
      <c r="O11">
        <f t="shared" si="0"/>
        <v>21.99</v>
      </c>
    </row>
    <row r="12" spans="1:15" x14ac:dyDescent="0.35">
      <c r="A12" t="s">
        <v>43</v>
      </c>
      <c r="B12">
        <v>1</v>
      </c>
      <c r="C12">
        <v>34.99</v>
      </c>
      <c r="D12">
        <v>34.99</v>
      </c>
      <c r="E12" t="s">
        <v>44</v>
      </c>
      <c r="F12" t="str">
        <f t="shared" si="1"/>
        <v>Jun</v>
      </c>
      <c r="G12" t="s">
        <v>21</v>
      </c>
      <c r="H12">
        <v>0</v>
      </c>
      <c r="I12" t="s">
        <v>24</v>
      </c>
      <c r="J12" t="s">
        <v>36</v>
      </c>
      <c r="K12">
        <v>12.5</v>
      </c>
      <c r="O12">
        <f t="shared" si="0"/>
        <v>21.99</v>
      </c>
    </row>
    <row r="13" spans="1:15" x14ac:dyDescent="0.35">
      <c r="A13" t="s">
        <v>45</v>
      </c>
      <c r="B13">
        <v>3</v>
      </c>
      <c r="C13">
        <v>21.99</v>
      </c>
      <c r="D13">
        <v>52.48</v>
      </c>
      <c r="E13" t="s">
        <v>46</v>
      </c>
      <c r="F13" t="str">
        <f t="shared" si="1"/>
        <v>Jul</v>
      </c>
      <c r="G13" t="s">
        <v>16</v>
      </c>
      <c r="H13">
        <v>3</v>
      </c>
      <c r="I13" t="s">
        <v>12</v>
      </c>
      <c r="J13" t="s">
        <v>13</v>
      </c>
      <c r="K13">
        <v>7</v>
      </c>
      <c r="O13">
        <f t="shared" si="0"/>
        <v>84.73</v>
      </c>
    </row>
    <row r="14" spans="1:15" x14ac:dyDescent="0.35">
      <c r="A14" t="s">
        <v>47</v>
      </c>
      <c r="B14">
        <v>3</v>
      </c>
      <c r="C14">
        <v>21.99</v>
      </c>
      <c r="D14">
        <v>52.48</v>
      </c>
      <c r="E14" t="s">
        <v>48</v>
      </c>
      <c r="F14" t="str">
        <f t="shared" si="1"/>
        <v>Jun</v>
      </c>
      <c r="G14" t="s">
        <v>16</v>
      </c>
      <c r="H14">
        <v>3</v>
      </c>
      <c r="I14" t="s">
        <v>24</v>
      </c>
      <c r="J14" t="s">
        <v>13</v>
      </c>
      <c r="K14">
        <v>7</v>
      </c>
      <c r="O14">
        <f t="shared" si="0"/>
        <v>84.73</v>
      </c>
    </row>
    <row r="15" spans="1:15" x14ac:dyDescent="0.35">
      <c r="A15" t="s">
        <v>49</v>
      </c>
      <c r="B15">
        <v>3</v>
      </c>
      <c r="C15">
        <v>21.99</v>
      </c>
      <c r="D15">
        <v>52.48</v>
      </c>
      <c r="E15" t="s">
        <v>50</v>
      </c>
      <c r="F15" t="str">
        <f t="shared" si="1"/>
        <v>Jul</v>
      </c>
      <c r="G15" t="s">
        <v>16</v>
      </c>
      <c r="H15">
        <v>2</v>
      </c>
      <c r="I15" t="s">
        <v>12</v>
      </c>
      <c r="J15" t="s">
        <v>13</v>
      </c>
      <c r="K15">
        <v>7</v>
      </c>
      <c r="O15">
        <f t="shared" si="0"/>
        <v>84.73</v>
      </c>
    </row>
    <row r="16" spans="1:15" x14ac:dyDescent="0.35">
      <c r="A16" t="s">
        <v>51</v>
      </c>
      <c r="B16">
        <v>3</v>
      </c>
      <c r="C16">
        <v>27.99</v>
      </c>
      <c r="D16">
        <v>66.88</v>
      </c>
      <c r="E16" t="s">
        <v>52</v>
      </c>
      <c r="F16" t="str">
        <f t="shared" si="1"/>
        <v>Jun</v>
      </c>
      <c r="G16" t="s">
        <v>16</v>
      </c>
      <c r="H16">
        <v>3</v>
      </c>
      <c r="I16" t="s">
        <v>17</v>
      </c>
      <c r="J16" t="s">
        <v>31</v>
      </c>
      <c r="K16">
        <v>9</v>
      </c>
      <c r="O16">
        <f t="shared" si="0"/>
        <v>84.73</v>
      </c>
    </row>
    <row r="17" spans="1:15" x14ac:dyDescent="0.35">
      <c r="A17" t="s">
        <v>53</v>
      </c>
      <c r="B17">
        <v>2</v>
      </c>
      <c r="C17">
        <v>30.99</v>
      </c>
      <c r="D17">
        <v>53.78</v>
      </c>
      <c r="E17" t="s">
        <v>54</v>
      </c>
      <c r="F17" t="str">
        <f t="shared" si="1"/>
        <v>Jun</v>
      </c>
      <c r="G17" t="s">
        <v>28</v>
      </c>
      <c r="H17">
        <v>0</v>
      </c>
      <c r="I17" t="s">
        <v>24</v>
      </c>
      <c r="J17" t="s">
        <v>18</v>
      </c>
      <c r="K17">
        <v>10.5</v>
      </c>
      <c r="O17">
        <f t="shared" si="0"/>
        <v>37.979999999999997</v>
      </c>
    </row>
    <row r="18" spans="1:15" x14ac:dyDescent="0.35">
      <c r="A18" t="s">
        <v>55</v>
      </c>
      <c r="B18">
        <v>1</v>
      </c>
      <c r="C18">
        <v>16.989999999999998</v>
      </c>
      <c r="D18">
        <v>16.989999999999998</v>
      </c>
      <c r="E18" t="s">
        <v>50</v>
      </c>
      <c r="F18" t="str">
        <f t="shared" si="1"/>
        <v>Jul</v>
      </c>
      <c r="G18" t="s">
        <v>16</v>
      </c>
      <c r="H18">
        <v>20</v>
      </c>
      <c r="I18" t="s">
        <v>12</v>
      </c>
      <c r="J18" t="s">
        <v>25</v>
      </c>
      <c r="K18">
        <v>5</v>
      </c>
      <c r="O18">
        <f t="shared" si="0"/>
        <v>21.99</v>
      </c>
    </row>
    <row r="19" spans="1:15" x14ac:dyDescent="0.35">
      <c r="A19" t="s">
        <v>56</v>
      </c>
      <c r="B19">
        <v>1</v>
      </c>
      <c r="C19">
        <v>18.989999999999998</v>
      </c>
      <c r="D19">
        <v>18.989999999999998</v>
      </c>
      <c r="E19" t="s">
        <v>57</v>
      </c>
      <c r="F19" t="str">
        <f t="shared" si="1"/>
        <v>Jun</v>
      </c>
      <c r="G19" t="s">
        <v>21</v>
      </c>
      <c r="H19">
        <v>0</v>
      </c>
      <c r="I19" t="s">
        <v>12</v>
      </c>
      <c r="J19" t="s">
        <v>42</v>
      </c>
      <c r="K19">
        <v>6</v>
      </c>
      <c r="O19">
        <f t="shared" si="0"/>
        <v>21.99</v>
      </c>
    </row>
    <row r="20" spans="1:15" x14ac:dyDescent="0.35">
      <c r="A20" t="s">
        <v>58</v>
      </c>
      <c r="B20">
        <v>2</v>
      </c>
      <c r="C20">
        <v>18.989999999999998</v>
      </c>
      <c r="D20">
        <v>32.78</v>
      </c>
      <c r="E20" t="s">
        <v>59</v>
      </c>
      <c r="F20" t="str">
        <f t="shared" si="1"/>
        <v>Jun</v>
      </c>
      <c r="G20" t="s">
        <v>21</v>
      </c>
      <c r="H20">
        <v>0</v>
      </c>
      <c r="I20" t="s">
        <v>41</v>
      </c>
      <c r="J20" t="s">
        <v>42</v>
      </c>
      <c r="K20">
        <v>6</v>
      </c>
      <c r="O20">
        <f t="shared" si="0"/>
        <v>37.979999999999997</v>
      </c>
    </row>
    <row r="21" spans="1:15" x14ac:dyDescent="0.35">
      <c r="A21" t="s">
        <v>60</v>
      </c>
      <c r="B21">
        <v>1</v>
      </c>
      <c r="C21">
        <v>27.99</v>
      </c>
      <c r="D21">
        <v>27.99</v>
      </c>
      <c r="E21" t="s">
        <v>61</v>
      </c>
      <c r="F21" t="str">
        <f t="shared" si="1"/>
        <v>Jun</v>
      </c>
      <c r="G21" t="s">
        <v>21</v>
      </c>
      <c r="H21">
        <v>0</v>
      </c>
      <c r="I21" t="s">
        <v>17</v>
      </c>
      <c r="J21" t="s">
        <v>31</v>
      </c>
      <c r="K21">
        <v>9</v>
      </c>
      <c r="O21">
        <f t="shared" si="0"/>
        <v>21.99</v>
      </c>
    </row>
    <row r="22" spans="1:15" x14ac:dyDescent="0.35">
      <c r="A22" t="s">
        <v>62</v>
      </c>
      <c r="B22">
        <v>1</v>
      </c>
      <c r="C22">
        <v>18.989999999999998</v>
      </c>
      <c r="D22">
        <v>18.989999999999998</v>
      </c>
      <c r="E22" t="s">
        <v>46</v>
      </c>
      <c r="F22" t="str">
        <f t="shared" si="1"/>
        <v>Jul</v>
      </c>
      <c r="G22" t="s">
        <v>16</v>
      </c>
      <c r="H22">
        <v>12</v>
      </c>
      <c r="I22" t="s">
        <v>41</v>
      </c>
      <c r="J22" t="s">
        <v>42</v>
      </c>
      <c r="K22">
        <v>6</v>
      </c>
      <c r="O22">
        <f t="shared" si="0"/>
        <v>21.99</v>
      </c>
    </row>
    <row r="23" spans="1:15" x14ac:dyDescent="0.35">
      <c r="A23" t="s">
        <v>63</v>
      </c>
      <c r="B23">
        <v>1</v>
      </c>
      <c r="C23">
        <v>30.99</v>
      </c>
      <c r="D23">
        <v>30.99</v>
      </c>
      <c r="E23" t="s">
        <v>64</v>
      </c>
      <c r="F23" t="str">
        <f t="shared" si="1"/>
        <v>Jul</v>
      </c>
      <c r="G23" t="s">
        <v>16</v>
      </c>
      <c r="H23">
        <v>2</v>
      </c>
      <c r="I23" t="s">
        <v>24</v>
      </c>
      <c r="J23" t="s">
        <v>18</v>
      </c>
      <c r="K23">
        <v>10.5</v>
      </c>
      <c r="O23">
        <f t="shared" si="0"/>
        <v>21.99</v>
      </c>
    </row>
    <row r="24" spans="1:15" x14ac:dyDescent="0.35">
      <c r="A24" t="s">
        <v>65</v>
      </c>
      <c r="B24">
        <v>3</v>
      </c>
      <c r="C24">
        <v>16.989999999999998</v>
      </c>
      <c r="D24">
        <v>40.18</v>
      </c>
      <c r="E24" t="s">
        <v>66</v>
      </c>
      <c r="F24" t="str">
        <f t="shared" si="1"/>
        <v>Jul</v>
      </c>
      <c r="G24" t="s">
        <v>21</v>
      </c>
      <c r="H24">
        <v>0</v>
      </c>
      <c r="I24" t="s">
        <v>12</v>
      </c>
      <c r="J24" t="s">
        <v>25</v>
      </c>
      <c r="K24">
        <v>5</v>
      </c>
      <c r="O24">
        <f t="shared" si="0"/>
        <v>84.73</v>
      </c>
    </row>
    <row r="25" spans="1:15" x14ac:dyDescent="0.35">
      <c r="A25" t="s">
        <v>67</v>
      </c>
      <c r="B25">
        <v>1</v>
      </c>
      <c r="C25">
        <v>27.99</v>
      </c>
      <c r="D25">
        <v>27.99</v>
      </c>
      <c r="E25" t="s">
        <v>61</v>
      </c>
      <c r="F25" t="str">
        <f t="shared" si="1"/>
        <v>Jun</v>
      </c>
      <c r="G25" t="s">
        <v>28</v>
      </c>
      <c r="H25">
        <v>0</v>
      </c>
      <c r="I25" t="s">
        <v>17</v>
      </c>
      <c r="J25" t="s">
        <v>31</v>
      </c>
      <c r="K25">
        <v>9</v>
      </c>
      <c r="O25">
        <f t="shared" si="0"/>
        <v>21.99</v>
      </c>
    </row>
    <row r="26" spans="1:15" x14ac:dyDescent="0.35">
      <c r="A26" t="s">
        <v>68</v>
      </c>
      <c r="B26">
        <v>3</v>
      </c>
      <c r="C26">
        <v>21.99</v>
      </c>
      <c r="D26">
        <v>52.48</v>
      </c>
      <c r="E26" t="s">
        <v>30</v>
      </c>
      <c r="F26" t="str">
        <f t="shared" si="1"/>
        <v>Jun</v>
      </c>
      <c r="G26" t="s">
        <v>16</v>
      </c>
      <c r="H26">
        <v>3</v>
      </c>
      <c r="I26" t="s">
        <v>17</v>
      </c>
      <c r="J26" t="s">
        <v>13</v>
      </c>
      <c r="K26">
        <v>7</v>
      </c>
      <c r="O26">
        <f t="shared" si="0"/>
        <v>84.73</v>
      </c>
    </row>
    <row r="27" spans="1:15" x14ac:dyDescent="0.35">
      <c r="A27" t="s">
        <v>69</v>
      </c>
      <c r="B27">
        <v>1</v>
      </c>
      <c r="C27">
        <v>16.989999999999998</v>
      </c>
      <c r="D27">
        <v>16.989999999999998</v>
      </c>
      <c r="E27" t="s">
        <v>70</v>
      </c>
      <c r="F27" t="str">
        <f t="shared" si="1"/>
        <v>Aug</v>
      </c>
      <c r="G27" t="s">
        <v>16</v>
      </c>
      <c r="H27">
        <v>20</v>
      </c>
      <c r="I27" t="s">
        <v>41</v>
      </c>
      <c r="J27" t="s">
        <v>25</v>
      </c>
      <c r="K27">
        <v>5</v>
      </c>
      <c r="O27">
        <f t="shared" si="0"/>
        <v>21.99</v>
      </c>
    </row>
    <row r="28" spans="1:15" x14ac:dyDescent="0.35">
      <c r="A28" t="s">
        <v>71</v>
      </c>
      <c r="B28">
        <v>1</v>
      </c>
      <c r="C28">
        <v>18.989999999999998</v>
      </c>
      <c r="D28">
        <v>18.989999999999998</v>
      </c>
      <c r="E28" t="s">
        <v>72</v>
      </c>
      <c r="F28" t="str">
        <f t="shared" si="1"/>
        <v>Jul</v>
      </c>
      <c r="G28" t="s">
        <v>16</v>
      </c>
      <c r="H28">
        <v>12</v>
      </c>
      <c r="I28" t="s">
        <v>24</v>
      </c>
      <c r="J28" t="s">
        <v>42</v>
      </c>
      <c r="K28">
        <v>6</v>
      </c>
      <c r="O28">
        <f t="shared" si="0"/>
        <v>21.99</v>
      </c>
    </row>
    <row r="29" spans="1:15" x14ac:dyDescent="0.35">
      <c r="A29" t="s">
        <v>73</v>
      </c>
      <c r="B29">
        <v>3</v>
      </c>
      <c r="C29">
        <v>16.989999999999998</v>
      </c>
      <c r="D29">
        <v>40.18</v>
      </c>
      <c r="E29" t="s">
        <v>74</v>
      </c>
      <c r="F29" t="str">
        <f t="shared" si="1"/>
        <v>Jun</v>
      </c>
      <c r="G29" t="s">
        <v>21</v>
      </c>
      <c r="H29">
        <v>0</v>
      </c>
      <c r="I29" t="s">
        <v>41</v>
      </c>
      <c r="J29" t="s">
        <v>25</v>
      </c>
      <c r="K29">
        <v>5</v>
      </c>
      <c r="O29">
        <f t="shared" si="0"/>
        <v>84.73</v>
      </c>
    </row>
    <row r="30" spans="1:15" x14ac:dyDescent="0.35">
      <c r="A30" t="s">
        <v>75</v>
      </c>
      <c r="B30">
        <v>1</v>
      </c>
      <c r="C30">
        <v>27.99</v>
      </c>
      <c r="D30">
        <v>27.99</v>
      </c>
      <c r="E30" t="s">
        <v>76</v>
      </c>
      <c r="F30" t="str">
        <f t="shared" si="1"/>
        <v>Jun</v>
      </c>
      <c r="G30" t="s">
        <v>21</v>
      </c>
      <c r="H30">
        <v>0</v>
      </c>
      <c r="I30" t="s">
        <v>41</v>
      </c>
      <c r="J30" t="s">
        <v>31</v>
      </c>
      <c r="K30">
        <v>9</v>
      </c>
      <c r="O30">
        <f t="shared" si="0"/>
        <v>21.99</v>
      </c>
    </row>
    <row r="31" spans="1:15" x14ac:dyDescent="0.35">
      <c r="A31" t="s">
        <v>77</v>
      </c>
      <c r="B31">
        <v>1</v>
      </c>
      <c r="C31">
        <v>16.989999999999998</v>
      </c>
      <c r="D31">
        <v>16.989999999999998</v>
      </c>
      <c r="E31" t="s">
        <v>50</v>
      </c>
      <c r="F31" t="str">
        <f t="shared" si="1"/>
        <v>Jul</v>
      </c>
      <c r="G31" t="s">
        <v>16</v>
      </c>
      <c r="H31">
        <v>19</v>
      </c>
      <c r="I31" t="s">
        <v>41</v>
      </c>
      <c r="J31" t="s">
        <v>25</v>
      </c>
      <c r="K31">
        <v>5</v>
      </c>
      <c r="O31">
        <f t="shared" si="0"/>
        <v>21.99</v>
      </c>
    </row>
    <row r="32" spans="1:15" x14ac:dyDescent="0.35">
      <c r="A32" t="s">
        <v>78</v>
      </c>
      <c r="B32">
        <v>1</v>
      </c>
      <c r="C32">
        <v>30.99</v>
      </c>
      <c r="D32">
        <v>30.99</v>
      </c>
      <c r="E32" t="s">
        <v>79</v>
      </c>
      <c r="F32" t="str">
        <f t="shared" si="1"/>
        <v>Jul</v>
      </c>
      <c r="G32" t="s">
        <v>16</v>
      </c>
      <c r="H32">
        <v>7</v>
      </c>
      <c r="I32" t="s">
        <v>41</v>
      </c>
      <c r="J32" t="s">
        <v>18</v>
      </c>
      <c r="K32">
        <v>10.5</v>
      </c>
      <c r="O32">
        <f t="shared" si="0"/>
        <v>21.99</v>
      </c>
    </row>
    <row r="33" spans="1:15" x14ac:dyDescent="0.35">
      <c r="A33" t="s">
        <v>80</v>
      </c>
      <c r="B33">
        <v>3</v>
      </c>
      <c r="C33">
        <v>18.989999999999998</v>
      </c>
      <c r="D33">
        <v>45.28</v>
      </c>
      <c r="E33" t="s">
        <v>72</v>
      </c>
      <c r="F33" t="str">
        <f t="shared" si="1"/>
        <v>Jul</v>
      </c>
      <c r="G33" t="s">
        <v>16</v>
      </c>
      <c r="H33">
        <v>11</v>
      </c>
      <c r="I33" t="s">
        <v>41</v>
      </c>
      <c r="J33" t="s">
        <v>42</v>
      </c>
      <c r="K33">
        <v>6</v>
      </c>
      <c r="O33">
        <f t="shared" si="0"/>
        <v>84.73</v>
      </c>
    </row>
    <row r="34" spans="1:15" x14ac:dyDescent="0.35">
      <c r="A34" t="s">
        <v>81</v>
      </c>
      <c r="B34">
        <v>1</v>
      </c>
      <c r="C34">
        <v>34.99</v>
      </c>
      <c r="D34">
        <v>34.99</v>
      </c>
      <c r="E34" t="s">
        <v>82</v>
      </c>
      <c r="F34" t="str">
        <f t="shared" si="1"/>
        <v>Jun</v>
      </c>
      <c r="G34" t="s">
        <v>16</v>
      </c>
      <c r="H34">
        <v>8</v>
      </c>
      <c r="I34" t="s">
        <v>17</v>
      </c>
      <c r="J34" t="s">
        <v>36</v>
      </c>
      <c r="K34">
        <v>12.5</v>
      </c>
      <c r="O34">
        <f t="shared" si="0"/>
        <v>21.99</v>
      </c>
    </row>
    <row r="35" spans="1:15" x14ac:dyDescent="0.35">
      <c r="A35" t="s">
        <v>83</v>
      </c>
      <c r="B35">
        <v>1</v>
      </c>
      <c r="C35">
        <v>16.989999999999998</v>
      </c>
      <c r="D35">
        <v>16.989999999999998</v>
      </c>
      <c r="E35" t="s">
        <v>84</v>
      </c>
      <c r="F35" t="str">
        <f t="shared" si="1"/>
        <v>Jul</v>
      </c>
      <c r="G35" t="s">
        <v>28</v>
      </c>
      <c r="H35">
        <v>0</v>
      </c>
      <c r="I35" t="s">
        <v>24</v>
      </c>
      <c r="J35" t="s">
        <v>25</v>
      </c>
      <c r="K35">
        <v>5</v>
      </c>
      <c r="O35">
        <f t="shared" si="0"/>
        <v>21.99</v>
      </c>
    </row>
    <row r="36" spans="1:15" x14ac:dyDescent="0.35">
      <c r="A36" t="s">
        <v>85</v>
      </c>
      <c r="B36">
        <v>3</v>
      </c>
      <c r="C36">
        <v>34.99</v>
      </c>
      <c r="D36">
        <v>84.73</v>
      </c>
      <c r="E36" t="s">
        <v>86</v>
      </c>
      <c r="F36" t="str">
        <f t="shared" si="1"/>
        <v>Jun</v>
      </c>
      <c r="G36" t="s">
        <v>87</v>
      </c>
      <c r="H36">
        <v>0</v>
      </c>
      <c r="I36" t="s">
        <v>12</v>
      </c>
      <c r="J36" t="s">
        <v>36</v>
      </c>
      <c r="K36">
        <v>12.5</v>
      </c>
      <c r="O36">
        <f t="shared" si="0"/>
        <v>84.73</v>
      </c>
    </row>
    <row r="37" spans="1:15" x14ac:dyDescent="0.35">
      <c r="A37" t="s">
        <v>88</v>
      </c>
      <c r="B37">
        <v>3</v>
      </c>
      <c r="C37">
        <v>30.99</v>
      </c>
      <c r="D37">
        <v>74.53</v>
      </c>
      <c r="E37" t="s">
        <v>89</v>
      </c>
      <c r="F37" t="str">
        <f t="shared" si="1"/>
        <v>Jun</v>
      </c>
      <c r="G37" t="s">
        <v>16</v>
      </c>
      <c r="H37">
        <v>3</v>
      </c>
      <c r="I37" t="s">
        <v>12</v>
      </c>
      <c r="J37" t="s">
        <v>18</v>
      </c>
      <c r="K37">
        <v>10.5</v>
      </c>
      <c r="O37">
        <f t="shared" si="0"/>
        <v>84.73</v>
      </c>
    </row>
    <row r="38" spans="1:15" x14ac:dyDescent="0.35">
      <c r="A38" t="s">
        <v>90</v>
      </c>
      <c r="B38">
        <v>1</v>
      </c>
      <c r="C38">
        <v>30.99</v>
      </c>
      <c r="D38">
        <v>30.99</v>
      </c>
      <c r="E38" t="s">
        <v>76</v>
      </c>
      <c r="F38" t="str">
        <f t="shared" si="1"/>
        <v>Jun</v>
      </c>
      <c r="G38" t="s">
        <v>16</v>
      </c>
      <c r="H38">
        <v>3</v>
      </c>
      <c r="I38" t="s">
        <v>17</v>
      </c>
      <c r="J38" t="s">
        <v>18</v>
      </c>
      <c r="K38">
        <v>10.5</v>
      </c>
      <c r="O38">
        <f t="shared" si="0"/>
        <v>21.99</v>
      </c>
    </row>
    <row r="39" spans="1:15" x14ac:dyDescent="0.35">
      <c r="A39" t="s">
        <v>91</v>
      </c>
      <c r="B39">
        <v>1</v>
      </c>
      <c r="C39">
        <v>21.99</v>
      </c>
      <c r="D39">
        <v>21.99</v>
      </c>
      <c r="E39" t="s">
        <v>92</v>
      </c>
      <c r="F39" t="str">
        <f t="shared" si="1"/>
        <v>Aug</v>
      </c>
      <c r="G39" t="s">
        <v>21</v>
      </c>
      <c r="H39">
        <v>0</v>
      </c>
      <c r="I39" t="s">
        <v>12</v>
      </c>
      <c r="J39" t="s">
        <v>13</v>
      </c>
      <c r="K39">
        <v>7</v>
      </c>
      <c r="O39">
        <f t="shared" si="0"/>
        <v>21.99</v>
      </c>
    </row>
    <row r="40" spans="1:15" x14ac:dyDescent="0.35">
      <c r="A40" t="s">
        <v>93</v>
      </c>
      <c r="B40">
        <v>1</v>
      </c>
      <c r="C40">
        <v>30.99</v>
      </c>
      <c r="D40">
        <v>30.99</v>
      </c>
      <c r="E40" t="s">
        <v>94</v>
      </c>
      <c r="F40" t="str">
        <f t="shared" si="1"/>
        <v>Jun</v>
      </c>
      <c r="G40" t="s">
        <v>16</v>
      </c>
      <c r="H40">
        <v>3</v>
      </c>
      <c r="I40" t="s">
        <v>41</v>
      </c>
      <c r="J40" t="s">
        <v>18</v>
      </c>
      <c r="K40">
        <v>10.5</v>
      </c>
      <c r="O40">
        <f t="shared" si="0"/>
        <v>21.99</v>
      </c>
    </row>
    <row r="41" spans="1:15" x14ac:dyDescent="0.35">
      <c r="A41" t="s">
        <v>95</v>
      </c>
      <c r="B41">
        <v>1</v>
      </c>
      <c r="C41">
        <v>18.989999999999998</v>
      </c>
      <c r="D41">
        <v>18.989999999999998</v>
      </c>
      <c r="E41" t="s">
        <v>96</v>
      </c>
      <c r="F41" t="str">
        <f t="shared" si="1"/>
        <v>Aug</v>
      </c>
      <c r="G41" t="s">
        <v>16</v>
      </c>
      <c r="H41">
        <v>14</v>
      </c>
      <c r="I41" t="s">
        <v>41</v>
      </c>
      <c r="J41" t="s">
        <v>42</v>
      </c>
      <c r="K41">
        <v>6</v>
      </c>
      <c r="O41">
        <f t="shared" si="0"/>
        <v>21.99</v>
      </c>
    </row>
    <row r="42" spans="1:15" x14ac:dyDescent="0.35">
      <c r="A42" t="s">
        <v>97</v>
      </c>
      <c r="B42">
        <v>1</v>
      </c>
      <c r="C42">
        <v>27.99</v>
      </c>
      <c r="D42">
        <v>27.99</v>
      </c>
      <c r="E42" t="s">
        <v>94</v>
      </c>
      <c r="F42" t="str">
        <f t="shared" si="1"/>
        <v>Jun</v>
      </c>
      <c r="G42" t="s">
        <v>16</v>
      </c>
      <c r="H42">
        <v>3</v>
      </c>
      <c r="I42" t="s">
        <v>17</v>
      </c>
      <c r="J42" t="s">
        <v>31</v>
      </c>
      <c r="K42">
        <v>9</v>
      </c>
      <c r="O42">
        <f t="shared" si="0"/>
        <v>21.99</v>
      </c>
    </row>
    <row r="43" spans="1:15" x14ac:dyDescent="0.35">
      <c r="A43" t="s">
        <v>98</v>
      </c>
      <c r="B43">
        <v>1</v>
      </c>
      <c r="C43">
        <v>18.989999999999998</v>
      </c>
      <c r="D43">
        <v>18.989999999999998</v>
      </c>
      <c r="E43" t="s">
        <v>99</v>
      </c>
      <c r="F43" t="str">
        <f t="shared" si="1"/>
        <v>Jun</v>
      </c>
      <c r="G43" t="s">
        <v>16</v>
      </c>
      <c r="H43">
        <v>18</v>
      </c>
      <c r="I43" t="s">
        <v>41</v>
      </c>
      <c r="J43" t="s">
        <v>42</v>
      </c>
      <c r="K43">
        <v>6</v>
      </c>
      <c r="O43">
        <f t="shared" si="0"/>
        <v>21.99</v>
      </c>
    </row>
    <row r="44" spans="1:15" x14ac:dyDescent="0.35">
      <c r="A44" t="s">
        <v>100</v>
      </c>
      <c r="B44">
        <v>1</v>
      </c>
      <c r="C44">
        <v>18.989999999999998</v>
      </c>
      <c r="D44">
        <v>18.989999999999998</v>
      </c>
      <c r="E44" t="s">
        <v>54</v>
      </c>
      <c r="F44" t="str">
        <f t="shared" si="1"/>
        <v>Jun</v>
      </c>
      <c r="G44" t="s">
        <v>16</v>
      </c>
      <c r="H44">
        <v>11</v>
      </c>
      <c r="I44" t="s">
        <v>12</v>
      </c>
      <c r="J44" t="s">
        <v>42</v>
      </c>
      <c r="K44">
        <v>6</v>
      </c>
      <c r="O44">
        <f t="shared" si="0"/>
        <v>21.99</v>
      </c>
    </row>
    <row r="45" spans="1:15" x14ac:dyDescent="0.35">
      <c r="A45" t="s">
        <v>101</v>
      </c>
      <c r="B45">
        <v>1</v>
      </c>
      <c r="C45">
        <v>18.989999999999998</v>
      </c>
      <c r="D45">
        <v>18.989999999999998</v>
      </c>
      <c r="E45" t="s">
        <v>102</v>
      </c>
      <c r="F45" t="str">
        <f t="shared" si="1"/>
        <v>Aug</v>
      </c>
      <c r="G45" t="s">
        <v>16</v>
      </c>
      <c r="H45">
        <v>20</v>
      </c>
      <c r="I45" t="s">
        <v>12</v>
      </c>
      <c r="J45" t="s">
        <v>42</v>
      </c>
      <c r="K45">
        <v>6</v>
      </c>
      <c r="O45">
        <f t="shared" si="0"/>
        <v>21.99</v>
      </c>
    </row>
    <row r="46" spans="1:15" x14ac:dyDescent="0.35">
      <c r="A46" t="s">
        <v>103</v>
      </c>
      <c r="B46">
        <v>1</v>
      </c>
      <c r="C46">
        <v>16.989999999999998</v>
      </c>
      <c r="D46">
        <v>16.989999999999998</v>
      </c>
      <c r="E46" t="s">
        <v>44</v>
      </c>
      <c r="F46" t="str">
        <f t="shared" si="1"/>
        <v>Jun</v>
      </c>
      <c r="G46" t="s">
        <v>16</v>
      </c>
      <c r="H46">
        <v>16</v>
      </c>
      <c r="I46" t="s">
        <v>41</v>
      </c>
      <c r="J46" t="s">
        <v>25</v>
      </c>
      <c r="K46">
        <v>5</v>
      </c>
      <c r="O46">
        <f t="shared" si="0"/>
        <v>21.99</v>
      </c>
    </row>
    <row r="47" spans="1:15" x14ac:dyDescent="0.35">
      <c r="A47" t="s">
        <v>104</v>
      </c>
      <c r="B47">
        <v>1</v>
      </c>
      <c r="C47">
        <v>18.989999999999998</v>
      </c>
      <c r="D47">
        <v>18.989999999999998</v>
      </c>
      <c r="E47" t="s">
        <v>23</v>
      </c>
      <c r="F47" t="str">
        <f t="shared" si="1"/>
        <v>Jul</v>
      </c>
      <c r="G47" t="s">
        <v>16</v>
      </c>
      <c r="H47">
        <v>14</v>
      </c>
      <c r="I47" t="s">
        <v>24</v>
      </c>
      <c r="J47" t="s">
        <v>42</v>
      </c>
      <c r="K47">
        <v>6</v>
      </c>
      <c r="O47">
        <f t="shared" si="0"/>
        <v>21.99</v>
      </c>
    </row>
    <row r="48" spans="1:15" x14ac:dyDescent="0.35">
      <c r="A48" t="s">
        <v>105</v>
      </c>
      <c r="B48">
        <v>1</v>
      </c>
      <c r="C48">
        <v>21.99</v>
      </c>
      <c r="D48">
        <v>21.99</v>
      </c>
      <c r="E48" t="s">
        <v>106</v>
      </c>
      <c r="F48" t="str">
        <f t="shared" si="1"/>
        <v>Aug</v>
      </c>
      <c r="G48" t="s">
        <v>11</v>
      </c>
      <c r="H48">
        <v>2</v>
      </c>
      <c r="I48" t="s">
        <v>24</v>
      </c>
      <c r="J48" t="s">
        <v>13</v>
      </c>
      <c r="K48">
        <v>7</v>
      </c>
      <c r="O48">
        <f t="shared" si="0"/>
        <v>21.99</v>
      </c>
    </row>
    <row r="49" spans="1:15" x14ac:dyDescent="0.35">
      <c r="A49" t="s">
        <v>107</v>
      </c>
      <c r="B49">
        <v>2</v>
      </c>
      <c r="C49">
        <v>30.99</v>
      </c>
      <c r="D49">
        <v>53.78</v>
      </c>
      <c r="E49" t="s">
        <v>108</v>
      </c>
      <c r="F49" t="str">
        <f t="shared" si="1"/>
        <v>Aug</v>
      </c>
      <c r="G49" t="s">
        <v>28</v>
      </c>
      <c r="H49">
        <v>0</v>
      </c>
      <c r="I49" t="s">
        <v>17</v>
      </c>
      <c r="J49" t="s">
        <v>18</v>
      </c>
      <c r="K49">
        <v>10.5</v>
      </c>
      <c r="O49">
        <f t="shared" si="0"/>
        <v>37.979999999999997</v>
      </c>
    </row>
    <row r="50" spans="1:15" x14ac:dyDescent="0.35">
      <c r="A50" t="s">
        <v>109</v>
      </c>
      <c r="B50">
        <v>2</v>
      </c>
      <c r="C50">
        <v>21.99</v>
      </c>
      <c r="D50">
        <v>37.979999999999997</v>
      </c>
      <c r="E50" t="s">
        <v>110</v>
      </c>
      <c r="F50" t="str">
        <f t="shared" si="1"/>
        <v>Jul</v>
      </c>
      <c r="G50" t="s">
        <v>11</v>
      </c>
      <c r="H50">
        <v>3</v>
      </c>
      <c r="I50" t="s">
        <v>12</v>
      </c>
      <c r="J50" t="s">
        <v>13</v>
      </c>
      <c r="K50">
        <v>7</v>
      </c>
      <c r="O50">
        <f t="shared" si="0"/>
        <v>37.979999999999997</v>
      </c>
    </row>
    <row r="51" spans="1:15" x14ac:dyDescent="0.35">
      <c r="A51" t="s">
        <v>111</v>
      </c>
      <c r="B51">
        <v>2</v>
      </c>
      <c r="C51">
        <v>16.989999999999998</v>
      </c>
      <c r="D51">
        <v>29.18</v>
      </c>
      <c r="E51" t="s">
        <v>27</v>
      </c>
      <c r="F51" t="str">
        <f t="shared" si="1"/>
        <v>Jul</v>
      </c>
      <c r="G51" t="s">
        <v>87</v>
      </c>
      <c r="H51">
        <v>0</v>
      </c>
      <c r="I51" t="s">
        <v>24</v>
      </c>
      <c r="J51" t="s">
        <v>25</v>
      </c>
      <c r="K51">
        <v>5</v>
      </c>
      <c r="O51">
        <f t="shared" si="0"/>
        <v>37.979999999999997</v>
      </c>
    </row>
    <row r="52" spans="1:15" x14ac:dyDescent="0.35">
      <c r="A52" t="s">
        <v>112</v>
      </c>
      <c r="B52">
        <v>1</v>
      </c>
      <c r="C52">
        <v>34.99</v>
      </c>
      <c r="D52">
        <v>34.99</v>
      </c>
      <c r="E52" t="s">
        <v>57</v>
      </c>
      <c r="F52" t="str">
        <f t="shared" si="1"/>
        <v>Jun</v>
      </c>
      <c r="G52" t="s">
        <v>87</v>
      </c>
      <c r="H52">
        <v>0</v>
      </c>
      <c r="I52" t="s">
        <v>24</v>
      </c>
      <c r="J52" t="s">
        <v>36</v>
      </c>
      <c r="K52">
        <v>12.5</v>
      </c>
      <c r="O52">
        <f t="shared" si="0"/>
        <v>21.99</v>
      </c>
    </row>
    <row r="53" spans="1:15" x14ac:dyDescent="0.35">
      <c r="A53" t="s">
        <v>113</v>
      </c>
      <c r="B53">
        <v>1</v>
      </c>
      <c r="C53">
        <v>16.989999999999998</v>
      </c>
      <c r="D53">
        <v>16.989999999999998</v>
      </c>
      <c r="E53" s="6">
        <v>46227</v>
      </c>
      <c r="F53" t="str">
        <f t="shared" si="1"/>
        <v>Jul</v>
      </c>
      <c r="G53" t="s">
        <v>21</v>
      </c>
      <c r="H53">
        <v>0</v>
      </c>
      <c r="I53" t="s">
        <v>24</v>
      </c>
      <c r="J53" t="s">
        <v>25</v>
      </c>
      <c r="K53">
        <v>5</v>
      </c>
      <c r="O53">
        <f t="shared" si="0"/>
        <v>21.99</v>
      </c>
    </row>
    <row r="54" spans="1:15" x14ac:dyDescent="0.35">
      <c r="A54" t="s">
        <v>114</v>
      </c>
      <c r="B54">
        <v>3</v>
      </c>
      <c r="C54">
        <v>18.989999999999998</v>
      </c>
      <c r="D54">
        <v>45.28</v>
      </c>
      <c r="E54" t="s">
        <v>76</v>
      </c>
      <c r="F54" t="str">
        <f t="shared" si="1"/>
        <v>Jun</v>
      </c>
      <c r="G54" t="s">
        <v>16</v>
      </c>
      <c r="H54">
        <v>10</v>
      </c>
      <c r="I54" t="s">
        <v>24</v>
      </c>
      <c r="J54" t="s">
        <v>42</v>
      </c>
      <c r="K54">
        <v>6</v>
      </c>
      <c r="O54">
        <f t="shared" si="0"/>
        <v>84.73</v>
      </c>
    </row>
    <row r="55" spans="1:15" x14ac:dyDescent="0.35">
      <c r="A55" t="s">
        <v>115</v>
      </c>
      <c r="B55">
        <v>1</v>
      </c>
      <c r="C55">
        <v>18.989999999999998</v>
      </c>
      <c r="D55">
        <v>18.989999999999998</v>
      </c>
      <c r="E55" t="s">
        <v>116</v>
      </c>
      <c r="F55" t="str">
        <f t="shared" si="1"/>
        <v>Aug</v>
      </c>
      <c r="G55" t="s">
        <v>16</v>
      </c>
      <c r="H55">
        <v>14</v>
      </c>
      <c r="I55" t="s">
        <v>24</v>
      </c>
      <c r="J55" t="s">
        <v>42</v>
      </c>
      <c r="K55">
        <v>6</v>
      </c>
      <c r="O55">
        <f t="shared" si="0"/>
        <v>21.99</v>
      </c>
    </row>
    <row r="56" spans="1:15" x14ac:dyDescent="0.35">
      <c r="A56" t="s">
        <v>117</v>
      </c>
      <c r="B56">
        <v>1</v>
      </c>
      <c r="C56">
        <v>21.99</v>
      </c>
      <c r="D56">
        <v>21.99</v>
      </c>
      <c r="E56" t="s">
        <v>118</v>
      </c>
      <c r="F56" t="str">
        <f t="shared" si="1"/>
        <v>Jun</v>
      </c>
      <c r="G56" t="s">
        <v>16</v>
      </c>
      <c r="H56">
        <v>2</v>
      </c>
      <c r="I56" t="s">
        <v>12</v>
      </c>
      <c r="J56" t="s">
        <v>13</v>
      </c>
      <c r="K56">
        <v>7</v>
      </c>
      <c r="O56">
        <f t="shared" si="0"/>
        <v>21.99</v>
      </c>
    </row>
    <row r="57" spans="1:15" x14ac:dyDescent="0.35">
      <c r="A57" t="s">
        <v>119</v>
      </c>
      <c r="B57">
        <v>1</v>
      </c>
      <c r="C57">
        <v>34.99</v>
      </c>
      <c r="D57">
        <v>34.99</v>
      </c>
      <c r="E57" t="s">
        <v>120</v>
      </c>
      <c r="F57" t="str">
        <f t="shared" si="1"/>
        <v>Aug</v>
      </c>
      <c r="G57" t="s">
        <v>21</v>
      </c>
      <c r="H57">
        <v>0</v>
      </c>
      <c r="I57" t="s">
        <v>41</v>
      </c>
      <c r="J57" t="s">
        <v>36</v>
      </c>
      <c r="K57">
        <v>12.5</v>
      </c>
      <c r="O57">
        <f t="shared" si="0"/>
        <v>21.99</v>
      </c>
    </row>
    <row r="58" spans="1:15" x14ac:dyDescent="0.35">
      <c r="A58" t="s">
        <v>121</v>
      </c>
      <c r="B58">
        <v>1</v>
      </c>
      <c r="C58">
        <v>34.99</v>
      </c>
      <c r="D58">
        <v>34.99</v>
      </c>
      <c r="E58" t="s">
        <v>122</v>
      </c>
      <c r="F58" t="str">
        <f t="shared" si="1"/>
        <v>Aug</v>
      </c>
      <c r="G58" t="s">
        <v>16</v>
      </c>
      <c r="H58">
        <v>5</v>
      </c>
      <c r="I58" t="s">
        <v>17</v>
      </c>
      <c r="J58" t="s">
        <v>36</v>
      </c>
      <c r="K58">
        <v>12.5</v>
      </c>
      <c r="O58">
        <f t="shared" si="0"/>
        <v>21.99</v>
      </c>
    </row>
    <row r="59" spans="1:15" x14ac:dyDescent="0.35">
      <c r="A59" t="s">
        <v>123</v>
      </c>
      <c r="B59">
        <v>2</v>
      </c>
      <c r="C59">
        <v>27.99</v>
      </c>
      <c r="D59">
        <v>48.38</v>
      </c>
      <c r="E59" t="s">
        <v>50</v>
      </c>
      <c r="F59" t="str">
        <f t="shared" si="1"/>
        <v>Jul</v>
      </c>
      <c r="G59" t="s">
        <v>16</v>
      </c>
      <c r="H59">
        <v>3</v>
      </c>
      <c r="I59" t="s">
        <v>12</v>
      </c>
      <c r="J59" t="s">
        <v>31</v>
      </c>
      <c r="K59">
        <v>9</v>
      </c>
      <c r="O59">
        <f t="shared" si="0"/>
        <v>37.979999999999997</v>
      </c>
    </row>
    <row r="60" spans="1:15" x14ac:dyDescent="0.35">
      <c r="A60" t="s">
        <v>124</v>
      </c>
      <c r="B60">
        <v>1</v>
      </c>
      <c r="C60">
        <v>30.99</v>
      </c>
      <c r="D60">
        <v>30.99</v>
      </c>
      <c r="E60" t="s">
        <v>33</v>
      </c>
      <c r="F60" t="str">
        <f t="shared" si="1"/>
        <v>Jun</v>
      </c>
      <c r="G60" t="s">
        <v>16</v>
      </c>
      <c r="H60">
        <v>2</v>
      </c>
      <c r="I60" t="s">
        <v>12</v>
      </c>
      <c r="J60" t="s">
        <v>18</v>
      </c>
      <c r="K60">
        <v>10.5</v>
      </c>
      <c r="O60">
        <f t="shared" si="0"/>
        <v>21.99</v>
      </c>
    </row>
    <row r="61" spans="1:15" x14ac:dyDescent="0.35">
      <c r="A61" t="s">
        <v>125</v>
      </c>
      <c r="B61">
        <v>2</v>
      </c>
      <c r="C61">
        <v>34.99</v>
      </c>
      <c r="D61">
        <v>60.98</v>
      </c>
      <c r="E61" t="s">
        <v>126</v>
      </c>
      <c r="F61" t="str">
        <f t="shared" si="1"/>
        <v>Jun</v>
      </c>
      <c r="G61" t="s">
        <v>21</v>
      </c>
      <c r="H61">
        <v>0</v>
      </c>
      <c r="I61" t="s">
        <v>12</v>
      </c>
      <c r="J61" t="s">
        <v>36</v>
      </c>
      <c r="K61">
        <v>12.5</v>
      </c>
      <c r="O61">
        <f t="shared" si="0"/>
        <v>37.979999999999997</v>
      </c>
    </row>
    <row r="62" spans="1:15" x14ac:dyDescent="0.35">
      <c r="A62" t="s">
        <v>127</v>
      </c>
      <c r="B62">
        <v>1</v>
      </c>
      <c r="C62">
        <v>27.99</v>
      </c>
      <c r="D62">
        <v>27.99</v>
      </c>
      <c r="E62" t="s">
        <v>23</v>
      </c>
      <c r="F62" t="str">
        <f t="shared" si="1"/>
        <v>Jul</v>
      </c>
      <c r="G62" t="s">
        <v>16</v>
      </c>
      <c r="H62">
        <v>2</v>
      </c>
      <c r="I62" t="s">
        <v>12</v>
      </c>
      <c r="J62" t="s">
        <v>31</v>
      </c>
      <c r="K62">
        <v>9</v>
      </c>
      <c r="O62">
        <f t="shared" si="0"/>
        <v>21.99</v>
      </c>
    </row>
    <row r="63" spans="1:15" x14ac:dyDescent="0.35">
      <c r="A63" t="s">
        <v>128</v>
      </c>
      <c r="B63">
        <v>1</v>
      </c>
      <c r="C63">
        <v>34.99</v>
      </c>
      <c r="D63">
        <v>34.99</v>
      </c>
      <c r="E63" t="s">
        <v>23</v>
      </c>
      <c r="F63" t="str">
        <f t="shared" si="1"/>
        <v>Jul</v>
      </c>
      <c r="G63" t="s">
        <v>87</v>
      </c>
      <c r="H63">
        <v>0</v>
      </c>
      <c r="I63" t="s">
        <v>12</v>
      </c>
      <c r="J63" t="s">
        <v>36</v>
      </c>
      <c r="K63">
        <v>12.5</v>
      </c>
      <c r="O63">
        <f t="shared" si="0"/>
        <v>21.99</v>
      </c>
    </row>
    <row r="64" spans="1:15" x14ac:dyDescent="0.35">
      <c r="A64" t="s">
        <v>129</v>
      </c>
      <c r="B64">
        <v>1</v>
      </c>
      <c r="C64">
        <v>30.99</v>
      </c>
      <c r="D64">
        <v>30.99</v>
      </c>
      <c r="E64" t="s">
        <v>33</v>
      </c>
      <c r="F64" t="str">
        <f t="shared" si="1"/>
        <v>Jun</v>
      </c>
      <c r="G64" t="s">
        <v>16</v>
      </c>
      <c r="H64">
        <v>4</v>
      </c>
      <c r="I64" t="s">
        <v>12</v>
      </c>
      <c r="J64" t="s">
        <v>18</v>
      </c>
      <c r="K64">
        <v>10.5</v>
      </c>
      <c r="O64">
        <f t="shared" si="0"/>
        <v>21.99</v>
      </c>
    </row>
    <row r="65" spans="1:15" x14ac:dyDescent="0.35">
      <c r="A65" t="s">
        <v>130</v>
      </c>
      <c r="B65">
        <v>1</v>
      </c>
      <c r="C65">
        <v>27.99</v>
      </c>
      <c r="D65">
        <v>27.99</v>
      </c>
      <c r="E65" t="s">
        <v>44</v>
      </c>
      <c r="F65" t="str">
        <f t="shared" si="1"/>
        <v>Jun</v>
      </c>
      <c r="G65" t="s">
        <v>28</v>
      </c>
      <c r="H65">
        <v>0</v>
      </c>
      <c r="I65" t="s">
        <v>24</v>
      </c>
      <c r="J65" t="s">
        <v>31</v>
      </c>
      <c r="K65">
        <v>9</v>
      </c>
      <c r="O65">
        <f t="shared" si="0"/>
        <v>21.99</v>
      </c>
    </row>
    <row r="66" spans="1:15" x14ac:dyDescent="0.35">
      <c r="A66" t="s">
        <v>131</v>
      </c>
      <c r="B66">
        <v>1</v>
      </c>
      <c r="C66">
        <v>18.989999999999998</v>
      </c>
      <c r="D66">
        <v>18.989999999999998</v>
      </c>
      <c r="E66" t="s">
        <v>132</v>
      </c>
      <c r="F66" t="str">
        <f t="shared" si="1"/>
        <v>Jun</v>
      </c>
      <c r="G66" t="s">
        <v>16</v>
      </c>
      <c r="H66">
        <v>14</v>
      </c>
      <c r="I66" t="s">
        <v>24</v>
      </c>
      <c r="J66" t="s">
        <v>42</v>
      </c>
      <c r="K66">
        <v>6</v>
      </c>
      <c r="O66">
        <f t="shared" ref="O66:O129" si="2">VLOOKUP(B:B,B:H,3,FALSE)</f>
        <v>21.99</v>
      </c>
    </row>
    <row r="67" spans="1:15" x14ac:dyDescent="0.35">
      <c r="A67" t="s">
        <v>133</v>
      </c>
      <c r="B67">
        <v>1</v>
      </c>
      <c r="C67">
        <v>18.989999999999998</v>
      </c>
      <c r="D67">
        <v>18.989999999999998</v>
      </c>
      <c r="E67" t="s">
        <v>134</v>
      </c>
      <c r="F67" t="str">
        <f t="shared" ref="F67:F75" si="3">TEXT(E67,"mmm")</f>
        <v>Jun</v>
      </c>
      <c r="G67" t="s">
        <v>16</v>
      </c>
      <c r="H67">
        <v>11</v>
      </c>
      <c r="I67" t="s">
        <v>24</v>
      </c>
      <c r="J67" t="s">
        <v>42</v>
      </c>
      <c r="K67">
        <v>6</v>
      </c>
      <c r="O67">
        <f t="shared" si="2"/>
        <v>21.99</v>
      </c>
    </row>
    <row r="68" spans="1:15" x14ac:dyDescent="0.35">
      <c r="A68" t="s">
        <v>135</v>
      </c>
      <c r="B68">
        <v>2</v>
      </c>
      <c r="C68">
        <v>21.99</v>
      </c>
      <c r="D68">
        <v>37.979999999999997</v>
      </c>
      <c r="E68" t="s">
        <v>48</v>
      </c>
      <c r="F68" t="str">
        <f t="shared" si="3"/>
        <v>Jun</v>
      </c>
      <c r="G68" t="s">
        <v>16</v>
      </c>
      <c r="H68">
        <v>3</v>
      </c>
      <c r="I68" t="s">
        <v>17</v>
      </c>
      <c r="J68" t="s">
        <v>13</v>
      </c>
      <c r="K68">
        <v>7</v>
      </c>
      <c r="O68">
        <f t="shared" si="2"/>
        <v>37.979999999999997</v>
      </c>
    </row>
    <row r="69" spans="1:15" x14ac:dyDescent="0.35">
      <c r="A69" t="s">
        <v>136</v>
      </c>
      <c r="B69">
        <v>1</v>
      </c>
      <c r="C69">
        <v>21.99</v>
      </c>
      <c r="D69">
        <v>21.99</v>
      </c>
      <c r="E69" t="s">
        <v>86</v>
      </c>
      <c r="F69" t="str">
        <f t="shared" si="3"/>
        <v>Jun</v>
      </c>
      <c r="G69" t="s">
        <v>16</v>
      </c>
      <c r="H69">
        <v>2</v>
      </c>
      <c r="I69" t="s">
        <v>12</v>
      </c>
      <c r="J69" t="s">
        <v>13</v>
      </c>
      <c r="K69">
        <v>7</v>
      </c>
      <c r="O69">
        <f t="shared" si="2"/>
        <v>21.99</v>
      </c>
    </row>
    <row r="70" spans="1:15" x14ac:dyDescent="0.35">
      <c r="A70" t="s">
        <v>137</v>
      </c>
      <c r="B70">
        <v>3</v>
      </c>
      <c r="C70">
        <v>30.99</v>
      </c>
      <c r="D70">
        <v>74.53</v>
      </c>
      <c r="E70" t="s">
        <v>138</v>
      </c>
      <c r="F70" t="str">
        <f t="shared" si="3"/>
        <v>Dec</v>
      </c>
      <c r="G70" t="s">
        <v>16</v>
      </c>
      <c r="H70">
        <v>2</v>
      </c>
      <c r="I70" t="s">
        <v>17</v>
      </c>
      <c r="J70" t="s">
        <v>18</v>
      </c>
      <c r="K70">
        <v>10.5</v>
      </c>
      <c r="O70">
        <f t="shared" si="2"/>
        <v>84.73</v>
      </c>
    </row>
    <row r="71" spans="1:15" x14ac:dyDescent="0.35">
      <c r="A71" t="s">
        <v>139</v>
      </c>
      <c r="B71">
        <v>3</v>
      </c>
      <c r="C71">
        <v>27.99</v>
      </c>
      <c r="D71">
        <v>66.88</v>
      </c>
      <c r="E71" t="s">
        <v>89</v>
      </c>
      <c r="F71" t="str">
        <f t="shared" si="3"/>
        <v>Jun</v>
      </c>
      <c r="G71" t="s">
        <v>16</v>
      </c>
      <c r="H71">
        <v>2</v>
      </c>
      <c r="I71" t="s">
        <v>17</v>
      </c>
      <c r="J71" t="s">
        <v>31</v>
      </c>
      <c r="K71">
        <v>9</v>
      </c>
      <c r="O71">
        <f t="shared" si="2"/>
        <v>84.73</v>
      </c>
    </row>
    <row r="72" spans="1:15" x14ac:dyDescent="0.35">
      <c r="A72" t="s">
        <v>140</v>
      </c>
      <c r="B72">
        <v>1</v>
      </c>
      <c r="C72">
        <v>18.989999999999998</v>
      </c>
      <c r="D72">
        <v>18.989999999999998</v>
      </c>
      <c r="E72" t="s">
        <v>64</v>
      </c>
      <c r="F72" t="str">
        <f t="shared" si="3"/>
        <v>Jul</v>
      </c>
      <c r="G72" t="s">
        <v>16</v>
      </c>
      <c r="H72">
        <v>13</v>
      </c>
      <c r="I72" t="s">
        <v>41</v>
      </c>
      <c r="J72" t="s">
        <v>42</v>
      </c>
      <c r="K72">
        <v>6</v>
      </c>
      <c r="O72">
        <f t="shared" si="2"/>
        <v>21.99</v>
      </c>
    </row>
    <row r="73" spans="1:15" x14ac:dyDescent="0.35">
      <c r="A73" t="s">
        <v>141</v>
      </c>
      <c r="B73">
        <v>2</v>
      </c>
      <c r="C73">
        <v>30.99</v>
      </c>
      <c r="D73">
        <v>53.78</v>
      </c>
      <c r="E73" t="s">
        <v>76</v>
      </c>
      <c r="F73" t="str">
        <f t="shared" si="3"/>
        <v>Jun</v>
      </c>
      <c r="G73" t="s">
        <v>16</v>
      </c>
      <c r="H73">
        <v>3</v>
      </c>
      <c r="I73" t="s">
        <v>24</v>
      </c>
      <c r="J73" t="s">
        <v>18</v>
      </c>
      <c r="K73">
        <v>10.5</v>
      </c>
      <c r="O73">
        <f t="shared" si="2"/>
        <v>37.979999999999997</v>
      </c>
    </row>
    <row r="74" spans="1:15" x14ac:dyDescent="0.35">
      <c r="A74" t="s">
        <v>142</v>
      </c>
      <c r="B74">
        <v>1</v>
      </c>
      <c r="C74">
        <v>16.989999999999998</v>
      </c>
      <c r="D74">
        <v>16.989999999999998</v>
      </c>
      <c r="E74" t="s">
        <v>143</v>
      </c>
      <c r="F74" t="str">
        <f t="shared" si="3"/>
        <v>Jul</v>
      </c>
      <c r="G74" t="s">
        <v>16</v>
      </c>
      <c r="H74">
        <v>20</v>
      </c>
      <c r="I74" t="s">
        <v>41</v>
      </c>
      <c r="J74" t="s">
        <v>25</v>
      </c>
      <c r="K74">
        <v>5</v>
      </c>
      <c r="O74">
        <f t="shared" si="2"/>
        <v>21.99</v>
      </c>
    </row>
    <row r="75" spans="1:15" x14ac:dyDescent="0.35">
      <c r="A75" t="s">
        <v>144</v>
      </c>
      <c r="B75">
        <v>1</v>
      </c>
      <c r="C75">
        <v>16.989999999999998</v>
      </c>
      <c r="D75">
        <v>16.989999999999998</v>
      </c>
      <c r="E75" t="s">
        <v>66</v>
      </c>
      <c r="F75" t="str">
        <f t="shared" si="3"/>
        <v>Jul</v>
      </c>
      <c r="G75" t="s">
        <v>11</v>
      </c>
      <c r="H75">
        <v>18</v>
      </c>
      <c r="I75" t="s">
        <v>24</v>
      </c>
      <c r="J75" t="s">
        <v>25</v>
      </c>
      <c r="K75">
        <v>5</v>
      </c>
      <c r="O75">
        <f t="shared" si="2"/>
        <v>21.99</v>
      </c>
    </row>
    <row r="76" spans="1:15" x14ac:dyDescent="0.35">
      <c r="A76" t="s">
        <v>145</v>
      </c>
      <c r="B76">
        <v>2</v>
      </c>
      <c r="C76">
        <v>18.989999999999998</v>
      </c>
      <c r="D76">
        <v>32.78</v>
      </c>
      <c r="E76" t="s">
        <v>146</v>
      </c>
      <c r="F76" t="s">
        <v>1723</v>
      </c>
      <c r="G76" t="s">
        <v>16</v>
      </c>
      <c r="H76">
        <v>12</v>
      </c>
      <c r="I76" t="s">
        <v>24</v>
      </c>
      <c r="J76" t="s">
        <v>42</v>
      </c>
      <c r="K76">
        <v>6</v>
      </c>
      <c r="O76">
        <f t="shared" si="2"/>
        <v>37.979999999999997</v>
      </c>
    </row>
    <row r="77" spans="1:15" x14ac:dyDescent="0.35">
      <c r="A77" t="s">
        <v>147</v>
      </c>
      <c r="B77">
        <v>3</v>
      </c>
      <c r="C77">
        <v>34.99</v>
      </c>
      <c r="D77">
        <v>84.73</v>
      </c>
      <c r="E77" t="s">
        <v>148</v>
      </c>
      <c r="F77" t="s">
        <v>1724</v>
      </c>
      <c r="G77" t="s">
        <v>87</v>
      </c>
      <c r="H77">
        <v>0</v>
      </c>
      <c r="I77" t="s">
        <v>41</v>
      </c>
      <c r="J77" t="s">
        <v>36</v>
      </c>
      <c r="K77">
        <v>12.5</v>
      </c>
      <c r="O77">
        <f t="shared" si="2"/>
        <v>84.73</v>
      </c>
    </row>
    <row r="78" spans="1:15" x14ac:dyDescent="0.35">
      <c r="A78" t="s">
        <v>149</v>
      </c>
      <c r="B78">
        <v>1</v>
      </c>
      <c r="C78">
        <v>21.99</v>
      </c>
      <c r="D78">
        <v>21.99</v>
      </c>
      <c r="E78" t="s">
        <v>96</v>
      </c>
      <c r="F78" t="s">
        <v>1725</v>
      </c>
      <c r="G78" t="s">
        <v>16</v>
      </c>
      <c r="H78">
        <v>2</v>
      </c>
      <c r="I78" t="s">
        <v>41</v>
      </c>
      <c r="J78" t="s">
        <v>13</v>
      </c>
      <c r="K78">
        <v>7</v>
      </c>
      <c r="O78">
        <f t="shared" si="2"/>
        <v>21.99</v>
      </c>
    </row>
    <row r="79" spans="1:15" x14ac:dyDescent="0.35">
      <c r="A79" t="s">
        <v>150</v>
      </c>
      <c r="B79">
        <v>1</v>
      </c>
      <c r="C79">
        <v>21.99</v>
      </c>
      <c r="D79">
        <v>21.99</v>
      </c>
      <c r="E79" t="s">
        <v>76</v>
      </c>
      <c r="F79" t="s">
        <v>1726</v>
      </c>
      <c r="G79" t="s">
        <v>16</v>
      </c>
      <c r="H79">
        <v>2</v>
      </c>
      <c r="I79" t="s">
        <v>41</v>
      </c>
      <c r="J79" t="s">
        <v>13</v>
      </c>
      <c r="K79">
        <v>7</v>
      </c>
      <c r="O79">
        <f t="shared" si="2"/>
        <v>21.99</v>
      </c>
    </row>
    <row r="80" spans="1:15" x14ac:dyDescent="0.35">
      <c r="A80" t="s">
        <v>151</v>
      </c>
      <c r="B80">
        <v>1</v>
      </c>
      <c r="C80">
        <v>27.99</v>
      </c>
      <c r="D80">
        <v>27.99</v>
      </c>
      <c r="E80" t="s">
        <v>122</v>
      </c>
      <c r="F80" t="s">
        <v>1727</v>
      </c>
      <c r="G80" t="s">
        <v>16</v>
      </c>
      <c r="H80">
        <v>2</v>
      </c>
      <c r="I80" t="s">
        <v>12</v>
      </c>
      <c r="J80" t="s">
        <v>31</v>
      </c>
      <c r="K80">
        <v>9</v>
      </c>
      <c r="O80">
        <f t="shared" si="2"/>
        <v>21.99</v>
      </c>
    </row>
    <row r="81" spans="1:15" x14ac:dyDescent="0.35">
      <c r="A81" t="s">
        <v>152</v>
      </c>
      <c r="B81">
        <v>2</v>
      </c>
      <c r="C81">
        <v>16.989999999999998</v>
      </c>
      <c r="D81">
        <v>29.18</v>
      </c>
      <c r="E81" t="s">
        <v>50</v>
      </c>
      <c r="F81" t="s">
        <v>1728</v>
      </c>
      <c r="G81" t="s">
        <v>16</v>
      </c>
      <c r="H81">
        <v>20</v>
      </c>
      <c r="I81" t="s">
        <v>12</v>
      </c>
      <c r="J81" t="s">
        <v>25</v>
      </c>
      <c r="K81">
        <v>5</v>
      </c>
      <c r="O81">
        <f t="shared" si="2"/>
        <v>37.979999999999997</v>
      </c>
    </row>
    <row r="82" spans="1:15" x14ac:dyDescent="0.35">
      <c r="A82" t="s">
        <v>153</v>
      </c>
      <c r="B82">
        <v>1</v>
      </c>
      <c r="C82">
        <v>21.99</v>
      </c>
      <c r="D82">
        <v>21.99</v>
      </c>
      <c r="E82" t="s">
        <v>86</v>
      </c>
      <c r="F82" t="s">
        <v>1717</v>
      </c>
      <c r="G82" t="s">
        <v>16</v>
      </c>
      <c r="H82">
        <v>2</v>
      </c>
      <c r="I82" t="s">
        <v>17</v>
      </c>
      <c r="J82" t="s">
        <v>13</v>
      </c>
      <c r="K82">
        <v>7</v>
      </c>
      <c r="O82">
        <f t="shared" si="2"/>
        <v>21.99</v>
      </c>
    </row>
    <row r="83" spans="1:15" x14ac:dyDescent="0.35">
      <c r="A83" t="s">
        <v>154</v>
      </c>
      <c r="B83">
        <v>1</v>
      </c>
      <c r="C83">
        <v>34.99</v>
      </c>
      <c r="D83">
        <v>34.99</v>
      </c>
      <c r="E83" t="s">
        <v>54</v>
      </c>
      <c r="F83" t="s">
        <v>1718</v>
      </c>
      <c r="G83" t="s">
        <v>16</v>
      </c>
      <c r="H83">
        <v>10</v>
      </c>
      <c r="I83" t="s">
        <v>24</v>
      </c>
      <c r="J83" t="s">
        <v>36</v>
      </c>
      <c r="K83">
        <v>12.5</v>
      </c>
      <c r="O83">
        <f t="shared" si="2"/>
        <v>21.99</v>
      </c>
    </row>
    <row r="84" spans="1:15" x14ac:dyDescent="0.35">
      <c r="A84" t="s">
        <v>155</v>
      </c>
      <c r="B84">
        <v>1</v>
      </c>
      <c r="C84">
        <v>21.99</v>
      </c>
      <c r="D84">
        <v>21.99</v>
      </c>
      <c r="E84" t="s">
        <v>156</v>
      </c>
      <c r="F84" t="s">
        <v>1719</v>
      </c>
      <c r="G84" t="s">
        <v>11</v>
      </c>
      <c r="H84">
        <v>3</v>
      </c>
      <c r="I84" t="s">
        <v>12</v>
      </c>
      <c r="J84" t="s">
        <v>13</v>
      </c>
      <c r="K84">
        <v>7</v>
      </c>
      <c r="O84">
        <f t="shared" si="2"/>
        <v>21.99</v>
      </c>
    </row>
    <row r="85" spans="1:15" x14ac:dyDescent="0.35">
      <c r="A85" t="s">
        <v>157</v>
      </c>
      <c r="B85">
        <v>1</v>
      </c>
      <c r="C85">
        <v>34.99</v>
      </c>
      <c r="D85">
        <v>34.99</v>
      </c>
      <c r="E85" t="s">
        <v>158</v>
      </c>
      <c r="F85" t="s">
        <v>1720</v>
      </c>
      <c r="G85" t="s">
        <v>21</v>
      </c>
      <c r="H85">
        <v>0</v>
      </c>
      <c r="I85" t="s">
        <v>12</v>
      </c>
      <c r="J85" t="s">
        <v>36</v>
      </c>
      <c r="K85">
        <v>12.5</v>
      </c>
      <c r="O85">
        <f t="shared" si="2"/>
        <v>21.99</v>
      </c>
    </row>
    <row r="86" spans="1:15" x14ac:dyDescent="0.35">
      <c r="A86" t="s">
        <v>159</v>
      </c>
      <c r="B86">
        <v>1</v>
      </c>
      <c r="C86">
        <v>27.99</v>
      </c>
      <c r="D86">
        <v>27.99</v>
      </c>
      <c r="E86" t="s">
        <v>160</v>
      </c>
      <c r="F86" t="s">
        <v>1721</v>
      </c>
      <c r="G86" t="s">
        <v>16</v>
      </c>
      <c r="H86">
        <v>2</v>
      </c>
      <c r="I86" t="s">
        <v>12</v>
      </c>
      <c r="J86" t="s">
        <v>31</v>
      </c>
      <c r="K86">
        <v>9</v>
      </c>
      <c r="O86">
        <f t="shared" si="2"/>
        <v>21.99</v>
      </c>
    </row>
    <row r="87" spans="1:15" x14ac:dyDescent="0.35">
      <c r="A87" t="s">
        <v>161</v>
      </c>
      <c r="B87">
        <v>3</v>
      </c>
      <c r="C87">
        <v>16.989999999999998</v>
      </c>
      <c r="D87">
        <v>40.18</v>
      </c>
      <c r="E87" t="s">
        <v>162</v>
      </c>
      <c r="F87" t="s">
        <v>1722</v>
      </c>
      <c r="G87" t="s">
        <v>16</v>
      </c>
      <c r="H87">
        <v>20</v>
      </c>
      <c r="I87" t="s">
        <v>41</v>
      </c>
      <c r="J87" t="s">
        <v>25</v>
      </c>
      <c r="K87">
        <v>5</v>
      </c>
      <c r="O87">
        <f t="shared" si="2"/>
        <v>84.73</v>
      </c>
    </row>
    <row r="88" spans="1:15" x14ac:dyDescent="0.35">
      <c r="A88" t="s">
        <v>163</v>
      </c>
      <c r="B88">
        <v>1</v>
      </c>
      <c r="C88">
        <v>16.989999999999998</v>
      </c>
      <c r="D88">
        <v>16.989999999999998</v>
      </c>
      <c r="E88" t="s">
        <v>164</v>
      </c>
      <c r="F88" t="s">
        <v>1723</v>
      </c>
      <c r="G88" t="s">
        <v>11</v>
      </c>
      <c r="H88">
        <v>19</v>
      </c>
      <c r="I88" t="s">
        <v>24</v>
      </c>
      <c r="J88" t="s">
        <v>25</v>
      </c>
      <c r="K88">
        <v>5</v>
      </c>
      <c r="O88">
        <f t="shared" si="2"/>
        <v>21.99</v>
      </c>
    </row>
    <row r="89" spans="1:15" x14ac:dyDescent="0.35">
      <c r="A89" t="s">
        <v>165</v>
      </c>
      <c r="B89">
        <v>1</v>
      </c>
      <c r="C89">
        <v>18.989999999999998</v>
      </c>
      <c r="D89">
        <v>18.989999999999998</v>
      </c>
      <c r="E89" t="s">
        <v>166</v>
      </c>
      <c r="F89" t="s">
        <v>1724</v>
      </c>
      <c r="G89" t="s">
        <v>16</v>
      </c>
      <c r="H89">
        <v>10</v>
      </c>
      <c r="I89" t="s">
        <v>24</v>
      </c>
      <c r="J89" t="s">
        <v>42</v>
      </c>
      <c r="K89">
        <v>6</v>
      </c>
      <c r="O89">
        <f t="shared" si="2"/>
        <v>21.99</v>
      </c>
    </row>
    <row r="90" spans="1:15" x14ac:dyDescent="0.35">
      <c r="A90" t="s">
        <v>167</v>
      </c>
      <c r="B90">
        <v>1</v>
      </c>
      <c r="C90">
        <v>16.989999999999998</v>
      </c>
      <c r="D90">
        <v>16.989999999999998</v>
      </c>
      <c r="E90" t="s">
        <v>35</v>
      </c>
      <c r="F90" t="s">
        <v>1725</v>
      </c>
      <c r="G90" t="s">
        <v>16</v>
      </c>
      <c r="H90">
        <v>15</v>
      </c>
      <c r="I90" t="s">
        <v>12</v>
      </c>
      <c r="J90" t="s">
        <v>25</v>
      </c>
      <c r="K90">
        <v>5</v>
      </c>
      <c r="O90">
        <f t="shared" si="2"/>
        <v>21.99</v>
      </c>
    </row>
    <row r="91" spans="1:15" x14ac:dyDescent="0.35">
      <c r="A91" t="s">
        <v>168</v>
      </c>
      <c r="B91">
        <v>3</v>
      </c>
      <c r="C91">
        <v>34.99</v>
      </c>
      <c r="D91">
        <v>84.73</v>
      </c>
      <c r="E91" t="s">
        <v>169</v>
      </c>
      <c r="F91" t="s">
        <v>1726</v>
      </c>
      <c r="G91" t="s">
        <v>16</v>
      </c>
      <c r="H91">
        <v>5</v>
      </c>
      <c r="I91" t="s">
        <v>24</v>
      </c>
      <c r="J91" t="s">
        <v>36</v>
      </c>
      <c r="K91">
        <v>12.5</v>
      </c>
      <c r="O91">
        <f t="shared" si="2"/>
        <v>84.73</v>
      </c>
    </row>
    <row r="92" spans="1:15" x14ac:dyDescent="0.35">
      <c r="A92" t="s">
        <v>170</v>
      </c>
      <c r="B92">
        <v>2</v>
      </c>
      <c r="C92">
        <v>30.99</v>
      </c>
      <c r="D92">
        <v>53.78</v>
      </c>
      <c r="E92" t="s">
        <v>171</v>
      </c>
      <c r="F92" t="s">
        <v>1727</v>
      </c>
      <c r="G92" t="s">
        <v>87</v>
      </c>
      <c r="H92">
        <v>0</v>
      </c>
      <c r="I92" t="s">
        <v>24</v>
      </c>
      <c r="J92" t="s">
        <v>18</v>
      </c>
      <c r="K92">
        <v>10.5</v>
      </c>
      <c r="O92">
        <f t="shared" si="2"/>
        <v>37.979999999999997</v>
      </c>
    </row>
    <row r="93" spans="1:15" x14ac:dyDescent="0.35">
      <c r="A93" t="s">
        <v>172</v>
      </c>
      <c r="B93">
        <v>1</v>
      </c>
      <c r="C93">
        <v>34.99</v>
      </c>
      <c r="D93">
        <v>34.99</v>
      </c>
      <c r="E93" t="s">
        <v>169</v>
      </c>
      <c r="F93" t="s">
        <v>1728</v>
      </c>
      <c r="G93" t="s">
        <v>11</v>
      </c>
      <c r="H93">
        <v>6</v>
      </c>
      <c r="I93" t="s">
        <v>41</v>
      </c>
      <c r="J93" t="s">
        <v>36</v>
      </c>
      <c r="K93">
        <v>12.5</v>
      </c>
      <c r="O93">
        <f t="shared" si="2"/>
        <v>21.99</v>
      </c>
    </row>
    <row r="94" spans="1:15" x14ac:dyDescent="0.35">
      <c r="A94" t="s">
        <v>173</v>
      </c>
      <c r="B94">
        <v>1</v>
      </c>
      <c r="C94">
        <v>16.989999999999998</v>
      </c>
      <c r="D94">
        <v>16.989999999999998</v>
      </c>
      <c r="E94" t="s">
        <v>143</v>
      </c>
      <c r="F94" t="s">
        <v>1717</v>
      </c>
      <c r="G94" t="s">
        <v>16</v>
      </c>
      <c r="H94">
        <v>19</v>
      </c>
      <c r="I94" t="s">
        <v>12</v>
      </c>
      <c r="J94" t="s">
        <v>25</v>
      </c>
      <c r="K94">
        <v>5</v>
      </c>
      <c r="O94">
        <f t="shared" si="2"/>
        <v>21.99</v>
      </c>
    </row>
    <row r="95" spans="1:15" x14ac:dyDescent="0.35">
      <c r="A95" t="s">
        <v>174</v>
      </c>
      <c r="B95">
        <v>1</v>
      </c>
      <c r="C95">
        <v>21.99</v>
      </c>
      <c r="D95">
        <v>21.99</v>
      </c>
      <c r="E95" t="s">
        <v>50</v>
      </c>
      <c r="F95" t="s">
        <v>1718</v>
      </c>
      <c r="G95" t="s">
        <v>16</v>
      </c>
      <c r="H95">
        <v>2</v>
      </c>
      <c r="I95" t="s">
        <v>17</v>
      </c>
      <c r="J95" t="s">
        <v>13</v>
      </c>
      <c r="K95">
        <v>7</v>
      </c>
      <c r="O95">
        <f t="shared" si="2"/>
        <v>21.99</v>
      </c>
    </row>
    <row r="96" spans="1:15" x14ac:dyDescent="0.35">
      <c r="A96" t="s">
        <v>175</v>
      </c>
      <c r="B96">
        <v>1</v>
      </c>
      <c r="C96">
        <v>16.989999999999998</v>
      </c>
      <c r="D96">
        <v>16.989999999999998</v>
      </c>
      <c r="E96" t="s">
        <v>176</v>
      </c>
      <c r="F96" t="s">
        <v>1719</v>
      </c>
      <c r="G96" t="s">
        <v>28</v>
      </c>
      <c r="H96">
        <v>0</v>
      </c>
      <c r="I96" t="s">
        <v>17</v>
      </c>
      <c r="J96" t="s">
        <v>25</v>
      </c>
      <c r="K96">
        <v>5</v>
      </c>
      <c r="O96">
        <f t="shared" si="2"/>
        <v>21.99</v>
      </c>
    </row>
    <row r="97" spans="1:15" x14ac:dyDescent="0.35">
      <c r="A97" t="s">
        <v>177</v>
      </c>
      <c r="B97">
        <v>3</v>
      </c>
      <c r="C97">
        <v>21.99</v>
      </c>
      <c r="D97">
        <v>52.48</v>
      </c>
      <c r="E97" t="s">
        <v>134</v>
      </c>
      <c r="F97" t="s">
        <v>1720</v>
      </c>
      <c r="G97" t="s">
        <v>28</v>
      </c>
      <c r="H97">
        <v>0</v>
      </c>
      <c r="I97" t="s">
        <v>41</v>
      </c>
      <c r="J97" t="s">
        <v>13</v>
      </c>
      <c r="K97">
        <v>7</v>
      </c>
      <c r="O97">
        <f t="shared" si="2"/>
        <v>84.73</v>
      </c>
    </row>
    <row r="98" spans="1:15" x14ac:dyDescent="0.35">
      <c r="A98" t="s">
        <v>178</v>
      </c>
      <c r="B98">
        <v>1</v>
      </c>
      <c r="C98">
        <v>34.99</v>
      </c>
      <c r="D98">
        <v>34.99</v>
      </c>
      <c r="E98" t="s">
        <v>72</v>
      </c>
      <c r="F98" t="s">
        <v>1721</v>
      </c>
      <c r="G98" t="s">
        <v>21</v>
      </c>
      <c r="H98">
        <v>0</v>
      </c>
      <c r="I98" t="s">
        <v>17</v>
      </c>
      <c r="J98" t="s">
        <v>36</v>
      </c>
      <c r="K98">
        <v>12.5</v>
      </c>
      <c r="O98">
        <f t="shared" si="2"/>
        <v>21.99</v>
      </c>
    </row>
    <row r="99" spans="1:15" x14ac:dyDescent="0.35">
      <c r="A99" t="s">
        <v>179</v>
      </c>
      <c r="B99">
        <v>1</v>
      </c>
      <c r="C99">
        <v>16.989999999999998</v>
      </c>
      <c r="D99">
        <v>16.989999999999998</v>
      </c>
      <c r="E99" t="s">
        <v>118</v>
      </c>
      <c r="F99" t="s">
        <v>1722</v>
      </c>
      <c r="G99" t="s">
        <v>11</v>
      </c>
      <c r="H99">
        <v>16</v>
      </c>
      <c r="I99" t="s">
        <v>17</v>
      </c>
      <c r="J99" t="s">
        <v>25</v>
      </c>
      <c r="K99">
        <v>5</v>
      </c>
      <c r="O99">
        <f t="shared" si="2"/>
        <v>21.99</v>
      </c>
    </row>
    <row r="100" spans="1:15" x14ac:dyDescent="0.35">
      <c r="A100" t="s">
        <v>180</v>
      </c>
      <c r="B100">
        <v>3</v>
      </c>
      <c r="C100">
        <v>27.99</v>
      </c>
      <c r="D100">
        <v>66.88</v>
      </c>
      <c r="E100" t="s">
        <v>116</v>
      </c>
      <c r="F100" t="s">
        <v>1723</v>
      </c>
      <c r="G100" t="s">
        <v>16</v>
      </c>
      <c r="H100">
        <v>2</v>
      </c>
      <c r="I100" t="s">
        <v>24</v>
      </c>
      <c r="J100" t="s">
        <v>31</v>
      </c>
      <c r="K100">
        <v>9</v>
      </c>
      <c r="O100">
        <f t="shared" si="2"/>
        <v>84.73</v>
      </c>
    </row>
    <row r="101" spans="1:15" x14ac:dyDescent="0.35">
      <c r="A101" t="s">
        <v>181</v>
      </c>
      <c r="B101">
        <v>1</v>
      </c>
      <c r="C101">
        <v>21.99</v>
      </c>
      <c r="D101">
        <v>21.99</v>
      </c>
      <c r="E101" t="s">
        <v>116</v>
      </c>
      <c r="F101" t="s">
        <v>1724</v>
      </c>
      <c r="G101" t="s">
        <v>16</v>
      </c>
      <c r="H101">
        <v>2</v>
      </c>
      <c r="I101" t="s">
        <v>24</v>
      </c>
      <c r="J101" t="s">
        <v>13</v>
      </c>
      <c r="K101">
        <v>7</v>
      </c>
      <c r="O101">
        <f t="shared" si="2"/>
        <v>21.99</v>
      </c>
    </row>
    <row r="102" spans="1:15" x14ac:dyDescent="0.35">
      <c r="A102" t="s">
        <v>182</v>
      </c>
      <c r="B102">
        <v>1</v>
      </c>
      <c r="C102">
        <v>30.99</v>
      </c>
      <c r="D102">
        <v>30.99</v>
      </c>
      <c r="E102" t="s">
        <v>46</v>
      </c>
      <c r="F102" t="s">
        <v>1725</v>
      </c>
      <c r="G102" t="s">
        <v>21</v>
      </c>
      <c r="H102">
        <v>0</v>
      </c>
      <c r="I102" t="s">
        <v>41</v>
      </c>
      <c r="J102" t="s">
        <v>18</v>
      </c>
      <c r="K102">
        <v>10.5</v>
      </c>
      <c r="O102">
        <f t="shared" si="2"/>
        <v>21.99</v>
      </c>
    </row>
    <row r="103" spans="1:15" x14ac:dyDescent="0.35">
      <c r="A103" t="s">
        <v>183</v>
      </c>
      <c r="B103">
        <v>1</v>
      </c>
      <c r="C103">
        <v>18.989999999999998</v>
      </c>
      <c r="D103">
        <v>18.989999999999998</v>
      </c>
      <c r="E103" t="s">
        <v>126</v>
      </c>
      <c r="F103" t="s">
        <v>1726</v>
      </c>
      <c r="G103" t="s">
        <v>16</v>
      </c>
      <c r="H103">
        <v>11</v>
      </c>
      <c r="I103" t="s">
        <v>17</v>
      </c>
      <c r="J103" t="s">
        <v>42</v>
      </c>
      <c r="K103">
        <v>6</v>
      </c>
      <c r="O103">
        <f t="shared" si="2"/>
        <v>21.99</v>
      </c>
    </row>
    <row r="104" spans="1:15" x14ac:dyDescent="0.35">
      <c r="A104" t="s">
        <v>184</v>
      </c>
      <c r="B104">
        <v>1</v>
      </c>
      <c r="C104">
        <v>30.99</v>
      </c>
      <c r="D104">
        <v>30.99</v>
      </c>
      <c r="E104" t="s">
        <v>66</v>
      </c>
      <c r="F104" t="s">
        <v>1727</v>
      </c>
      <c r="G104" t="s">
        <v>16</v>
      </c>
      <c r="H104">
        <v>3</v>
      </c>
      <c r="I104" t="s">
        <v>17</v>
      </c>
      <c r="J104" t="s">
        <v>18</v>
      </c>
      <c r="K104">
        <v>10.5</v>
      </c>
      <c r="O104">
        <f t="shared" si="2"/>
        <v>21.99</v>
      </c>
    </row>
    <row r="105" spans="1:15" x14ac:dyDescent="0.35">
      <c r="A105" t="s">
        <v>185</v>
      </c>
      <c r="B105">
        <v>1</v>
      </c>
      <c r="C105">
        <v>30.99</v>
      </c>
      <c r="D105">
        <v>30.99</v>
      </c>
      <c r="E105" t="s">
        <v>79</v>
      </c>
      <c r="F105" t="s">
        <v>1728</v>
      </c>
      <c r="G105" t="s">
        <v>21</v>
      </c>
      <c r="H105">
        <v>0</v>
      </c>
      <c r="I105" t="s">
        <v>24</v>
      </c>
      <c r="J105" t="s">
        <v>18</v>
      </c>
      <c r="K105">
        <v>10.5</v>
      </c>
      <c r="O105">
        <f t="shared" si="2"/>
        <v>21.99</v>
      </c>
    </row>
    <row r="106" spans="1:15" x14ac:dyDescent="0.35">
      <c r="A106" t="s">
        <v>186</v>
      </c>
      <c r="B106">
        <v>1</v>
      </c>
      <c r="C106">
        <v>34.99</v>
      </c>
      <c r="D106">
        <v>34.99</v>
      </c>
      <c r="E106" t="s">
        <v>162</v>
      </c>
      <c r="F106" t="s">
        <v>1717</v>
      </c>
      <c r="G106" t="s">
        <v>87</v>
      </c>
      <c r="H106">
        <v>0</v>
      </c>
      <c r="I106" t="s">
        <v>17</v>
      </c>
      <c r="J106" t="s">
        <v>36</v>
      </c>
      <c r="K106">
        <v>12.5</v>
      </c>
      <c r="O106">
        <f t="shared" si="2"/>
        <v>21.99</v>
      </c>
    </row>
    <row r="107" spans="1:15" x14ac:dyDescent="0.35">
      <c r="A107" t="s">
        <v>187</v>
      </c>
      <c r="B107">
        <v>1</v>
      </c>
      <c r="C107">
        <v>27.99</v>
      </c>
      <c r="D107">
        <v>27.99</v>
      </c>
      <c r="E107" t="s">
        <v>38</v>
      </c>
      <c r="F107" t="s">
        <v>1718</v>
      </c>
      <c r="G107" t="s">
        <v>16</v>
      </c>
      <c r="H107">
        <v>3</v>
      </c>
      <c r="I107" t="s">
        <v>12</v>
      </c>
      <c r="J107" t="s">
        <v>31</v>
      </c>
      <c r="K107">
        <v>9</v>
      </c>
      <c r="O107">
        <f t="shared" si="2"/>
        <v>21.99</v>
      </c>
    </row>
    <row r="108" spans="1:15" x14ac:dyDescent="0.35">
      <c r="A108" t="s">
        <v>187</v>
      </c>
      <c r="B108">
        <v>1</v>
      </c>
      <c r="C108">
        <v>27.99</v>
      </c>
      <c r="D108">
        <v>27.99</v>
      </c>
      <c r="E108" t="s">
        <v>38</v>
      </c>
      <c r="F108" t="s">
        <v>1719</v>
      </c>
      <c r="G108" t="s">
        <v>16</v>
      </c>
      <c r="H108">
        <v>3</v>
      </c>
      <c r="I108" t="s">
        <v>12</v>
      </c>
      <c r="J108" t="s">
        <v>31</v>
      </c>
      <c r="K108">
        <v>9</v>
      </c>
      <c r="O108">
        <f t="shared" si="2"/>
        <v>21.99</v>
      </c>
    </row>
    <row r="109" spans="1:15" x14ac:dyDescent="0.35">
      <c r="A109" t="s">
        <v>188</v>
      </c>
      <c r="B109">
        <v>1</v>
      </c>
      <c r="C109">
        <v>18.989999999999998</v>
      </c>
      <c r="D109">
        <v>18.989999999999998</v>
      </c>
      <c r="E109" t="s">
        <v>126</v>
      </c>
      <c r="F109" t="s">
        <v>1720</v>
      </c>
      <c r="G109" t="s">
        <v>28</v>
      </c>
      <c r="H109">
        <v>0</v>
      </c>
      <c r="I109" t="s">
        <v>17</v>
      </c>
      <c r="J109" t="s">
        <v>42</v>
      </c>
      <c r="K109">
        <v>6</v>
      </c>
      <c r="O109">
        <f t="shared" si="2"/>
        <v>21.99</v>
      </c>
    </row>
    <row r="110" spans="1:15" x14ac:dyDescent="0.35">
      <c r="A110" t="s">
        <v>189</v>
      </c>
      <c r="B110">
        <v>1</v>
      </c>
      <c r="C110">
        <v>27.99</v>
      </c>
      <c r="D110">
        <v>27.99</v>
      </c>
      <c r="E110" t="s">
        <v>82</v>
      </c>
      <c r="F110" t="s">
        <v>1721</v>
      </c>
      <c r="G110" t="s">
        <v>87</v>
      </c>
      <c r="H110">
        <v>0</v>
      </c>
      <c r="I110" t="s">
        <v>17</v>
      </c>
      <c r="J110" t="s">
        <v>31</v>
      </c>
      <c r="K110">
        <v>9</v>
      </c>
      <c r="O110">
        <f t="shared" si="2"/>
        <v>21.99</v>
      </c>
    </row>
    <row r="111" spans="1:15" x14ac:dyDescent="0.35">
      <c r="A111" t="s">
        <v>190</v>
      </c>
      <c r="B111">
        <v>1</v>
      </c>
      <c r="C111">
        <v>34.99</v>
      </c>
      <c r="D111">
        <v>34.99</v>
      </c>
      <c r="E111" t="s">
        <v>191</v>
      </c>
      <c r="F111" t="s">
        <v>1722</v>
      </c>
      <c r="G111" t="s">
        <v>21</v>
      </c>
      <c r="H111">
        <v>0</v>
      </c>
      <c r="I111" t="s">
        <v>24</v>
      </c>
      <c r="J111" t="s">
        <v>36</v>
      </c>
      <c r="K111">
        <v>12.5</v>
      </c>
      <c r="O111">
        <f t="shared" si="2"/>
        <v>21.99</v>
      </c>
    </row>
    <row r="112" spans="1:15" x14ac:dyDescent="0.35">
      <c r="A112" t="s">
        <v>192</v>
      </c>
      <c r="B112">
        <v>1</v>
      </c>
      <c r="C112">
        <v>21.99</v>
      </c>
      <c r="D112">
        <v>21.99</v>
      </c>
      <c r="E112" t="s">
        <v>156</v>
      </c>
      <c r="F112" t="s">
        <v>1723</v>
      </c>
      <c r="G112" t="s">
        <v>16</v>
      </c>
      <c r="H112">
        <v>2</v>
      </c>
      <c r="I112" t="s">
        <v>17</v>
      </c>
      <c r="J112" t="s">
        <v>13</v>
      </c>
      <c r="K112">
        <v>7</v>
      </c>
      <c r="O112">
        <f t="shared" si="2"/>
        <v>21.99</v>
      </c>
    </row>
    <row r="113" spans="1:15" x14ac:dyDescent="0.35">
      <c r="A113" t="s">
        <v>193</v>
      </c>
      <c r="B113">
        <v>1</v>
      </c>
      <c r="C113">
        <v>16.989999999999998</v>
      </c>
      <c r="D113">
        <v>16.989999999999998</v>
      </c>
      <c r="E113" t="s">
        <v>15</v>
      </c>
      <c r="F113" t="s">
        <v>1724</v>
      </c>
      <c r="G113" t="s">
        <v>21</v>
      </c>
      <c r="H113">
        <v>0</v>
      </c>
      <c r="I113" t="s">
        <v>12</v>
      </c>
      <c r="J113" t="s">
        <v>25</v>
      </c>
      <c r="K113">
        <v>5</v>
      </c>
      <c r="O113">
        <f t="shared" si="2"/>
        <v>21.99</v>
      </c>
    </row>
    <row r="114" spans="1:15" x14ac:dyDescent="0.35">
      <c r="A114" t="s">
        <v>194</v>
      </c>
      <c r="B114">
        <v>1</v>
      </c>
      <c r="C114">
        <v>27.99</v>
      </c>
      <c r="D114">
        <v>27.99</v>
      </c>
      <c r="E114" t="s">
        <v>195</v>
      </c>
      <c r="F114" t="s">
        <v>1725</v>
      </c>
      <c r="G114" t="s">
        <v>16</v>
      </c>
      <c r="H114">
        <v>3</v>
      </c>
      <c r="I114" t="s">
        <v>41</v>
      </c>
      <c r="J114" t="s">
        <v>31</v>
      </c>
      <c r="K114">
        <v>9</v>
      </c>
      <c r="O114">
        <f t="shared" si="2"/>
        <v>21.99</v>
      </c>
    </row>
    <row r="115" spans="1:15" x14ac:dyDescent="0.35">
      <c r="A115" t="s">
        <v>196</v>
      </c>
      <c r="B115">
        <v>2</v>
      </c>
      <c r="C115">
        <v>21.99</v>
      </c>
      <c r="D115">
        <v>37.979999999999997</v>
      </c>
      <c r="E115" t="s">
        <v>44</v>
      </c>
      <c r="F115" t="s">
        <v>1726</v>
      </c>
      <c r="G115" t="s">
        <v>87</v>
      </c>
      <c r="H115">
        <v>0</v>
      </c>
      <c r="I115" t="s">
        <v>17</v>
      </c>
      <c r="J115" t="s">
        <v>13</v>
      </c>
      <c r="K115">
        <v>7</v>
      </c>
      <c r="O115">
        <f t="shared" si="2"/>
        <v>37.979999999999997</v>
      </c>
    </row>
    <row r="116" spans="1:15" x14ac:dyDescent="0.35">
      <c r="A116" t="s">
        <v>197</v>
      </c>
      <c r="B116">
        <v>3</v>
      </c>
      <c r="C116">
        <v>30.99</v>
      </c>
      <c r="D116">
        <v>74.53</v>
      </c>
      <c r="E116" t="s">
        <v>120</v>
      </c>
      <c r="F116" t="s">
        <v>1727</v>
      </c>
      <c r="G116" t="s">
        <v>21</v>
      </c>
      <c r="H116">
        <v>0</v>
      </c>
      <c r="I116" t="s">
        <v>24</v>
      </c>
      <c r="J116" t="s">
        <v>18</v>
      </c>
      <c r="K116">
        <v>10.5</v>
      </c>
      <c r="O116">
        <f t="shared" si="2"/>
        <v>84.73</v>
      </c>
    </row>
    <row r="117" spans="1:15" x14ac:dyDescent="0.35">
      <c r="A117" t="s">
        <v>198</v>
      </c>
      <c r="B117">
        <v>1</v>
      </c>
      <c r="C117">
        <v>18.989999999999998</v>
      </c>
      <c r="D117">
        <v>18.989999999999998</v>
      </c>
      <c r="E117" t="s">
        <v>199</v>
      </c>
      <c r="F117" t="s">
        <v>1728</v>
      </c>
      <c r="G117" t="s">
        <v>87</v>
      </c>
      <c r="H117">
        <v>0</v>
      </c>
      <c r="I117" t="s">
        <v>41</v>
      </c>
      <c r="J117" t="s">
        <v>42</v>
      </c>
      <c r="K117">
        <v>6</v>
      </c>
      <c r="O117">
        <f t="shared" si="2"/>
        <v>21.99</v>
      </c>
    </row>
    <row r="118" spans="1:15" x14ac:dyDescent="0.35">
      <c r="A118" t="s">
        <v>200</v>
      </c>
      <c r="B118">
        <v>1</v>
      </c>
      <c r="C118">
        <v>21.99</v>
      </c>
      <c r="D118">
        <v>21.99</v>
      </c>
      <c r="E118" t="s">
        <v>169</v>
      </c>
      <c r="F118" t="s">
        <v>1717</v>
      </c>
      <c r="G118" t="s">
        <v>87</v>
      </c>
      <c r="H118">
        <v>0</v>
      </c>
      <c r="I118" t="s">
        <v>24</v>
      </c>
      <c r="J118" t="s">
        <v>13</v>
      </c>
      <c r="K118">
        <v>7</v>
      </c>
      <c r="O118">
        <f t="shared" si="2"/>
        <v>21.99</v>
      </c>
    </row>
    <row r="119" spans="1:15" x14ac:dyDescent="0.35">
      <c r="A119" t="s">
        <v>201</v>
      </c>
      <c r="B119">
        <v>1</v>
      </c>
      <c r="C119">
        <v>30.99</v>
      </c>
      <c r="D119">
        <v>30.99</v>
      </c>
      <c r="E119" t="s">
        <v>52</v>
      </c>
      <c r="F119" t="s">
        <v>1718</v>
      </c>
      <c r="G119" t="s">
        <v>16</v>
      </c>
      <c r="H119">
        <v>3</v>
      </c>
      <c r="I119" t="s">
        <v>41</v>
      </c>
      <c r="J119" t="s">
        <v>18</v>
      </c>
      <c r="K119">
        <v>10.5</v>
      </c>
      <c r="O119">
        <f t="shared" si="2"/>
        <v>21.99</v>
      </c>
    </row>
    <row r="120" spans="1:15" x14ac:dyDescent="0.35">
      <c r="A120" t="s">
        <v>202</v>
      </c>
      <c r="B120">
        <v>1</v>
      </c>
      <c r="C120">
        <v>16.989999999999998</v>
      </c>
      <c r="D120">
        <v>16.989999999999998</v>
      </c>
      <c r="E120" t="s">
        <v>102</v>
      </c>
      <c r="F120" t="s">
        <v>1719</v>
      </c>
      <c r="G120" t="s">
        <v>28</v>
      </c>
      <c r="H120">
        <v>0</v>
      </c>
      <c r="I120" t="s">
        <v>24</v>
      </c>
      <c r="J120" t="s">
        <v>25</v>
      </c>
      <c r="K120">
        <v>5</v>
      </c>
      <c r="O120">
        <f t="shared" si="2"/>
        <v>21.99</v>
      </c>
    </row>
    <row r="121" spans="1:15" x14ac:dyDescent="0.35">
      <c r="A121" t="s">
        <v>203</v>
      </c>
      <c r="B121">
        <v>1</v>
      </c>
      <c r="C121">
        <v>30.99</v>
      </c>
      <c r="D121">
        <v>30.99</v>
      </c>
      <c r="E121" t="s">
        <v>52</v>
      </c>
      <c r="F121" t="s">
        <v>1720</v>
      </c>
      <c r="G121" t="s">
        <v>16</v>
      </c>
      <c r="H121">
        <v>3</v>
      </c>
      <c r="I121" t="s">
        <v>17</v>
      </c>
      <c r="J121" t="s">
        <v>18</v>
      </c>
      <c r="K121">
        <v>10.5</v>
      </c>
      <c r="O121">
        <f t="shared" si="2"/>
        <v>21.99</v>
      </c>
    </row>
    <row r="122" spans="1:15" x14ac:dyDescent="0.35">
      <c r="A122" t="s">
        <v>204</v>
      </c>
      <c r="B122">
        <v>1</v>
      </c>
      <c r="C122">
        <v>30.99</v>
      </c>
      <c r="D122">
        <v>30.99</v>
      </c>
      <c r="E122" t="s">
        <v>27</v>
      </c>
      <c r="F122" t="s">
        <v>1721</v>
      </c>
      <c r="G122" t="s">
        <v>16</v>
      </c>
      <c r="H122">
        <v>2</v>
      </c>
      <c r="I122" t="s">
        <v>41</v>
      </c>
      <c r="J122" t="s">
        <v>18</v>
      </c>
      <c r="K122">
        <v>10.5</v>
      </c>
      <c r="O122">
        <f t="shared" si="2"/>
        <v>21.99</v>
      </c>
    </row>
    <row r="123" spans="1:15" x14ac:dyDescent="0.35">
      <c r="A123" t="s">
        <v>205</v>
      </c>
      <c r="B123">
        <v>1</v>
      </c>
      <c r="C123">
        <v>27.99</v>
      </c>
      <c r="D123">
        <v>27.99</v>
      </c>
      <c r="E123" t="s">
        <v>10</v>
      </c>
      <c r="F123" t="s">
        <v>1722</v>
      </c>
      <c r="G123" t="s">
        <v>21</v>
      </c>
      <c r="H123">
        <v>0</v>
      </c>
      <c r="I123" t="s">
        <v>12</v>
      </c>
      <c r="J123" t="s">
        <v>31</v>
      </c>
      <c r="K123">
        <v>9</v>
      </c>
      <c r="O123">
        <f t="shared" si="2"/>
        <v>21.99</v>
      </c>
    </row>
    <row r="124" spans="1:15" x14ac:dyDescent="0.35">
      <c r="A124" t="s">
        <v>206</v>
      </c>
      <c r="B124">
        <v>1</v>
      </c>
      <c r="C124">
        <v>16.989999999999998</v>
      </c>
      <c r="D124">
        <v>16.989999999999998</v>
      </c>
      <c r="E124" t="s">
        <v>195</v>
      </c>
      <c r="F124" t="s">
        <v>1723</v>
      </c>
      <c r="G124" t="s">
        <v>21</v>
      </c>
      <c r="H124">
        <v>0</v>
      </c>
      <c r="I124" t="s">
        <v>24</v>
      </c>
      <c r="J124" t="s">
        <v>25</v>
      </c>
      <c r="K124">
        <v>5</v>
      </c>
      <c r="O124">
        <f t="shared" si="2"/>
        <v>21.99</v>
      </c>
    </row>
    <row r="125" spans="1:15" x14ac:dyDescent="0.35">
      <c r="A125" t="s">
        <v>207</v>
      </c>
      <c r="B125">
        <v>1</v>
      </c>
      <c r="C125">
        <v>21.99</v>
      </c>
      <c r="D125">
        <v>21.99</v>
      </c>
      <c r="E125" t="s">
        <v>54</v>
      </c>
      <c r="F125" t="s">
        <v>1724</v>
      </c>
      <c r="G125" t="s">
        <v>16</v>
      </c>
      <c r="H125">
        <v>7</v>
      </c>
      <c r="I125" t="s">
        <v>12</v>
      </c>
      <c r="J125" t="s">
        <v>13</v>
      </c>
      <c r="K125">
        <v>7</v>
      </c>
      <c r="O125">
        <f t="shared" si="2"/>
        <v>21.99</v>
      </c>
    </row>
    <row r="126" spans="1:15" x14ac:dyDescent="0.35">
      <c r="A126" t="s">
        <v>208</v>
      </c>
      <c r="B126">
        <v>1</v>
      </c>
      <c r="C126">
        <v>34.99</v>
      </c>
      <c r="D126">
        <v>34.99</v>
      </c>
      <c r="E126" t="s">
        <v>169</v>
      </c>
      <c r="F126" t="s">
        <v>1725</v>
      </c>
      <c r="G126" t="s">
        <v>16</v>
      </c>
      <c r="H126">
        <v>5</v>
      </c>
      <c r="I126" t="s">
        <v>24</v>
      </c>
      <c r="J126" t="s">
        <v>36</v>
      </c>
      <c r="K126">
        <v>12.5</v>
      </c>
      <c r="O126">
        <f t="shared" si="2"/>
        <v>21.99</v>
      </c>
    </row>
    <row r="127" spans="1:15" x14ac:dyDescent="0.35">
      <c r="A127" t="s">
        <v>209</v>
      </c>
      <c r="B127">
        <v>3</v>
      </c>
      <c r="C127">
        <v>30.99</v>
      </c>
      <c r="D127">
        <v>74.53</v>
      </c>
      <c r="E127" t="s">
        <v>210</v>
      </c>
      <c r="F127" t="s">
        <v>1726</v>
      </c>
      <c r="G127" t="s">
        <v>28</v>
      </c>
      <c r="H127">
        <v>0</v>
      </c>
      <c r="I127" t="s">
        <v>24</v>
      </c>
      <c r="J127" t="s">
        <v>18</v>
      </c>
      <c r="K127">
        <v>10.5</v>
      </c>
      <c r="O127">
        <f t="shared" si="2"/>
        <v>84.73</v>
      </c>
    </row>
    <row r="128" spans="1:15" x14ac:dyDescent="0.35">
      <c r="A128" t="s">
        <v>211</v>
      </c>
      <c r="B128">
        <v>1</v>
      </c>
      <c r="C128">
        <v>18.989999999999998</v>
      </c>
      <c r="D128">
        <v>18.989999999999998</v>
      </c>
      <c r="E128" t="s">
        <v>108</v>
      </c>
      <c r="F128" t="s">
        <v>1727</v>
      </c>
      <c r="G128" t="s">
        <v>16</v>
      </c>
      <c r="H128">
        <v>16</v>
      </c>
      <c r="I128" t="s">
        <v>12</v>
      </c>
      <c r="J128" t="s">
        <v>42</v>
      </c>
      <c r="K128">
        <v>6</v>
      </c>
      <c r="O128">
        <f t="shared" si="2"/>
        <v>21.99</v>
      </c>
    </row>
    <row r="129" spans="1:15" x14ac:dyDescent="0.35">
      <c r="A129" t="s">
        <v>212</v>
      </c>
      <c r="B129">
        <v>2</v>
      </c>
      <c r="C129">
        <v>34.99</v>
      </c>
      <c r="D129">
        <v>60.98</v>
      </c>
      <c r="E129" t="s">
        <v>64</v>
      </c>
      <c r="F129" t="s">
        <v>1728</v>
      </c>
      <c r="G129" t="s">
        <v>16</v>
      </c>
      <c r="H129">
        <v>7</v>
      </c>
      <c r="I129" t="s">
        <v>24</v>
      </c>
      <c r="J129" t="s">
        <v>36</v>
      </c>
      <c r="K129">
        <v>12.5</v>
      </c>
      <c r="O129">
        <f t="shared" si="2"/>
        <v>37.979999999999997</v>
      </c>
    </row>
    <row r="130" spans="1:15" x14ac:dyDescent="0.35">
      <c r="A130" t="s">
        <v>213</v>
      </c>
      <c r="B130">
        <v>1</v>
      </c>
      <c r="C130">
        <v>27.99</v>
      </c>
      <c r="D130">
        <v>27.99</v>
      </c>
      <c r="E130" t="s">
        <v>214</v>
      </c>
      <c r="F130" t="s">
        <v>1717</v>
      </c>
      <c r="G130" t="s">
        <v>16</v>
      </c>
      <c r="H130">
        <v>8</v>
      </c>
      <c r="I130" t="s">
        <v>24</v>
      </c>
      <c r="J130" t="s">
        <v>31</v>
      </c>
      <c r="K130">
        <v>9</v>
      </c>
      <c r="O130">
        <f t="shared" ref="O130:O193" si="4">VLOOKUP(B:B,B:H,3,FALSE)</f>
        <v>21.99</v>
      </c>
    </row>
    <row r="131" spans="1:15" x14ac:dyDescent="0.35">
      <c r="A131" t="s">
        <v>215</v>
      </c>
      <c r="B131">
        <v>2</v>
      </c>
      <c r="C131">
        <v>16.989999999999998</v>
      </c>
      <c r="D131">
        <v>29.18</v>
      </c>
      <c r="E131" t="s">
        <v>120</v>
      </c>
      <c r="F131" t="s">
        <v>1718</v>
      </c>
      <c r="G131" t="s">
        <v>16</v>
      </c>
      <c r="H131">
        <v>24</v>
      </c>
      <c r="I131" t="s">
        <v>24</v>
      </c>
      <c r="J131" t="s">
        <v>25</v>
      </c>
      <c r="K131">
        <v>5</v>
      </c>
      <c r="O131">
        <f t="shared" si="4"/>
        <v>37.979999999999997</v>
      </c>
    </row>
    <row r="132" spans="1:15" x14ac:dyDescent="0.35">
      <c r="A132" t="s">
        <v>216</v>
      </c>
      <c r="B132">
        <v>2</v>
      </c>
      <c r="C132">
        <v>18.989999999999998</v>
      </c>
      <c r="D132">
        <v>32.78</v>
      </c>
      <c r="E132" t="s">
        <v>176</v>
      </c>
      <c r="F132" t="s">
        <v>1719</v>
      </c>
      <c r="G132" t="s">
        <v>16</v>
      </c>
      <c r="H132">
        <v>13</v>
      </c>
      <c r="I132" t="s">
        <v>24</v>
      </c>
      <c r="J132" t="s">
        <v>42</v>
      </c>
      <c r="K132">
        <v>6</v>
      </c>
      <c r="O132">
        <f t="shared" si="4"/>
        <v>37.979999999999997</v>
      </c>
    </row>
    <row r="133" spans="1:15" x14ac:dyDescent="0.35">
      <c r="A133" t="s">
        <v>217</v>
      </c>
      <c r="B133">
        <v>3</v>
      </c>
      <c r="C133">
        <v>34.99</v>
      </c>
      <c r="D133">
        <v>84.73</v>
      </c>
      <c r="E133" t="s">
        <v>162</v>
      </c>
      <c r="F133" t="s">
        <v>1720</v>
      </c>
      <c r="G133" t="s">
        <v>16</v>
      </c>
      <c r="H133">
        <v>6</v>
      </c>
      <c r="I133" t="s">
        <v>41</v>
      </c>
      <c r="J133" t="s">
        <v>36</v>
      </c>
      <c r="K133">
        <v>12.5</v>
      </c>
      <c r="O133">
        <f t="shared" si="4"/>
        <v>84.73</v>
      </c>
    </row>
    <row r="134" spans="1:15" x14ac:dyDescent="0.35">
      <c r="A134" t="s">
        <v>218</v>
      </c>
      <c r="B134">
        <v>2</v>
      </c>
      <c r="C134">
        <v>18.989999999999998</v>
      </c>
      <c r="D134">
        <v>32.78</v>
      </c>
      <c r="E134" t="s">
        <v>46</v>
      </c>
      <c r="F134" t="s">
        <v>1721</v>
      </c>
      <c r="G134" t="s">
        <v>16</v>
      </c>
      <c r="H134">
        <v>13</v>
      </c>
      <c r="I134" t="s">
        <v>41</v>
      </c>
      <c r="J134" t="s">
        <v>42</v>
      </c>
      <c r="K134">
        <v>6</v>
      </c>
      <c r="O134">
        <f t="shared" si="4"/>
        <v>37.979999999999997</v>
      </c>
    </row>
    <row r="135" spans="1:15" x14ac:dyDescent="0.35">
      <c r="A135" t="s">
        <v>219</v>
      </c>
      <c r="B135">
        <v>2</v>
      </c>
      <c r="C135">
        <v>30.99</v>
      </c>
      <c r="D135">
        <v>53.78</v>
      </c>
      <c r="E135" t="s">
        <v>126</v>
      </c>
      <c r="F135" t="s">
        <v>1722</v>
      </c>
      <c r="G135" t="s">
        <v>21</v>
      </c>
      <c r="H135">
        <v>0</v>
      </c>
      <c r="I135" t="s">
        <v>12</v>
      </c>
      <c r="J135" t="s">
        <v>18</v>
      </c>
      <c r="K135">
        <v>10.5</v>
      </c>
      <c r="O135">
        <f t="shared" si="4"/>
        <v>37.979999999999997</v>
      </c>
    </row>
    <row r="136" spans="1:15" x14ac:dyDescent="0.35">
      <c r="A136" t="s">
        <v>220</v>
      </c>
      <c r="B136">
        <v>1</v>
      </c>
      <c r="C136">
        <v>21.99</v>
      </c>
      <c r="D136">
        <v>21.99</v>
      </c>
      <c r="E136" t="s">
        <v>50</v>
      </c>
      <c r="F136" t="s">
        <v>1723</v>
      </c>
      <c r="G136" t="s">
        <v>16</v>
      </c>
      <c r="H136">
        <v>3</v>
      </c>
      <c r="I136" t="s">
        <v>12</v>
      </c>
      <c r="J136" t="s">
        <v>13</v>
      </c>
      <c r="K136">
        <v>7</v>
      </c>
      <c r="O136">
        <f t="shared" si="4"/>
        <v>21.99</v>
      </c>
    </row>
    <row r="137" spans="1:15" x14ac:dyDescent="0.35">
      <c r="A137" t="s">
        <v>221</v>
      </c>
      <c r="B137">
        <v>2</v>
      </c>
      <c r="C137">
        <v>27.99</v>
      </c>
      <c r="D137">
        <v>48.38</v>
      </c>
      <c r="E137" t="s">
        <v>108</v>
      </c>
      <c r="F137" t="s">
        <v>1724</v>
      </c>
      <c r="G137" t="s">
        <v>16</v>
      </c>
      <c r="H137">
        <v>3</v>
      </c>
      <c r="I137" t="s">
        <v>24</v>
      </c>
      <c r="J137" t="s">
        <v>31</v>
      </c>
      <c r="K137">
        <v>9</v>
      </c>
      <c r="O137">
        <f t="shared" si="4"/>
        <v>37.979999999999997</v>
      </c>
    </row>
    <row r="138" spans="1:15" x14ac:dyDescent="0.35">
      <c r="A138" t="s">
        <v>222</v>
      </c>
      <c r="B138">
        <v>1</v>
      </c>
      <c r="C138">
        <v>34.99</v>
      </c>
      <c r="D138">
        <v>34.99</v>
      </c>
      <c r="E138" s="6">
        <v>46187</v>
      </c>
      <c r="F138" t="s">
        <v>1725</v>
      </c>
      <c r="G138" t="s">
        <v>21</v>
      </c>
      <c r="H138">
        <v>0</v>
      </c>
      <c r="I138" t="s">
        <v>17</v>
      </c>
      <c r="J138" t="s">
        <v>36</v>
      </c>
      <c r="K138">
        <v>12.5</v>
      </c>
      <c r="O138">
        <f t="shared" si="4"/>
        <v>21.99</v>
      </c>
    </row>
    <row r="139" spans="1:15" x14ac:dyDescent="0.35">
      <c r="A139" t="s">
        <v>223</v>
      </c>
      <c r="B139">
        <v>1</v>
      </c>
      <c r="C139">
        <v>16.989999999999998</v>
      </c>
      <c r="D139">
        <v>16.989999999999998</v>
      </c>
      <c r="E139" t="s">
        <v>171</v>
      </c>
      <c r="F139" t="s">
        <v>1726</v>
      </c>
      <c r="G139" t="s">
        <v>21</v>
      </c>
      <c r="H139">
        <v>0</v>
      </c>
      <c r="I139" t="s">
        <v>24</v>
      </c>
      <c r="J139" t="s">
        <v>25</v>
      </c>
      <c r="K139">
        <v>5</v>
      </c>
      <c r="O139">
        <f t="shared" si="4"/>
        <v>21.99</v>
      </c>
    </row>
    <row r="140" spans="1:15" x14ac:dyDescent="0.35">
      <c r="A140" t="s">
        <v>224</v>
      </c>
      <c r="B140">
        <v>1</v>
      </c>
      <c r="C140">
        <v>27.99</v>
      </c>
      <c r="D140">
        <v>27.99</v>
      </c>
      <c r="E140" t="s">
        <v>57</v>
      </c>
      <c r="F140" t="s">
        <v>1727</v>
      </c>
      <c r="G140" t="s">
        <v>16</v>
      </c>
      <c r="H140">
        <v>3</v>
      </c>
      <c r="I140" t="s">
        <v>17</v>
      </c>
      <c r="J140" t="s">
        <v>31</v>
      </c>
      <c r="K140">
        <v>9</v>
      </c>
      <c r="O140">
        <f t="shared" si="4"/>
        <v>21.99</v>
      </c>
    </row>
    <row r="141" spans="1:15" x14ac:dyDescent="0.35">
      <c r="A141" t="s">
        <v>225</v>
      </c>
      <c r="B141">
        <v>3</v>
      </c>
      <c r="C141">
        <v>21.99</v>
      </c>
      <c r="D141">
        <v>52.48</v>
      </c>
      <c r="E141" t="s">
        <v>102</v>
      </c>
      <c r="F141" t="s">
        <v>1728</v>
      </c>
      <c r="G141" t="s">
        <v>11</v>
      </c>
      <c r="H141">
        <v>2</v>
      </c>
      <c r="I141" t="s">
        <v>24</v>
      </c>
      <c r="J141" t="s">
        <v>13</v>
      </c>
      <c r="K141">
        <v>7</v>
      </c>
      <c r="O141">
        <f t="shared" si="4"/>
        <v>84.73</v>
      </c>
    </row>
    <row r="142" spans="1:15" x14ac:dyDescent="0.35">
      <c r="A142" t="s">
        <v>226</v>
      </c>
      <c r="B142">
        <v>1</v>
      </c>
      <c r="C142">
        <v>27.99</v>
      </c>
      <c r="D142">
        <v>27.99</v>
      </c>
      <c r="E142" t="s">
        <v>64</v>
      </c>
      <c r="F142" t="s">
        <v>1717</v>
      </c>
      <c r="G142" t="s">
        <v>28</v>
      </c>
      <c r="H142">
        <v>0</v>
      </c>
      <c r="I142" t="s">
        <v>17</v>
      </c>
      <c r="J142" t="s">
        <v>31</v>
      </c>
      <c r="K142">
        <v>9</v>
      </c>
      <c r="O142">
        <f t="shared" si="4"/>
        <v>21.99</v>
      </c>
    </row>
    <row r="143" spans="1:15" x14ac:dyDescent="0.35">
      <c r="A143" t="s">
        <v>227</v>
      </c>
      <c r="B143">
        <v>1</v>
      </c>
      <c r="C143">
        <v>30.99</v>
      </c>
      <c r="D143">
        <v>30.99</v>
      </c>
      <c r="E143" t="s">
        <v>76</v>
      </c>
      <c r="F143" t="s">
        <v>1718</v>
      </c>
      <c r="G143" t="s">
        <v>16</v>
      </c>
      <c r="H143">
        <v>3</v>
      </c>
      <c r="I143" t="s">
        <v>24</v>
      </c>
      <c r="J143" t="s">
        <v>18</v>
      </c>
      <c r="K143">
        <v>10.5</v>
      </c>
      <c r="O143">
        <f t="shared" si="4"/>
        <v>21.99</v>
      </c>
    </row>
    <row r="144" spans="1:15" x14ac:dyDescent="0.35">
      <c r="A144" t="s">
        <v>228</v>
      </c>
      <c r="B144">
        <v>1</v>
      </c>
      <c r="C144">
        <v>27.99</v>
      </c>
      <c r="D144">
        <v>27.99</v>
      </c>
      <c r="E144" t="s">
        <v>229</v>
      </c>
      <c r="F144" t="s">
        <v>1719</v>
      </c>
      <c r="G144" t="s">
        <v>16</v>
      </c>
      <c r="H144">
        <v>3</v>
      </c>
      <c r="I144" t="s">
        <v>41</v>
      </c>
      <c r="J144" t="s">
        <v>31</v>
      </c>
      <c r="K144">
        <v>9</v>
      </c>
      <c r="O144">
        <f t="shared" si="4"/>
        <v>21.99</v>
      </c>
    </row>
    <row r="145" spans="1:15" x14ac:dyDescent="0.35">
      <c r="A145" t="s">
        <v>230</v>
      </c>
      <c r="B145">
        <v>1</v>
      </c>
      <c r="C145">
        <v>34.99</v>
      </c>
      <c r="D145">
        <v>34.99</v>
      </c>
      <c r="E145" t="s">
        <v>231</v>
      </c>
      <c r="F145" t="s">
        <v>1720</v>
      </c>
      <c r="G145" t="s">
        <v>21</v>
      </c>
      <c r="H145">
        <v>0</v>
      </c>
      <c r="I145" t="s">
        <v>24</v>
      </c>
      <c r="J145" t="s">
        <v>36</v>
      </c>
      <c r="K145">
        <v>12.5</v>
      </c>
      <c r="O145">
        <f t="shared" si="4"/>
        <v>21.99</v>
      </c>
    </row>
    <row r="146" spans="1:15" x14ac:dyDescent="0.35">
      <c r="A146" t="s">
        <v>232</v>
      </c>
      <c r="B146">
        <v>1</v>
      </c>
      <c r="C146">
        <v>16.989999999999998</v>
      </c>
      <c r="D146">
        <v>16.989999999999998</v>
      </c>
      <c r="E146" t="s">
        <v>233</v>
      </c>
      <c r="F146" t="s">
        <v>1721</v>
      </c>
      <c r="G146" t="s">
        <v>16</v>
      </c>
      <c r="H146">
        <v>16</v>
      </c>
      <c r="I146" t="s">
        <v>24</v>
      </c>
      <c r="J146" t="s">
        <v>25</v>
      </c>
      <c r="K146">
        <v>5</v>
      </c>
      <c r="O146">
        <f t="shared" si="4"/>
        <v>21.99</v>
      </c>
    </row>
    <row r="147" spans="1:15" x14ac:dyDescent="0.35">
      <c r="A147" t="s">
        <v>234</v>
      </c>
      <c r="B147">
        <v>1</v>
      </c>
      <c r="C147">
        <v>34.99</v>
      </c>
      <c r="D147">
        <v>34.99</v>
      </c>
      <c r="E147" t="s">
        <v>116</v>
      </c>
      <c r="F147" t="s">
        <v>1722</v>
      </c>
      <c r="G147" t="s">
        <v>87</v>
      </c>
      <c r="H147">
        <v>0</v>
      </c>
      <c r="I147" t="s">
        <v>24</v>
      </c>
      <c r="J147" t="s">
        <v>36</v>
      </c>
      <c r="K147">
        <v>12.5</v>
      </c>
      <c r="O147">
        <f t="shared" si="4"/>
        <v>21.99</v>
      </c>
    </row>
    <row r="148" spans="1:15" x14ac:dyDescent="0.35">
      <c r="A148" t="s">
        <v>235</v>
      </c>
      <c r="B148">
        <v>1</v>
      </c>
      <c r="C148">
        <v>16.989999999999998</v>
      </c>
      <c r="D148">
        <v>16.989999999999998</v>
      </c>
      <c r="E148" t="s">
        <v>236</v>
      </c>
      <c r="F148" t="s">
        <v>1723</v>
      </c>
      <c r="G148" t="s">
        <v>16</v>
      </c>
      <c r="H148">
        <v>17</v>
      </c>
      <c r="I148" t="s">
        <v>17</v>
      </c>
      <c r="J148" t="s">
        <v>25</v>
      </c>
      <c r="K148">
        <v>5</v>
      </c>
      <c r="O148">
        <f t="shared" si="4"/>
        <v>21.99</v>
      </c>
    </row>
    <row r="149" spans="1:15" x14ac:dyDescent="0.35">
      <c r="A149" t="s">
        <v>237</v>
      </c>
      <c r="B149">
        <v>1</v>
      </c>
      <c r="C149">
        <v>21.99</v>
      </c>
      <c r="D149">
        <v>21.99</v>
      </c>
      <c r="E149" t="s">
        <v>86</v>
      </c>
      <c r="F149" t="s">
        <v>1724</v>
      </c>
      <c r="G149" t="s">
        <v>21</v>
      </c>
      <c r="H149">
        <v>0</v>
      </c>
      <c r="I149" t="s">
        <v>12</v>
      </c>
      <c r="J149" t="s">
        <v>13</v>
      </c>
      <c r="K149">
        <v>7</v>
      </c>
      <c r="O149">
        <f t="shared" si="4"/>
        <v>21.99</v>
      </c>
    </row>
    <row r="150" spans="1:15" x14ac:dyDescent="0.35">
      <c r="A150" t="s">
        <v>238</v>
      </c>
      <c r="B150">
        <v>1</v>
      </c>
      <c r="C150">
        <v>30.99</v>
      </c>
      <c r="D150">
        <v>30.99</v>
      </c>
      <c r="E150" t="s">
        <v>169</v>
      </c>
      <c r="F150" t="s">
        <v>1725</v>
      </c>
      <c r="G150" t="s">
        <v>11</v>
      </c>
      <c r="H150">
        <v>2</v>
      </c>
      <c r="I150" t="s">
        <v>41</v>
      </c>
      <c r="J150" t="s">
        <v>18</v>
      </c>
      <c r="K150">
        <v>10.5</v>
      </c>
      <c r="O150">
        <f t="shared" si="4"/>
        <v>21.99</v>
      </c>
    </row>
    <row r="151" spans="1:15" x14ac:dyDescent="0.35">
      <c r="A151" t="s">
        <v>239</v>
      </c>
      <c r="B151">
        <v>1</v>
      </c>
      <c r="C151">
        <v>16.989999999999998</v>
      </c>
      <c r="D151">
        <v>16.989999999999998</v>
      </c>
      <c r="E151" t="s">
        <v>240</v>
      </c>
      <c r="F151" t="s">
        <v>1726</v>
      </c>
      <c r="G151" t="s">
        <v>16</v>
      </c>
      <c r="H151">
        <v>16</v>
      </c>
      <c r="I151" t="s">
        <v>24</v>
      </c>
      <c r="J151" t="s">
        <v>25</v>
      </c>
      <c r="K151">
        <v>5</v>
      </c>
      <c r="O151">
        <f t="shared" si="4"/>
        <v>21.99</v>
      </c>
    </row>
    <row r="152" spans="1:15" x14ac:dyDescent="0.35">
      <c r="A152" t="s">
        <v>241</v>
      </c>
      <c r="B152">
        <v>1</v>
      </c>
      <c r="C152">
        <v>16.989999999999998</v>
      </c>
      <c r="D152">
        <v>16.989999999999998</v>
      </c>
      <c r="E152" t="s">
        <v>138</v>
      </c>
      <c r="F152" t="s">
        <v>1727</v>
      </c>
      <c r="G152" t="s">
        <v>16</v>
      </c>
      <c r="H152">
        <v>20</v>
      </c>
      <c r="I152" t="s">
        <v>24</v>
      </c>
      <c r="J152" t="s">
        <v>25</v>
      </c>
      <c r="K152">
        <v>5</v>
      </c>
      <c r="O152">
        <f t="shared" si="4"/>
        <v>21.99</v>
      </c>
    </row>
    <row r="153" spans="1:15" x14ac:dyDescent="0.35">
      <c r="A153" t="s">
        <v>242</v>
      </c>
      <c r="B153">
        <v>1</v>
      </c>
      <c r="C153">
        <v>18.989999999999998</v>
      </c>
      <c r="D153">
        <v>18.989999999999998</v>
      </c>
      <c r="E153" t="s">
        <v>214</v>
      </c>
      <c r="F153" t="s">
        <v>1728</v>
      </c>
      <c r="G153" t="s">
        <v>16</v>
      </c>
      <c r="H153">
        <v>13</v>
      </c>
      <c r="I153" t="s">
        <v>12</v>
      </c>
      <c r="J153" t="s">
        <v>42</v>
      </c>
      <c r="K153">
        <v>6</v>
      </c>
      <c r="O153">
        <f t="shared" si="4"/>
        <v>21.99</v>
      </c>
    </row>
    <row r="154" spans="1:15" x14ac:dyDescent="0.35">
      <c r="A154" t="s">
        <v>243</v>
      </c>
      <c r="B154">
        <v>1</v>
      </c>
      <c r="C154">
        <v>18.989999999999998</v>
      </c>
      <c r="D154">
        <v>18.989999999999998</v>
      </c>
      <c r="E154" t="s">
        <v>229</v>
      </c>
      <c r="F154" t="s">
        <v>1717</v>
      </c>
      <c r="G154" t="s">
        <v>87</v>
      </c>
      <c r="H154">
        <v>0</v>
      </c>
      <c r="I154" t="s">
        <v>41</v>
      </c>
      <c r="J154" t="s">
        <v>42</v>
      </c>
      <c r="K154">
        <v>6</v>
      </c>
      <c r="O154">
        <f t="shared" si="4"/>
        <v>21.99</v>
      </c>
    </row>
    <row r="155" spans="1:15" x14ac:dyDescent="0.35">
      <c r="A155" t="s">
        <v>244</v>
      </c>
      <c r="B155">
        <v>1</v>
      </c>
      <c r="C155">
        <v>34.99</v>
      </c>
      <c r="D155">
        <v>34.99</v>
      </c>
      <c r="E155" t="s">
        <v>164</v>
      </c>
      <c r="F155" t="s">
        <v>1718</v>
      </c>
      <c r="G155" t="s">
        <v>11</v>
      </c>
      <c r="H155">
        <v>8</v>
      </c>
      <c r="I155" t="s">
        <v>17</v>
      </c>
      <c r="J155" t="s">
        <v>36</v>
      </c>
      <c r="K155">
        <v>12.5</v>
      </c>
      <c r="O155">
        <f t="shared" si="4"/>
        <v>21.99</v>
      </c>
    </row>
    <row r="156" spans="1:15" x14ac:dyDescent="0.35">
      <c r="A156" t="s">
        <v>244</v>
      </c>
      <c r="B156">
        <v>1</v>
      </c>
      <c r="C156">
        <v>34.99</v>
      </c>
      <c r="D156">
        <v>34.99</v>
      </c>
      <c r="E156" t="s">
        <v>164</v>
      </c>
      <c r="F156" t="s">
        <v>1719</v>
      </c>
      <c r="G156" t="s">
        <v>11</v>
      </c>
      <c r="H156">
        <v>8</v>
      </c>
      <c r="I156" t="s">
        <v>17</v>
      </c>
      <c r="J156" t="s">
        <v>36</v>
      </c>
      <c r="K156">
        <v>12.5</v>
      </c>
      <c r="O156">
        <f t="shared" si="4"/>
        <v>21.99</v>
      </c>
    </row>
    <row r="157" spans="1:15" x14ac:dyDescent="0.35">
      <c r="A157" t="s">
        <v>245</v>
      </c>
      <c r="B157">
        <v>3</v>
      </c>
      <c r="C157">
        <v>16.989999999999998</v>
      </c>
      <c r="D157">
        <v>40.18</v>
      </c>
      <c r="E157" t="s">
        <v>50</v>
      </c>
      <c r="F157" t="s">
        <v>1720</v>
      </c>
      <c r="G157" t="s">
        <v>21</v>
      </c>
      <c r="H157">
        <v>0</v>
      </c>
      <c r="I157" t="s">
        <v>12</v>
      </c>
      <c r="J157" t="s">
        <v>25</v>
      </c>
      <c r="K157">
        <v>5</v>
      </c>
      <c r="O157">
        <f t="shared" si="4"/>
        <v>84.73</v>
      </c>
    </row>
    <row r="158" spans="1:15" x14ac:dyDescent="0.35">
      <c r="A158" t="s">
        <v>246</v>
      </c>
      <c r="B158">
        <v>3</v>
      </c>
      <c r="C158">
        <v>27.99</v>
      </c>
      <c r="D158">
        <v>66.88</v>
      </c>
      <c r="E158" t="s">
        <v>132</v>
      </c>
      <c r="F158" t="s">
        <v>1721</v>
      </c>
      <c r="G158" t="s">
        <v>16</v>
      </c>
      <c r="H158">
        <v>7</v>
      </c>
      <c r="I158" t="s">
        <v>12</v>
      </c>
      <c r="J158" t="s">
        <v>31</v>
      </c>
      <c r="K158">
        <v>9</v>
      </c>
      <c r="O158">
        <f t="shared" si="4"/>
        <v>84.73</v>
      </c>
    </row>
    <row r="159" spans="1:15" x14ac:dyDescent="0.35">
      <c r="A159" t="s">
        <v>247</v>
      </c>
      <c r="B159">
        <v>1</v>
      </c>
      <c r="C159">
        <v>27.99</v>
      </c>
      <c r="D159">
        <v>27.99</v>
      </c>
      <c r="E159" t="s">
        <v>156</v>
      </c>
      <c r="F159" t="s">
        <v>1722</v>
      </c>
      <c r="G159" t="s">
        <v>16</v>
      </c>
      <c r="H159">
        <v>2</v>
      </c>
      <c r="I159" t="s">
        <v>17</v>
      </c>
      <c r="J159" t="s">
        <v>31</v>
      </c>
      <c r="K159">
        <v>9</v>
      </c>
      <c r="O159">
        <f t="shared" si="4"/>
        <v>21.99</v>
      </c>
    </row>
    <row r="160" spans="1:15" x14ac:dyDescent="0.35">
      <c r="A160" t="s">
        <v>248</v>
      </c>
      <c r="B160">
        <v>1</v>
      </c>
      <c r="C160">
        <v>34.99</v>
      </c>
      <c r="D160">
        <v>34.99</v>
      </c>
      <c r="E160" t="s">
        <v>57</v>
      </c>
      <c r="F160" t="s">
        <v>1723</v>
      </c>
      <c r="G160" t="s">
        <v>21</v>
      </c>
      <c r="H160">
        <v>0</v>
      </c>
      <c r="I160" t="s">
        <v>24</v>
      </c>
      <c r="J160" t="s">
        <v>36</v>
      </c>
      <c r="K160">
        <v>12.5</v>
      </c>
      <c r="O160">
        <f t="shared" si="4"/>
        <v>21.99</v>
      </c>
    </row>
    <row r="161" spans="1:15" x14ac:dyDescent="0.35">
      <c r="A161" t="s">
        <v>249</v>
      </c>
      <c r="B161">
        <v>1</v>
      </c>
      <c r="C161">
        <v>34.99</v>
      </c>
      <c r="D161">
        <v>34.99</v>
      </c>
      <c r="E161" t="s">
        <v>156</v>
      </c>
      <c r="F161" t="s">
        <v>1724</v>
      </c>
      <c r="G161" t="s">
        <v>87</v>
      </c>
      <c r="H161">
        <v>0</v>
      </c>
      <c r="I161" t="s">
        <v>41</v>
      </c>
      <c r="J161" t="s">
        <v>36</v>
      </c>
      <c r="K161">
        <v>12.5</v>
      </c>
      <c r="O161">
        <f t="shared" si="4"/>
        <v>21.99</v>
      </c>
    </row>
    <row r="162" spans="1:15" x14ac:dyDescent="0.35">
      <c r="A162" t="s">
        <v>250</v>
      </c>
      <c r="B162">
        <v>2</v>
      </c>
      <c r="C162">
        <v>34.99</v>
      </c>
      <c r="D162">
        <v>60.98</v>
      </c>
      <c r="E162" t="s">
        <v>59</v>
      </c>
      <c r="F162" t="s">
        <v>1725</v>
      </c>
      <c r="G162" t="s">
        <v>16</v>
      </c>
      <c r="H162">
        <v>12</v>
      </c>
      <c r="I162" t="s">
        <v>12</v>
      </c>
      <c r="J162" t="s">
        <v>36</v>
      </c>
      <c r="K162">
        <v>12.5</v>
      </c>
      <c r="O162">
        <f t="shared" si="4"/>
        <v>37.979999999999997</v>
      </c>
    </row>
    <row r="163" spans="1:15" x14ac:dyDescent="0.35">
      <c r="A163" t="s">
        <v>251</v>
      </c>
      <c r="B163">
        <v>1</v>
      </c>
      <c r="C163">
        <v>18.989999999999998</v>
      </c>
      <c r="D163">
        <v>18.989999999999998</v>
      </c>
      <c r="E163" t="s">
        <v>35</v>
      </c>
      <c r="F163" t="s">
        <v>1726</v>
      </c>
      <c r="G163" t="s">
        <v>11</v>
      </c>
      <c r="H163">
        <v>11</v>
      </c>
      <c r="I163" t="s">
        <v>24</v>
      </c>
      <c r="J163" t="s">
        <v>42</v>
      </c>
      <c r="K163">
        <v>6</v>
      </c>
      <c r="O163">
        <f t="shared" si="4"/>
        <v>21.99</v>
      </c>
    </row>
    <row r="164" spans="1:15" x14ac:dyDescent="0.35">
      <c r="A164" t="s">
        <v>252</v>
      </c>
      <c r="B164">
        <v>3</v>
      </c>
      <c r="C164">
        <v>30.99</v>
      </c>
      <c r="D164">
        <v>74.53</v>
      </c>
      <c r="E164" t="s">
        <v>118</v>
      </c>
      <c r="F164" t="s">
        <v>1727</v>
      </c>
      <c r="G164" t="s">
        <v>16</v>
      </c>
      <c r="H164">
        <v>3</v>
      </c>
      <c r="I164" t="s">
        <v>24</v>
      </c>
      <c r="J164" t="s">
        <v>18</v>
      </c>
      <c r="K164">
        <v>10.5</v>
      </c>
      <c r="O164">
        <f t="shared" si="4"/>
        <v>84.73</v>
      </c>
    </row>
    <row r="165" spans="1:15" x14ac:dyDescent="0.35">
      <c r="A165" t="s">
        <v>253</v>
      </c>
      <c r="B165">
        <v>1</v>
      </c>
      <c r="C165">
        <v>30.99</v>
      </c>
      <c r="D165">
        <v>30.99</v>
      </c>
      <c r="E165" t="s">
        <v>191</v>
      </c>
      <c r="F165" t="s">
        <v>1728</v>
      </c>
      <c r="G165" t="s">
        <v>16</v>
      </c>
      <c r="H165">
        <v>8</v>
      </c>
      <c r="I165" t="s">
        <v>41</v>
      </c>
      <c r="J165" t="s">
        <v>18</v>
      </c>
      <c r="K165">
        <v>10.5</v>
      </c>
      <c r="O165">
        <f t="shared" si="4"/>
        <v>21.99</v>
      </c>
    </row>
    <row r="166" spans="1:15" x14ac:dyDescent="0.35">
      <c r="A166" t="s">
        <v>254</v>
      </c>
      <c r="B166">
        <v>1</v>
      </c>
      <c r="C166">
        <v>21.99</v>
      </c>
      <c r="D166">
        <v>21.99</v>
      </c>
      <c r="E166" t="s">
        <v>214</v>
      </c>
      <c r="F166" t="s">
        <v>1717</v>
      </c>
      <c r="G166" t="s">
        <v>21</v>
      </c>
      <c r="H166">
        <v>0</v>
      </c>
      <c r="I166" t="s">
        <v>12</v>
      </c>
      <c r="J166" t="s">
        <v>13</v>
      </c>
      <c r="K166">
        <v>7</v>
      </c>
      <c r="O166">
        <f t="shared" si="4"/>
        <v>21.99</v>
      </c>
    </row>
    <row r="167" spans="1:15" x14ac:dyDescent="0.35">
      <c r="A167" t="s">
        <v>255</v>
      </c>
      <c r="B167">
        <v>1</v>
      </c>
      <c r="C167">
        <v>27.99</v>
      </c>
      <c r="D167">
        <v>27.99</v>
      </c>
      <c r="E167" t="s">
        <v>256</v>
      </c>
      <c r="F167" t="s">
        <v>1718</v>
      </c>
      <c r="G167" t="s">
        <v>21</v>
      </c>
      <c r="H167">
        <v>0</v>
      </c>
      <c r="I167" t="s">
        <v>17</v>
      </c>
      <c r="J167" t="s">
        <v>31</v>
      </c>
      <c r="K167">
        <v>9</v>
      </c>
      <c r="O167">
        <f t="shared" si="4"/>
        <v>21.99</v>
      </c>
    </row>
    <row r="168" spans="1:15" x14ac:dyDescent="0.35">
      <c r="A168" t="s">
        <v>257</v>
      </c>
      <c r="B168">
        <v>3</v>
      </c>
      <c r="C168">
        <v>21.99</v>
      </c>
      <c r="D168">
        <v>52.48</v>
      </c>
      <c r="E168" t="s">
        <v>240</v>
      </c>
      <c r="F168" t="s">
        <v>1719</v>
      </c>
      <c r="G168" t="s">
        <v>87</v>
      </c>
      <c r="H168">
        <v>0</v>
      </c>
      <c r="I168" t="s">
        <v>41</v>
      </c>
      <c r="J168" t="s">
        <v>13</v>
      </c>
      <c r="K168">
        <v>7</v>
      </c>
      <c r="O168">
        <f t="shared" si="4"/>
        <v>84.73</v>
      </c>
    </row>
    <row r="169" spans="1:15" x14ac:dyDescent="0.35">
      <c r="A169" t="s">
        <v>258</v>
      </c>
      <c r="B169">
        <v>1</v>
      </c>
      <c r="C169">
        <v>18.989999999999998</v>
      </c>
      <c r="D169">
        <v>18.989999999999998</v>
      </c>
      <c r="E169" t="s">
        <v>48</v>
      </c>
      <c r="F169" t="s">
        <v>1720</v>
      </c>
      <c r="G169" t="s">
        <v>16</v>
      </c>
      <c r="H169">
        <v>11</v>
      </c>
      <c r="I169" t="s">
        <v>17</v>
      </c>
      <c r="J169" t="s">
        <v>42</v>
      </c>
      <c r="K169">
        <v>6</v>
      </c>
      <c r="O169">
        <f t="shared" si="4"/>
        <v>21.99</v>
      </c>
    </row>
    <row r="170" spans="1:15" x14ac:dyDescent="0.35">
      <c r="A170" t="s">
        <v>259</v>
      </c>
      <c r="B170">
        <v>1</v>
      </c>
      <c r="C170">
        <v>30.99</v>
      </c>
      <c r="D170">
        <v>30.99</v>
      </c>
      <c r="E170" t="s">
        <v>61</v>
      </c>
      <c r="F170" t="s">
        <v>1721</v>
      </c>
      <c r="G170" t="s">
        <v>16</v>
      </c>
      <c r="H170">
        <v>3</v>
      </c>
      <c r="I170" t="s">
        <v>17</v>
      </c>
      <c r="J170" t="s">
        <v>18</v>
      </c>
      <c r="K170">
        <v>10.5</v>
      </c>
      <c r="O170">
        <f t="shared" si="4"/>
        <v>21.99</v>
      </c>
    </row>
    <row r="171" spans="1:15" x14ac:dyDescent="0.35">
      <c r="A171" t="s">
        <v>260</v>
      </c>
      <c r="B171">
        <v>3</v>
      </c>
      <c r="C171">
        <v>16.989999999999998</v>
      </c>
      <c r="D171">
        <v>40.18</v>
      </c>
      <c r="E171" t="s">
        <v>176</v>
      </c>
      <c r="F171" t="s">
        <v>1722</v>
      </c>
      <c r="G171" t="s">
        <v>87</v>
      </c>
      <c r="H171">
        <v>0</v>
      </c>
      <c r="I171" t="s">
        <v>24</v>
      </c>
      <c r="J171" t="s">
        <v>25</v>
      </c>
      <c r="K171">
        <v>5</v>
      </c>
      <c r="O171">
        <f t="shared" si="4"/>
        <v>84.73</v>
      </c>
    </row>
    <row r="172" spans="1:15" x14ac:dyDescent="0.35">
      <c r="A172" t="s">
        <v>261</v>
      </c>
      <c r="B172">
        <v>1</v>
      </c>
      <c r="C172">
        <v>16.989999999999998</v>
      </c>
      <c r="D172">
        <v>16.989999999999998</v>
      </c>
      <c r="E172" t="s">
        <v>106</v>
      </c>
      <c r="F172" t="s">
        <v>1723</v>
      </c>
      <c r="G172" t="s">
        <v>16</v>
      </c>
      <c r="H172">
        <v>18</v>
      </c>
      <c r="I172" t="s">
        <v>17</v>
      </c>
      <c r="J172" t="s">
        <v>25</v>
      </c>
      <c r="K172">
        <v>5</v>
      </c>
      <c r="O172">
        <f t="shared" si="4"/>
        <v>21.99</v>
      </c>
    </row>
    <row r="173" spans="1:15" x14ac:dyDescent="0.35">
      <c r="A173" t="s">
        <v>262</v>
      </c>
      <c r="B173">
        <v>1</v>
      </c>
      <c r="C173">
        <v>34.99</v>
      </c>
      <c r="D173">
        <v>34.99</v>
      </c>
      <c r="E173" t="s">
        <v>72</v>
      </c>
      <c r="F173" t="s">
        <v>1724</v>
      </c>
      <c r="G173" t="s">
        <v>16</v>
      </c>
      <c r="H173">
        <v>8</v>
      </c>
      <c r="I173" t="s">
        <v>17</v>
      </c>
      <c r="J173" t="s">
        <v>36</v>
      </c>
      <c r="K173">
        <v>12.5</v>
      </c>
      <c r="O173">
        <f t="shared" si="4"/>
        <v>21.99</v>
      </c>
    </row>
    <row r="174" spans="1:15" x14ac:dyDescent="0.35">
      <c r="A174" t="s">
        <v>263</v>
      </c>
      <c r="B174">
        <v>1</v>
      </c>
      <c r="C174">
        <v>34.99</v>
      </c>
      <c r="D174">
        <v>34.99</v>
      </c>
      <c r="E174" t="s">
        <v>264</v>
      </c>
      <c r="F174" t="s">
        <v>1725</v>
      </c>
      <c r="G174" t="s">
        <v>11</v>
      </c>
      <c r="H174">
        <v>8</v>
      </c>
      <c r="I174" t="s">
        <v>17</v>
      </c>
      <c r="J174" t="s">
        <v>36</v>
      </c>
      <c r="K174">
        <v>12.5</v>
      </c>
      <c r="O174">
        <f t="shared" si="4"/>
        <v>21.99</v>
      </c>
    </row>
    <row r="175" spans="1:15" x14ac:dyDescent="0.35">
      <c r="A175" t="s">
        <v>265</v>
      </c>
      <c r="B175">
        <v>3</v>
      </c>
      <c r="C175">
        <v>30.99</v>
      </c>
      <c r="D175">
        <v>74.53</v>
      </c>
      <c r="E175" t="s">
        <v>35</v>
      </c>
      <c r="F175" t="s">
        <v>1726</v>
      </c>
      <c r="G175" t="s">
        <v>11</v>
      </c>
      <c r="H175">
        <v>3</v>
      </c>
      <c r="I175" t="s">
        <v>12</v>
      </c>
      <c r="J175" t="s">
        <v>18</v>
      </c>
      <c r="K175">
        <v>10.5</v>
      </c>
      <c r="O175">
        <f t="shared" si="4"/>
        <v>84.73</v>
      </c>
    </row>
    <row r="176" spans="1:15" x14ac:dyDescent="0.35">
      <c r="A176" t="s">
        <v>266</v>
      </c>
      <c r="B176">
        <v>1</v>
      </c>
      <c r="C176">
        <v>18.989999999999998</v>
      </c>
      <c r="D176">
        <v>18.989999999999998</v>
      </c>
      <c r="E176" t="s">
        <v>233</v>
      </c>
      <c r="F176" t="s">
        <v>1727</v>
      </c>
      <c r="G176" t="s">
        <v>16</v>
      </c>
      <c r="H176">
        <v>13</v>
      </c>
      <c r="I176" t="s">
        <v>24</v>
      </c>
      <c r="J176" t="s">
        <v>42</v>
      </c>
      <c r="K176">
        <v>6</v>
      </c>
      <c r="O176">
        <f t="shared" si="4"/>
        <v>21.99</v>
      </c>
    </row>
    <row r="177" spans="1:15" x14ac:dyDescent="0.35">
      <c r="A177" t="s">
        <v>267</v>
      </c>
      <c r="B177">
        <v>2</v>
      </c>
      <c r="C177">
        <v>18.989999999999998</v>
      </c>
      <c r="D177">
        <v>32.78</v>
      </c>
      <c r="E177" t="s">
        <v>214</v>
      </c>
      <c r="F177" t="s">
        <v>1728</v>
      </c>
      <c r="G177" t="s">
        <v>16</v>
      </c>
      <c r="H177">
        <v>15</v>
      </c>
      <c r="I177" t="s">
        <v>17</v>
      </c>
      <c r="J177" t="s">
        <v>42</v>
      </c>
      <c r="K177">
        <v>6</v>
      </c>
      <c r="O177">
        <f t="shared" si="4"/>
        <v>37.979999999999997</v>
      </c>
    </row>
    <row r="178" spans="1:15" x14ac:dyDescent="0.35">
      <c r="A178" t="s">
        <v>268</v>
      </c>
      <c r="B178">
        <v>1</v>
      </c>
      <c r="C178">
        <v>18.989999999999998</v>
      </c>
      <c r="D178">
        <v>18.989999999999998</v>
      </c>
      <c r="E178" t="s">
        <v>66</v>
      </c>
      <c r="F178" t="s">
        <v>1717</v>
      </c>
      <c r="G178" t="s">
        <v>16</v>
      </c>
      <c r="H178">
        <v>11</v>
      </c>
      <c r="I178" t="s">
        <v>17</v>
      </c>
      <c r="J178" t="s">
        <v>42</v>
      </c>
      <c r="K178">
        <v>6</v>
      </c>
      <c r="O178">
        <f t="shared" si="4"/>
        <v>21.99</v>
      </c>
    </row>
    <row r="179" spans="1:15" x14ac:dyDescent="0.35">
      <c r="A179" t="s">
        <v>269</v>
      </c>
      <c r="B179">
        <v>3</v>
      </c>
      <c r="C179">
        <v>18.989999999999998</v>
      </c>
      <c r="D179">
        <v>45.28</v>
      </c>
      <c r="E179" s="6">
        <v>46219</v>
      </c>
      <c r="F179" t="s">
        <v>1718</v>
      </c>
      <c r="G179" t="s">
        <v>11</v>
      </c>
      <c r="H179">
        <v>12</v>
      </c>
      <c r="I179" t="s">
        <v>12</v>
      </c>
      <c r="J179" t="s">
        <v>42</v>
      </c>
      <c r="K179">
        <v>6</v>
      </c>
      <c r="O179">
        <f t="shared" si="4"/>
        <v>84.73</v>
      </c>
    </row>
    <row r="180" spans="1:15" x14ac:dyDescent="0.35">
      <c r="A180" t="s">
        <v>270</v>
      </c>
      <c r="B180">
        <v>3</v>
      </c>
      <c r="C180">
        <v>27.99</v>
      </c>
      <c r="D180">
        <v>66.88</v>
      </c>
      <c r="E180" t="s">
        <v>66</v>
      </c>
      <c r="F180" t="s">
        <v>1719</v>
      </c>
      <c r="G180" t="s">
        <v>16</v>
      </c>
      <c r="H180">
        <v>3</v>
      </c>
      <c r="I180" t="s">
        <v>41</v>
      </c>
      <c r="J180" t="s">
        <v>31</v>
      </c>
      <c r="K180">
        <v>9</v>
      </c>
      <c r="O180">
        <f t="shared" si="4"/>
        <v>84.73</v>
      </c>
    </row>
    <row r="181" spans="1:15" x14ac:dyDescent="0.35">
      <c r="A181" t="s">
        <v>271</v>
      </c>
      <c r="B181">
        <v>1</v>
      </c>
      <c r="C181">
        <v>18.989999999999998</v>
      </c>
      <c r="D181">
        <v>18.989999999999998</v>
      </c>
      <c r="E181" t="s">
        <v>176</v>
      </c>
      <c r="F181" t="s">
        <v>1720</v>
      </c>
      <c r="G181" t="s">
        <v>16</v>
      </c>
      <c r="H181">
        <v>11</v>
      </c>
      <c r="I181" t="s">
        <v>41</v>
      </c>
      <c r="J181" t="s">
        <v>42</v>
      </c>
      <c r="K181">
        <v>6</v>
      </c>
      <c r="O181">
        <f t="shared" si="4"/>
        <v>21.99</v>
      </c>
    </row>
    <row r="182" spans="1:15" x14ac:dyDescent="0.35">
      <c r="A182" t="s">
        <v>272</v>
      </c>
      <c r="B182">
        <v>2</v>
      </c>
      <c r="C182">
        <v>30.99</v>
      </c>
      <c r="D182">
        <v>53.78</v>
      </c>
      <c r="E182" t="s">
        <v>89</v>
      </c>
      <c r="F182" t="s">
        <v>1721</v>
      </c>
      <c r="G182" t="s">
        <v>21</v>
      </c>
      <c r="H182">
        <v>0</v>
      </c>
      <c r="I182" t="s">
        <v>41</v>
      </c>
      <c r="J182" t="s">
        <v>18</v>
      </c>
      <c r="K182">
        <v>10.5</v>
      </c>
      <c r="O182">
        <f t="shared" si="4"/>
        <v>37.979999999999997</v>
      </c>
    </row>
    <row r="183" spans="1:15" x14ac:dyDescent="0.35">
      <c r="A183" t="s">
        <v>273</v>
      </c>
      <c r="B183">
        <v>3</v>
      </c>
      <c r="C183">
        <v>16.989999999999998</v>
      </c>
      <c r="D183">
        <v>40.18</v>
      </c>
      <c r="E183" t="s">
        <v>106</v>
      </c>
      <c r="F183" t="s">
        <v>1722</v>
      </c>
      <c r="G183" t="s">
        <v>16</v>
      </c>
      <c r="H183">
        <v>18</v>
      </c>
      <c r="I183" t="s">
        <v>24</v>
      </c>
      <c r="J183" t="s">
        <v>25</v>
      </c>
      <c r="K183">
        <v>5</v>
      </c>
      <c r="O183">
        <f t="shared" si="4"/>
        <v>84.73</v>
      </c>
    </row>
    <row r="184" spans="1:15" x14ac:dyDescent="0.35">
      <c r="A184" t="s">
        <v>274</v>
      </c>
      <c r="B184">
        <v>2</v>
      </c>
      <c r="C184">
        <v>21.99</v>
      </c>
      <c r="D184">
        <v>37.979999999999997</v>
      </c>
      <c r="E184" t="s">
        <v>54</v>
      </c>
      <c r="F184" t="s">
        <v>1723</v>
      </c>
      <c r="G184" t="s">
        <v>16</v>
      </c>
      <c r="H184">
        <v>2</v>
      </c>
      <c r="I184" t="s">
        <v>12</v>
      </c>
      <c r="J184" t="s">
        <v>13</v>
      </c>
      <c r="K184">
        <v>7</v>
      </c>
      <c r="O184">
        <f t="shared" si="4"/>
        <v>37.979999999999997</v>
      </c>
    </row>
    <row r="185" spans="1:15" x14ac:dyDescent="0.35">
      <c r="A185" t="s">
        <v>275</v>
      </c>
      <c r="B185">
        <v>1</v>
      </c>
      <c r="C185">
        <v>27.99</v>
      </c>
      <c r="D185">
        <v>27.99</v>
      </c>
      <c r="E185" t="s">
        <v>46</v>
      </c>
      <c r="F185" t="s">
        <v>1724</v>
      </c>
      <c r="G185" t="s">
        <v>16</v>
      </c>
      <c r="H185">
        <v>6</v>
      </c>
      <c r="I185" t="s">
        <v>41</v>
      </c>
      <c r="J185" t="s">
        <v>31</v>
      </c>
      <c r="K185">
        <v>9</v>
      </c>
      <c r="O185">
        <f t="shared" si="4"/>
        <v>21.99</v>
      </c>
    </row>
    <row r="186" spans="1:15" x14ac:dyDescent="0.35">
      <c r="A186" t="s">
        <v>276</v>
      </c>
      <c r="B186">
        <v>1</v>
      </c>
      <c r="C186">
        <v>16.989999999999998</v>
      </c>
      <c r="D186">
        <v>16.989999999999998</v>
      </c>
      <c r="E186" t="s">
        <v>156</v>
      </c>
      <c r="F186" t="s">
        <v>1725</v>
      </c>
      <c r="G186" t="s">
        <v>21</v>
      </c>
      <c r="H186">
        <v>0</v>
      </c>
      <c r="I186" t="s">
        <v>41</v>
      </c>
      <c r="J186" t="s">
        <v>25</v>
      </c>
      <c r="K186">
        <v>5</v>
      </c>
      <c r="O186">
        <f t="shared" si="4"/>
        <v>21.99</v>
      </c>
    </row>
    <row r="187" spans="1:15" x14ac:dyDescent="0.35">
      <c r="A187" t="s">
        <v>277</v>
      </c>
      <c r="B187">
        <v>1</v>
      </c>
      <c r="C187">
        <v>27.99</v>
      </c>
      <c r="D187">
        <v>27.99</v>
      </c>
      <c r="E187" t="s">
        <v>162</v>
      </c>
      <c r="F187" t="s">
        <v>1726</v>
      </c>
      <c r="G187" t="s">
        <v>16</v>
      </c>
      <c r="H187">
        <v>2</v>
      </c>
      <c r="I187" t="s">
        <v>24</v>
      </c>
      <c r="J187" t="s">
        <v>31</v>
      </c>
      <c r="K187">
        <v>9</v>
      </c>
      <c r="O187">
        <f t="shared" si="4"/>
        <v>21.99</v>
      </c>
    </row>
    <row r="188" spans="1:15" x14ac:dyDescent="0.35">
      <c r="A188" t="s">
        <v>278</v>
      </c>
      <c r="B188">
        <v>1</v>
      </c>
      <c r="C188">
        <v>18.989999999999998</v>
      </c>
      <c r="D188">
        <v>18.989999999999998</v>
      </c>
      <c r="E188" t="s">
        <v>195</v>
      </c>
      <c r="F188" t="s">
        <v>1727</v>
      </c>
      <c r="G188" t="s">
        <v>28</v>
      </c>
      <c r="H188">
        <v>0</v>
      </c>
      <c r="I188" t="s">
        <v>12</v>
      </c>
      <c r="J188" t="s">
        <v>42</v>
      </c>
      <c r="K188">
        <v>6</v>
      </c>
      <c r="O188">
        <f t="shared" si="4"/>
        <v>21.99</v>
      </c>
    </row>
    <row r="189" spans="1:15" x14ac:dyDescent="0.35">
      <c r="A189" t="s">
        <v>279</v>
      </c>
      <c r="B189">
        <v>1</v>
      </c>
      <c r="C189">
        <v>27.99</v>
      </c>
      <c r="D189">
        <v>27.99</v>
      </c>
      <c r="E189" t="s">
        <v>132</v>
      </c>
      <c r="F189" t="s">
        <v>1728</v>
      </c>
      <c r="G189" t="s">
        <v>16</v>
      </c>
      <c r="H189">
        <v>2</v>
      </c>
      <c r="I189" t="s">
        <v>17</v>
      </c>
      <c r="J189" t="s">
        <v>31</v>
      </c>
      <c r="K189">
        <v>9</v>
      </c>
      <c r="O189">
        <f t="shared" si="4"/>
        <v>21.99</v>
      </c>
    </row>
    <row r="190" spans="1:15" x14ac:dyDescent="0.35">
      <c r="A190" t="s">
        <v>280</v>
      </c>
      <c r="B190">
        <v>1</v>
      </c>
      <c r="C190">
        <v>18.989999999999998</v>
      </c>
      <c r="D190">
        <v>18.989999999999998</v>
      </c>
      <c r="E190" t="s">
        <v>76</v>
      </c>
      <c r="F190" t="s">
        <v>1717</v>
      </c>
      <c r="G190" t="s">
        <v>87</v>
      </c>
      <c r="H190">
        <v>0</v>
      </c>
      <c r="I190" t="s">
        <v>41</v>
      </c>
      <c r="J190" t="s">
        <v>42</v>
      </c>
      <c r="K190">
        <v>6</v>
      </c>
      <c r="O190">
        <f t="shared" si="4"/>
        <v>21.99</v>
      </c>
    </row>
    <row r="191" spans="1:15" x14ac:dyDescent="0.35">
      <c r="A191" t="s">
        <v>281</v>
      </c>
      <c r="B191">
        <v>1</v>
      </c>
      <c r="C191">
        <v>21.99</v>
      </c>
      <c r="D191">
        <v>21.99</v>
      </c>
      <c r="E191" t="s">
        <v>44</v>
      </c>
      <c r="F191" t="s">
        <v>1718</v>
      </c>
      <c r="G191" t="s">
        <v>11</v>
      </c>
      <c r="H191">
        <v>2</v>
      </c>
      <c r="I191" t="s">
        <v>12</v>
      </c>
      <c r="J191" t="s">
        <v>13</v>
      </c>
      <c r="K191">
        <v>7</v>
      </c>
      <c r="O191">
        <f t="shared" si="4"/>
        <v>21.99</v>
      </c>
    </row>
    <row r="192" spans="1:15" x14ac:dyDescent="0.35">
      <c r="A192" t="s">
        <v>282</v>
      </c>
      <c r="B192">
        <v>1</v>
      </c>
      <c r="C192">
        <v>34.99</v>
      </c>
      <c r="D192">
        <v>34.99</v>
      </c>
      <c r="E192" t="s">
        <v>72</v>
      </c>
      <c r="F192" t="s">
        <v>1719</v>
      </c>
      <c r="G192" t="s">
        <v>87</v>
      </c>
      <c r="H192">
        <v>0</v>
      </c>
      <c r="I192" t="s">
        <v>41</v>
      </c>
      <c r="J192" t="s">
        <v>36</v>
      </c>
      <c r="K192">
        <v>12.5</v>
      </c>
      <c r="O192">
        <f t="shared" si="4"/>
        <v>21.99</v>
      </c>
    </row>
    <row r="193" spans="1:15" x14ac:dyDescent="0.35">
      <c r="A193" t="s">
        <v>283</v>
      </c>
      <c r="B193">
        <v>1</v>
      </c>
      <c r="C193">
        <v>21.99</v>
      </c>
      <c r="D193">
        <v>21.99</v>
      </c>
      <c r="E193" t="s">
        <v>76</v>
      </c>
      <c r="F193" t="s">
        <v>1720</v>
      </c>
      <c r="G193" t="s">
        <v>16</v>
      </c>
      <c r="H193">
        <v>3</v>
      </c>
      <c r="I193" t="s">
        <v>17</v>
      </c>
      <c r="J193" t="s">
        <v>13</v>
      </c>
      <c r="K193">
        <v>7</v>
      </c>
      <c r="O193">
        <f t="shared" si="4"/>
        <v>21.99</v>
      </c>
    </row>
    <row r="194" spans="1:15" x14ac:dyDescent="0.35">
      <c r="A194" t="s">
        <v>284</v>
      </c>
      <c r="B194">
        <v>3</v>
      </c>
      <c r="C194">
        <v>27.99</v>
      </c>
      <c r="D194">
        <v>66.88</v>
      </c>
      <c r="E194" t="s">
        <v>118</v>
      </c>
      <c r="F194" t="s">
        <v>1721</v>
      </c>
      <c r="G194" t="s">
        <v>16</v>
      </c>
      <c r="H194">
        <v>3</v>
      </c>
      <c r="I194" t="s">
        <v>24</v>
      </c>
      <c r="J194" t="s">
        <v>31</v>
      </c>
      <c r="K194">
        <v>9</v>
      </c>
      <c r="O194">
        <f t="shared" ref="O194:O257" si="5">VLOOKUP(B:B,B:H,3,FALSE)</f>
        <v>84.73</v>
      </c>
    </row>
    <row r="195" spans="1:15" x14ac:dyDescent="0.35">
      <c r="A195" t="s">
        <v>285</v>
      </c>
      <c r="B195">
        <v>3</v>
      </c>
      <c r="C195">
        <v>21.99</v>
      </c>
      <c r="D195">
        <v>52.48</v>
      </c>
      <c r="E195" t="s">
        <v>110</v>
      </c>
      <c r="F195" t="s">
        <v>1722</v>
      </c>
      <c r="G195" t="s">
        <v>16</v>
      </c>
      <c r="H195">
        <v>3</v>
      </c>
      <c r="I195" t="s">
        <v>17</v>
      </c>
      <c r="J195" t="s">
        <v>13</v>
      </c>
      <c r="K195">
        <v>7</v>
      </c>
      <c r="O195">
        <f t="shared" si="5"/>
        <v>84.73</v>
      </c>
    </row>
    <row r="196" spans="1:15" x14ac:dyDescent="0.35">
      <c r="A196" t="s">
        <v>286</v>
      </c>
      <c r="B196">
        <v>1</v>
      </c>
      <c r="C196">
        <v>27.99</v>
      </c>
      <c r="D196">
        <v>27.99</v>
      </c>
      <c r="E196" t="s">
        <v>156</v>
      </c>
      <c r="F196" t="s">
        <v>1723</v>
      </c>
      <c r="G196" t="s">
        <v>16</v>
      </c>
      <c r="H196">
        <v>3</v>
      </c>
      <c r="I196" t="s">
        <v>24</v>
      </c>
      <c r="J196" t="s">
        <v>31</v>
      </c>
      <c r="K196">
        <v>9</v>
      </c>
      <c r="O196">
        <f t="shared" si="5"/>
        <v>21.99</v>
      </c>
    </row>
    <row r="197" spans="1:15" x14ac:dyDescent="0.35">
      <c r="A197" t="s">
        <v>287</v>
      </c>
      <c r="B197">
        <v>1</v>
      </c>
      <c r="C197">
        <v>18.989999999999998</v>
      </c>
      <c r="D197">
        <v>18.989999999999998</v>
      </c>
      <c r="E197" t="s">
        <v>120</v>
      </c>
      <c r="F197" t="s">
        <v>1724</v>
      </c>
      <c r="G197" t="s">
        <v>21</v>
      </c>
      <c r="H197">
        <v>0</v>
      </c>
      <c r="I197" t="s">
        <v>24</v>
      </c>
      <c r="J197" t="s">
        <v>42</v>
      </c>
      <c r="K197">
        <v>6</v>
      </c>
      <c r="O197">
        <f t="shared" si="5"/>
        <v>21.99</v>
      </c>
    </row>
    <row r="198" spans="1:15" x14ac:dyDescent="0.35">
      <c r="A198" t="s">
        <v>288</v>
      </c>
      <c r="B198">
        <v>2</v>
      </c>
      <c r="C198">
        <v>30.99</v>
      </c>
      <c r="D198">
        <v>53.78</v>
      </c>
      <c r="E198" t="s">
        <v>176</v>
      </c>
      <c r="F198" t="s">
        <v>1725</v>
      </c>
      <c r="G198" t="s">
        <v>21</v>
      </c>
      <c r="H198">
        <v>0</v>
      </c>
      <c r="I198" t="s">
        <v>12</v>
      </c>
      <c r="J198" t="s">
        <v>18</v>
      </c>
      <c r="K198">
        <v>10.5</v>
      </c>
      <c r="O198">
        <f t="shared" si="5"/>
        <v>37.979999999999997</v>
      </c>
    </row>
    <row r="199" spans="1:15" x14ac:dyDescent="0.35">
      <c r="A199" t="s">
        <v>289</v>
      </c>
      <c r="B199">
        <v>1</v>
      </c>
      <c r="C199">
        <v>16.989999999999998</v>
      </c>
      <c r="D199">
        <v>16.989999999999998</v>
      </c>
      <c r="E199" t="s">
        <v>290</v>
      </c>
      <c r="F199" t="s">
        <v>1726</v>
      </c>
      <c r="G199" t="s">
        <v>16</v>
      </c>
      <c r="H199">
        <v>15</v>
      </c>
      <c r="I199" t="s">
        <v>24</v>
      </c>
      <c r="J199" t="s">
        <v>25</v>
      </c>
      <c r="K199">
        <v>5</v>
      </c>
      <c r="O199">
        <f t="shared" si="5"/>
        <v>21.99</v>
      </c>
    </row>
    <row r="200" spans="1:15" x14ac:dyDescent="0.35">
      <c r="A200" t="s">
        <v>291</v>
      </c>
      <c r="B200">
        <v>1</v>
      </c>
      <c r="C200">
        <v>34.99</v>
      </c>
      <c r="D200">
        <v>34.99</v>
      </c>
      <c r="E200" t="s">
        <v>61</v>
      </c>
      <c r="F200" t="s">
        <v>1727</v>
      </c>
      <c r="G200" t="s">
        <v>16</v>
      </c>
      <c r="H200">
        <v>5</v>
      </c>
      <c r="I200" t="s">
        <v>12</v>
      </c>
      <c r="J200" t="s">
        <v>36</v>
      </c>
      <c r="K200">
        <v>12.5</v>
      </c>
      <c r="O200">
        <f t="shared" si="5"/>
        <v>21.99</v>
      </c>
    </row>
    <row r="201" spans="1:15" x14ac:dyDescent="0.35">
      <c r="A201" t="s">
        <v>292</v>
      </c>
      <c r="B201">
        <v>1</v>
      </c>
      <c r="C201">
        <v>16.989999999999998</v>
      </c>
      <c r="D201">
        <v>16.989999999999998</v>
      </c>
      <c r="E201" t="s">
        <v>236</v>
      </c>
      <c r="F201" t="s">
        <v>1728</v>
      </c>
      <c r="G201" t="s">
        <v>16</v>
      </c>
      <c r="H201">
        <v>22</v>
      </c>
      <c r="I201" t="s">
        <v>12</v>
      </c>
      <c r="J201" t="s">
        <v>25</v>
      </c>
      <c r="K201">
        <v>5</v>
      </c>
      <c r="O201">
        <f t="shared" si="5"/>
        <v>21.99</v>
      </c>
    </row>
    <row r="202" spans="1:15" x14ac:dyDescent="0.35">
      <c r="A202" t="s">
        <v>293</v>
      </c>
      <c r="B202">
        <v>1</v>
      </c>
      <c r="C202">
        <v>18.989999999999998</v>
      </c>
      <c r="D202">
        <v>18.989999999999998</v>
      </c>
      <c r="E202" t="s">
        <v>110</v>
      </c>
      <c r="F202" t="s">
        <v>1717</v>
      </c>
      <c r="G202" t="s">
        <v>87</v>
      </c>
      <c r="H202">
        <v>0</v>
      </c>
      <c r="I202" t="s">
        <v>17</v>
      </c>
      <c r="J202" t="s">
        <v>42</v>
      </c>
      <c r="K202">
        <v>6</v>
      </c>
      <c r="O202">
        <f t="shared" si="5"/>
        <v>21.99</v>
      </c>
    </row>
    <row r="203" spans="1:15" x14ac:dyDescent="0.35">
      <c r="A203" t="s">
        <v>294</v>
      </c>
      <c r="B203">
        <v>1</v>
      </c>
      <c r="C203">
        <v>30.99</v>
      </c>
      <c r="D203">
        <v>30.99</v>
      </c>
      <c r="E203" t="s">
        <v>20</v>
      </c>
      <c r="F203" t="s">
        <v>1718</v>
      </c>
      <c r="G203" t="s">
        <v>21</v>
      </c>
      <c r="H203">
        <v>0</v>
      </c>
      <c r="I203" t="s">
        <v>24</v>
      </c>
      <c r="J203" t="s">
        <v>18</v>
      </c>
      <c r="K203">
        <v>10.5</v>
      </c>
      <c r="O203">
        <f t="shared" si="5"/>
        <v>21.99</v>
      </c>
    </row>
    <row r="204" spans="1:15" x14ac:dyDescent="0.35">
      <c r="A204" t="s">
        <v>295</v>
      </c>
      <c r="B204">
        <v>2</v>
      </c>
      <c r="C204">
        <v>16.989999999999998</v>
      </c>
      <c r="D204">
        <v>29.18</v>
      </c>
      <c r="E204" t="s">
        <v>57</v>
      </c>
      <c r="F204" t="s">
        <v>1719</v>
      </c>
      <c r="G204" t="s">
        <v>87</v>
      </c>
      <c r="H204">
        <v>0</v>
      </c>
      <c r="I204" t="s">
        <v>41</v>
      </c>
      <c r="J204" t="s">
        <v>25</v>
      </c>
      <c r="K204">
        <v>5</v>
      </c>
      <c r="O204">
        <f t="shared" si="5"/>
        <v>37.979999999999997</v>
      </c>
    </row>
    <row r="205" spans="1:15" x14ac:dyDescent="0.35">
      <c r="A205" t="s">
        <v>296</v>
      </c>
      <c r="B205">
        <v>1</v>
      </c>
      <c r="C205">
        <v>18.989999999999998</v>
      </c>
      <c r="D205">
        <v>18.989999999999998</v>
      </c>
      <c r="E205" t="s">
        <v>66</v>
      </c>
      <c r="F205" t="s">
        <v>1720</v>
      </c>
      <c r="G205" t="s">
        <v>28</v>
      </c>
      <c r="H205">
        <v>0</v>
      </c>
      <c r="I205" t="s">
        <v>41</v>
      </c>
      <c r="J205" t="s">
        <v>42</v>
      </c>
      <c r="K205">
        <v>6</v>
      </c>
      <c r="O205">
        <f t="shared" si="5"/>
        <v>21.99</v>
      </c>
    </row>
    <row r="206" spans="1:15" x14ac:dyDescent="0.35">
      <c r="A206" t="s">
        <v>297</v>
      </c>
      <c r="B206">
        <v>1</v>
      </c>
      <c r="C206">
        <v>16.989999999999998</v>
      </c>
      <c r="D206">
        <v>16.989999999999998</v>
      </c>
      <c r="E206" t="s">
        <v>92</v>
      </c>
      <c r="F206" t="s">
        <v>1721</v>
      </c>
      <c r="G206" t="s">
        <v>87</v>
      </c>
      <c r="H206">
        <v>0</v>
      </c>
      <c r="I206" t="s">
        <v>12</v>
      </c>
      <c r="J206" t="s">
        <v>25</v>
      </c>
      <c r="K206">
        <v>5</v>
      </c>
      <c r="O206">
        <f t="shared" si="5"/>
        <v>21.99</v>
      </c>
    </row>
    <row r="207" spans="1:15" x14ac:dyDescent="0.35">
      <c r="A207" t="s">
        <v>298</v>
      </c>
      <c r="B207">
        <v>2</v>
      </c>
      <c r="C207">
        <v>34.99</v>
      </c>
      <c r="D207">
        <v>60.98</v>
      </c>
      <c r="E207" t="s">
        <v>171</v>
      </c>
      <c r="F207" t="s">
        <v>1722</v>
      </c>
      <c r="G207" t="s">
        <v>16</v>
      </c>
      <c r="H207">
        <v>8</v>
      </c>
      <c r="I207" t="s">
        <v>41</v>
      </c>
      <c r="J207" t="s">
        <v>36</v>
      </c>
      <c r="K207">
        <v>12.5</v>
      </c>
      <c r="O207">
        <f t="shared" si="5"/>
        <v>37.979999999999997</v>
      </c>
    </row>
    <row r="208" spans="1:15" x14ac:dyDescent="0.35">
      <c r="A208" t="s">
        <v>299</v>
      </c>
      <c r="B208">
        <v>2</v>
      </c>
      <c r="C208">
        <v>34.99</v>
      </c>
      <c r="D208">
        <v>60.98</v>
      </c>
      <c r="E208" s="6">
        <v>46221</v>
      </c>
      <c r="F208" t="s">
        <v>1723</v>
      </c>
      <c r="G208" t="s">
        <v>16</v>
      </c>
      <c r="H208">
        <v>8</v>
      </c>
      <c r="I208" t="s">
        <v>41</v>
      </c>
      <c r="J208" t="s">
        <v>36</v>
      </c>
      <c r="K208">
        <v>12.5</v>
      </c>
      <c r="O208">
        <f t="shared" si="5"/>
        <v>37.979999999999997</v>
      </c>
    </row>
    <row r="209" spans="1:15" x14ac:dyDescent="0.35">
      <c r="A209" t="s">
        <v>300</v>
      </c>
      <c r="B209">
        <v>1</v>
      </c>
      <c r="C209">
        <v>18.989999999999998</v>
      </c>
      <c r="D209">
        <v>18.989999999999998</v>
      </c>
      <c r="E209" t="s">
        <v>134</v>
      </c>
      <c r="F209" t="s">
        <v>1724</v>
      </c>
      <c r="G209" t="s">
        <v>16</v>
      </c>
      <c r="H209">
        <v>11</v>
      </c>
      <c r="I209" t="s">
        <v>24</v>
      </c>
      <c r="J209" t="s">
        <v>42</v>
      </c>
      <c r="K209">
        <v>6</v>
      </c>
      <c r="O209">
        <f t="shared" si="5"/>
        <v>21.99</v>
      </c>
    </row>
    <row r="210" spans="1:15" x14ac:dyDescent="0.35">
      <c r="A210" t="s">
        <v>301</v>
      </c>
      <c r="B210">
        <v>1</v>
      </c>
      <c r="C210">
        <v>27.99</v>
      </c>
      <c r="D210">
        <v>27.99</v>
      </c>
      <c r="E210" t="s">
        <v>102</v>
      </c>
      <c r="F210" t="s">
        <v>1725</v>
      </c>
      <c r="G210" t="s">
        <v>28</v>
      </c>
      <c r="H210">
        <v>0</v>
      </c>
      <c r="I210" t="s">
        <v>17</v>
      </c>
      <c r="J210" t="s">
        <v>31</v>
      </c>
      <c r="K210">
        <v>9</v>
      </c>
      <c r="O210">
        <f t="shared" si="5"/>
        <v>21.99</v>
      </c>
    </row>
    <row r="211" spans="1:15" x14ac:dyDescent="0.35">
      <c r="A211" t="s">
        <v>302</v>
      </c>
      <c r="B211">
        <v>1</v>
      </c>
      <c r="C211">
        <v>21.99</v>
      </c>
      <c r="D211">
        <v>21.99</v>
      </c>
      <c r="E211" t="s">
        <v>50</v>
      </c>
      <c r="F211" t="s">
        <v>1726</v>
      </c>
      <c r="G211" t="s">
        <v>87</v>
      </c>
      <c r="H211">
        <v>0</v>
      </c>
      <c r="I211" t="s">
        <v>41</v>
      </c>
      <c r="J211" t="s">
        <v>13</v>
      </c>
      <c r="K211">
        <v>7</v>
      </c>
      <c r="O211">
        <f t="shared" si="5"/>
        <v>21.99</v>
      </c>
    </row>
    <row r="212" spans="1:15" x14ac:dyDescent="0.35">
      <c r="A212" t="s">
        <v>303</v>
      </c>
      <c r="B212">
        <v>1</v>
      </c>
      <c r="C212">
        <v>18.989999999999998</v>
      </c>
      <c r="D212">
        <v>18.989999999999998</v>
      </c>
      <c r="E212" t="s">
        <v>110</v>
      </c>
      <c r="F212" t="s">
        <v>1727</v>
      </c>
      <c r="G212" t="s">
        <v>16</v>
      </c>
      <c r="H212">
        <v>10</v>
      </c>
      <c r="I212" t="s">
        <v>41</v>
      </c>
      <c r="J212" t="s">
        <v>42</v>
      </c>
      <c r="K212">
        <v>6</v>
      </c>
      <c r="O212">
        <f t="shared" si="5"/>
        <v>21.99</v>
      </c>
    </row>
    <row r="213" spans="1:15" x14ac:dyDescent="0.35">
      <c r="A213" t="s">
        <v>304</v>
      </c>
      <c r="B213">
        <v>1</v>
      </c>
      <c r="C213">
        <v>27.99</v>
      </c>
      <c r="D213">
        <v>27.99</v>
      </c>
      <c r="E213" t="s">
        <v>132</v>
      </c>
      <c r="F213" t="s">
        <v>1728</v>
      </c>
      <c r="G213" t="s">
        <v>21</v>
      </c>
      <c r="H213">
        <v>0</v>
      </c>
      <c r="I213" t="s">
        <v>41</v>
      </c>
      <c r="J213" t="s">
        <v>31</v>
      </c>
      <c r="K213">
        <v>9</v>
      </c>
      <c r="O213">
        <f t="shared" si="5"/>
        <v>21.99</v>
      </c>
    </row>
    <row r="214" spans="1:15" x14ac:dyDescent="0.35">
      <c r="A214" t="s">
        <v>305</v>
      </c>
      <c r="B214">
        <v>3</v>
      </c>
      <c r="C214">
        <v>21.99</v>
      </c>
      <c r="D214">
        <v>52.48</v>
      </c>
      <c r="E214" t="s">
        <v>72</v>
      </c>
      <c r="F214" t="s">
        <v>1717</v>
      </c>
      <c r="G214" t="s">
        <v>21</v>
      </c>
      <c r="H214">
        <v>0</v>
      </c>
      <c r="I214" t="s">
        <v>12</v>
      </c>
      <c r="J214" t="s">
        <v>13</v>
      </c>
      <c r="K214">
        <v>7</v>
      </c>
      <c r="O214">
        <f t="shared" si="5"/>
        <v>84.73</v>
      </c>
    </row>
    <row r="215" spans="1:15" x14ac:dyDescent="0.35">
      <c r="A215" t="s">
        <v>306</v>
      </c>
      <c r="B215">
        <v>1</v>
      </c>
      <c r="C215">
        <v>34.99</v>
      </c>
      <c r="D215">
        <v>34.99</v>
      </c>
      <c r="E215" t="s">
        <v>307</v>
      </c>
      <c r="F215" t="s">
        <v>1718</v>
      </c>
      <c r="G215" t="s">
        <v>16</v>
      </c>
      <c r="H215">
        <v>5</v>
      </c>
      <c r="I215" t="s">
        <v>12</v>
      </c>
      <c r="J215" t="s">
        <v>36</v>
      </c>
      <c r="K215">
        <v>12.5</v>
      </c>
      <c r="O215">
        <f t="shared" si="5"/>
        <v>21.99</v>
      </c>
    </row>
    <row r="216" spans="1:15" x14ac:dyDescent="0.35">
      <c r="A216" t="s">
        <v>306</v>
      </c>
      <c r="B216">
        <v>1</v>
      </c>
      <c r="C216">
        <v>34.99</v>
      </c>
      <c r="D216">
        <v>34.99</v>
      </c>
      <c r="E216" t="s">
        <v>307</v>
      </c>
      <c r="F216" t="s">
        <v>1719</v>
      </c>
      <c r="G216" t="s">
        <v>16</v>
      </c>
      <c r="H216">
        <v>5</v>
      </c>
      <c r="I216" t="s">
        <v>12</v>
      </c>
      <c r="J216" t="s">
        <v>36</v>
      </c>
      <c r="K216">
        <v>12.5</v>
      </c>
      <c r="O216">
        <f t="shared" si="5"/>
        <v>21.99</v>
      </c>
    </row>
    <row r="217" spans="1:15" x14ac:dyDescent="0.35">
      <c r="A217" t="s">
        <v>308</v>
      </c>
      <c r="B217">
        <v>1</v>
      </c>
      <c r="C217">
        <v>30.99</v>
      </c>
      <c r="D217">
        <v>30.99</v>
      </c>
      <c r="E217" t="s">
        <v>66</v>
      </c>
      <c r="F217" t="s">
        <v>1720</v>
      </c>
      <c r="G217" t="s">
        <v>28</v>
      </c>
      <c r="H217">
        <v>0</v>
      </c>
      <c r="I217" t="s">
        <v>12</v>
      </c>
      <c r="J217" t="s">
        <v>18</v>
      </c>
      <c r="K217">
        <v>10.5</v>
      </c>
      <c r="O217">
        <f t="shared" si="5"/>
        <v>21.99</v>
      </c>
    </row>
    <row r="218" spans="1:15" x14ac:dyDescent="0.35">
      <c r="A218" t="s">
        <v>309</v>
      </c>
      <c r="B218">
        <v>2</v>
      </c>
      <c r="C218">
        <v>18.989999999999998</v>
      </c>
      <c r="D218">
        <v>32.78</v>
      </c>
      <c r="E218" t="s">
        <v>156</v>
      </c>
      <c r="F218" t="s">
        <v>1721</v>
      </c>
      <c r="G218" t="s">
        <v>21</v>
      </c>
      <c r="H218">
        <v>0</v>
      </c>
      <c r="I218" t="s">
        <v>12</v>
      </c>
      <c r="J218" t="s">
        <v>42</v>
      </c>
      <c r="K218">
        <v>6</v>
      </c>
      <c r="O218">
        <f t="shared" si="5"/>
        <v>37.979999999999997</v>
      </c>
    </row>
    <row r="219" spans="1:15" x14ac:dyDescent="0.35">
      <c r="A219" t="s">
        <v>310</v>
      </c>
      <c r="B219">
        <v>1</v>
      </c>
      <c r="C219">
        <v>30.99</v>
      </c>
      <c r="D219">
        <v>30.99</v>
      </c>
      <c r="E219" t="s">
        <v>20</v>
      </c>
      <c r="F219" t="s">
        <v>1722</v>
      </c>
      <c r="G219" t="s">
        <v>28</v>
      </c>
      <c r="H219">
        <v>0</v>
      </c>
      <c r="I219" t="s">
        <v>12</v>
      </c>
      <c r="J219" t="s">
        <v>18</v>
      </c>
      <c r="K219">
        <v>10.5</v>
      </c>
      <c r="O219">
        <f t="shared" si="5"/>
        <v>21.99</v>
      </c>
    </row>
    <row r="220" spans="1:15" x14ac:dyDescent="0.35">
      <c r="A220" t="s">
        <v>311</v>
      </c>
      <c r="B220">
        <v>3</v>
      </c>
      <c r="C220">
        <v>30.99</v>
      </c>
      <c r="D220">
        <v>74.53</v>
      </c>
      <c r="E220" t="s">
        <v>27</v>
      </c>
      <c r="F220" t="s">
        <v>1723</v>
      </c>
      <c r="G220" t="s">
        <v>21</v>
      </c>
      <c r="H220">
        <v>0</v>
      </c>
      <c r="I220" t="s">
        <v>12</v>
      </c>
      <c r="J220" t="s">
        <v>18</v>
      </c>
      <c r="K220">
        <v>10.5</v>
      </c>
      <c r="O220">
        <f t="shared" si="5"/>
        <v>84.73</v>
      </c>
    </row>
    <row r="221" spans="1:15" x14ac:dyDescent="0.35">
      <c r="A221" t="s">
        <v>312</v>
      </c>
      <c r="B221">
        <v>3</v>
      </c>
      <c r="C221">
        <v>21.99</v>
      </c>
      <c r="D221">
        <v>52.48</v>
      </c>
      <c r="E221" t="s">
        <v>82</v>
      </c>
      <c r="F221" t="s">
        <v>1724</v>
      </c>
      <c r="G221" t="s">
        <v>16</v>
      </c>
      <c r="H221">
        <v>3</v>
      </c>
      <c r="I221" t="s">
        <v>41</v>
      </c>
      <c r="J221" t="s">
        <v>13</v>
      </c>
      <c r="K221">
        <v>7</v>
      </c>
      <c r="O221">
        <f t="shared" si="5"/>
        <v>84.73</v>
      </c>
    </row>
    <row r="222" spans="1:15" x14ac:dyDescent="0.35">
      <c r="A222" t="s">
        <v>313</v>
      </c>
      <c r="B222">
        <v>1</v>
      </c>
      <c r="C222">
        <v>34.99</v>
      </c>
      <c r="D222">
        <v>34.99</v>
      </c>
      <c r="E222" t="s">
        <v>231</v>
      </c>
      <c r="F222" t="s">
        <v>1725</v>
      </c>
      <c r="G222" t="s">
        <v>16</v>
      </c>
      <c r="H222">
        <v>8</v>
      </c>
      <c r="I222" t="s">
        <v>12</v>
      </c>
      <c r="J222" t="s">
        <v>36</v>
      </c>
      <c r="K222">
        <v>12.5</v>
      </c>
      <c r="O222">
        <f t="shared" si="5"/>
        <v>21.99</v>
      </c>
    </row>
    <row r="223" spans="1:15" x14ac:dyDescent="0.35">
      <c r="A223" t="s">
        <v>314</v>
      </c>
      <c r="B223">
        <v>1</v>
      </c>
      <c r="C223">
        <v>34.99</v>
      </c>
      <c r="D223">
        <v>34.99</v>
      </c>
      <c r="E223" t="s">
        <v>27</v>
      </c>
      <c r="F223" t="s">
        <v>1726</v>
      </c>
      <c r="G223" t="s">
        <v>21</v>
      </c>
      <c r="H223">
        <v>0</v>
      </c>
      <c r="I223" t="s">
        <v>41</v>
      </c>
      <c r="J223" t="s">
        <v>36</v>
      </c>
      <c r="K223">
        <v>12.5</v>
      </c>
      <c r="O223">
        <f t="shared" si="5"/>
        <v>21.99</v>
      </c>
    </row>
    <row r="224" spans="1:15" x14ac:dyDescent="0.35">
      <c r="A224" t="s">
        <v>315</v>
      </c>
      <c r="B224">
        <v>2</v>
      </c>
      <c r="C224">
        <v>16.989999999999998</v>
      </c>
      <c r="D224">
        <v>29.18</v>
      </c>
      <c r="E224" t="s">
        <v>229</v>
      </c>
      <c r="F224" t="s">
        <v>1727</v>
      </c>
      <c r="G224" t="s">
        <v>87</v>
      </c>
      <c r="H224">
        <v>0</v>
      </c>
      <c r="I224" t="s">
        <v>24</v>
      </c>
      <c r="J224" t="s">
        <v>25</v>
      </c>
      <c r="K224">
        <v>5</v>
      </c>
      <c r="O224">
        <f t="shared" si="5"/>
        <v>37.979999999999997</v>
      </c>
    </row>
    <row r="225" spans="1:15" x14ac:dyDescent="0.35">
      <c r="A225" t="s">
        <v>316</v>
      </c>
      <c r="B225">
        <v>2</v>
      </c>
      <c r="C225">
        <v>18.989999999999998</v>
      </c>
      <c r="D225">
        <v>32.78</v>
      </c>
      <c r="E225" t="s">
        <v>50</v>
      </c>
      <c r="F225" t="s">
        <v>1728</v>
      </c>
      <c r="G225" t="s">
        <v>11</v>
      </c>
      <c r="H225">
        <v>10</v>
      </c>
      <c r="I225" t="s">
        <v>17</v>
      </c>
      <c r="J225" t="s">
        <v>42</v>
      </c>
      <c r="K225">
        <v>6</v>
      </c>
      <c r="O225">
        <f t="shared" si="5"/>
        <v>37.979999999999997</v>
      </c>
    </row>
    <row r="226" spans="1:15" x14ac:dyDescent="0.35">
      <c r="A226" t="s">
        <v>317</v>
      </c>
      <c r="B226">
        <v>3</v>
      </c>
      <c r="C226">
        <v>30.99</v>
      </c>
      <c r="D226">
        <v>74.53</v>
      </c>
      <c r="E226" t="s">
        <v>110</v>
      </c>
      <c r="F226" t="s">
        <v>1717</v>
      </c>
      <c r="G226" t="s">
        <v>16</v>
      </c>
      <c r="H226">
        <v>2</v>
      </c>
      <c r="I226" t="s">
        <v>12</v>
      </c>
      <c r="J226" t="s">
        <v>18</v>
      </c>
      <c r="K226">
        <v>10.5</v>
      </c>
      <c r="O226">
        <f t="shared" si="5"/>
        <v>84.73</v>
      </c>
    </row>
    <row r="227" spans="1:15" x14ac:dyDescent="0.35">
      <c r="A227" t="s">
        <v>318</v>
      </c>
      <c r="B227">
        <v>1</v>
      </c>
      <c r="C227">
        <v>18.989999999999998</v>
      </c>
      <c r="D227">
        <v>18.989999999999998</v>
      </c>
      <c r="E227" t="s">
        <v>108</v>
      </c>
      <c r="F227" t="s">
        <v>1718</v>
      </c>
      <c r="G227" t="s">
        <v>21</v>
      </c>
      <c r="H227">
        <v>0</v>
      </c>
      <c r="I227" t="s">
        <v>17</v>
      </c>
      <c r="J227" t="s">
        <v>42</v>
      </c>
      <c r="K227">
        <v>6</v>
      </c>
      <c r="O227">
        <f t="shared" si="5"/>
        <v>21.99</v>
      </c>
    </row>
    <row r="228" spans="1:15" x14ac:dyDescent="0.35">
      <c r="A228" t="s">
        <v>319</v>
      </c>
      <c r="B228">
        <v>3</v>
      </c>
      <c r="C228">
        <v>21.99</v>
      </c>
      <c r="D228">
        <v>52.48</v>
      </c>
      <c r="E228" t="s">
        <v>320</v>
      </c>
      <c r="F228" t="s">
        <v>1719</v>
      </c>
      <c r="G228" t="s">
        <v>16</v>
      </c>
      <c r="H228">
        <v>2</v>
      </c>
      <c r="I228" t="s">
        <v>17</v>
      </c>
      <c r="J228" t="s">
        <v>13</v>
      </c>
      <c r="K228">
        <v>7</v>
      </c>
      <c r="O228">
        <f t="shared" si="5"/>
        <v>84.73</v>
      </c>
    </row>
    <row r="229" spans="1:15" x14ac:dyDescent="0.35">
      <c r="A229" t="s">
        <v>321</v>
      </c>
      <c r="B229">
        <v>1</v>
      </c>
      <c r="C229">
        <v>30.99</v>
      </c>
      <c r="D229">
        <v>30.99</v>
      </c>
      <c r="E229" t="s">
        <v>290</v>
      </c>
      <c r="F229" t="s">
        <v>1720</v>
      </c>
      <c r="G229" t="s">
        <v>21</v>
      </c>
      <c r="H229">
        <v>0</v>
      </c>
      <c r="I229" t="s">
        <v>41</v>
      </c>
      <c r="J229" t="s">
        <v>18</v>
      </c>
      <c r="K229">
        <v>10.5</v>
      </c>
      <c r="O229">
        <f t="shared" si="5"/>
        <v>21.99</v>
      </c>
    </row>
    <row r="230" spans="1:15" x14ac:dyDescent="0.35">
      <c r="A230" t="s">
        <v>322</v>
      </c>
      <c r="B230">
        <v>1</v>
      </c>
      <c r="C230">
        <v>18.989999999999998</v>
      </c>
      <c r="D230">
        <v>18.989999999999998</v>
      </c>
      <c r="E230" t="s">
        <v>38</v>
      </c>
      <c r="F230" t="s">
        <v>1721</v>
      </c>
      <c r="G230" t="s">
        <v>16</v>
      </c>
      <c r="H230">
        <v>13</v>
      </c>
      <c r="I230" t="s">
        <v>41</v>
      </c>
      <c r="J230" t="s">
        <v>42</v>
      </c>
      <c r="K230">
        <v>6</v>
      </c>
      <c r="O230">
        <f t="shared" si="5"/>
        <v>21.99</v>
      </c>
    </row>
    <row r="231" spans="1:15" x14ac:dyDescent="0.35">
      <c r="A231" t="s">
        <v>323</v>
      </c>
      <c r="B231">
        <v>1</v>
      </c>
      <c r="C231">
        <v>18.989999999999998</v>
      </c>
      <c r="D231">
        <v>18.989999999999998</v>
      </c>
      <c r="E231" s="6">
        <v>46191</v>
      </c>
      <c r="F231" t="s">
        <v>1722</v>
      </c>
      <c r="G231" t="s">
        <v>16</v>
      </c>
      <c r="H231">
        <v>18</v>
      </c>
      <c r="I231" t="s">
        <v>41</v>
      </c>
      <c r="J231" t="s">
        <v>42</v>
      </c>
      <c r="K231">
        <v>6</v>
      </c>
      <c r="O231">
        <f t="shared" si="5"/>
        <v>21.99</v>
      </c>
    </row>
    <row r="232" spans="1:15" x14ac:dyDescent="0.35">
      <c r="A232" t="s">
        <v>324</v>
      </c>
      <c r="B232">
        <v>1</v>
      </c>
      <c r="C232">
        <v>21.99</v>
      </c>
      <c r="D232">
        <v>21.99</v>
      </c>
      <c r="E232" t="s">
        <v>108</v>
      </c>
      <c r="F232" t="s">
        <v>1723</v>
      </c>
      <c r="G232" t="s">
        <v>11</v>
      </c>
      <c r="H232">
        <v>3</v>
      </c>
      <c r="I232" t="s">
        <v>17</v>
      </c>
      <c r="J232" t="s">
        <v>13</v>
      </c>
      <c r="K232">
        <v>7</v>
      </c>
      <c r="O232">
        <f t="shared" si="5"/>
        <v>21.99</v>
      </c>
    </row>
    <row r="233" spans="1:15" x14ac:dyDescent="0.35">
      <c r="A233" t="s">
        <v>325</v>
      </c>
      <c r="B233">
        <v>1</v>
      </c>
      <c r="C233">
        <v>27.99</v>
      </c>
      <c r="D233">
        <v>27.99</v>
      </c>
      <c r="E233" t="s">
        <v>164</v>
      </c>
      <c r="F233" t="s">
        <v>1724</v>
      </c>
      <c r="G233" t="s">
        <v>16</v>
      </c>
      <c r="H233">
        <v>2</v>
      </c>
      <c r="I233" t="s">
        <v>24</v>
      </c>
      <c r="J233" t="s">
        <v>31</v>
      </c>
      <c r="K233">
        <v>9</v>
      </c>
      <c r="O233">
        <f t="shared" si="5"/>
        <v>21.99</v>
      </c>
    </row>
    <row r="234" spans="1:15" x14ac:dyDescent="0.35">
      <c r="A234" t="s">
        <v>326</v>
      </c>
      <c r="B234">
        <v>1</v>
      </c>
      <c r="C234">
        <v>21.99</v>
      </c>
      <c r="D234">
        <v>21.99</v>
      </c>
      <c r="E234" t="s">
        <v>166</v>
      </c>
      <c r="F234" t="s">
        <v>1725</v>
      </c>
      <c r="G234" t="s">
        <v>16</v>
      </c>
      <c r="H234">
        <v>2</v>
      </c>
      <c r="I234" t="s">
        <v>41</v>
      </c>
      <c r="J234" t="s">
        <v>13</v>
      </c>
      <c r="K234">
        <v>7</v>
      </c>
      <c r="O234">
        <f t="shared" si="5"/>
        <v>21.99</v>
      </c>
    </row>
    <row r="235" spans="1:15" x14ac:dyDescent="0.35">
      <c r="A235" t="s">
        <v>327</v>
      </c>
      <c r="B235">
        <v>3</v>
      </c>
      <c r="C235">
        <v>27.99</v>
      </c>
      <c r="D235">
        <v>66.88</v>
      </c>
      <c r="E235" t="s">
        <v>35</v>
      </c>
      <c r="F235" t="s">
        <v>1726</v>
      </c>
      <c r="G235" t="s">
        <v>28</v>
      </c>
      <c r="H235">
        <v>0</v>
      </c>
      <c r="I235" t="s">
        <v>17</v>
      </c>
      <c r="J235" t="s">
        <v>31</v>
      </c>
      <c r="K235">
        <v>9</v>
      </c>
      <c r="O235">
        <f t="shared" si="5"/>
        <v>84.73</v>
      </c>
    </row>
    <row r="236" spans="1:15" x14ac:dyDescent="0.35">
      <c r="A236" t="s">
        <v>328</v>
      </c>
      <c r="B236">
        <v>1</v>
      </c>
      <c r="C236">
        <v>21.99</v>
      </c>
      <c r="D236">
        <v>21.99</v>
      </c>
      <c r="E236" t="s">
        <v>10</v>
      </c>
      <c r="F236" t="s">
        <v>1727</v>
      </c>
      <c r="G236" t="s">
        <v>16</v>
      </c>
      <c r="H236">
        <v>3</v>
      </c>
      <c r="I236" t="s">
        <v>12</v>
      </c>
      <c r="J236" t="s">
        <v>13</v>
      </c>
      <c r="K236">
        <v>7</v>
      </c>
      <c r="O236">
        <f t="shared" si="5"/>
        <v>21.99</v>
      </c>
    </row>
    <row r="237" spans="1:15" x14ac:dyDescent="0.35">
      <c r="A237" t="s">
        <v>329</v>
      </c>
      <c r="B237">
        <v>1</v>
      </c>
      <c r="C237">
        <v>16.989999999999998</v>
      </c>
      <c r="D237">
        <v>16.989999999999998</v>
      </c>
      <c r="E237" t="s">
        <v>46</v>
      </c>
      <c r="F237" t="s">
        <v>1728</v>
      </c>
      <c r="G237" t="s">
        <v>28</v>
      </c>
      <c r="H237">
        <v>0</v>
      </c>
      <c r="I237" t="s">
        <v>24</v>
      </c>
      <c r="J237" t="s">
        <v>25</v>
      </c>
      <c r="K237">
        <v>5</v>
      </c>
      <c r="O237">
        <f t="shared" si="5"/>
        <v>21.99</v>
      </c>
    </row>
    <row r="238" spans="1:15" x14ac:dyDescent="0.35">
      <c r="A238" t="s">
        <v>330</v>
      </c>
      <c r="B238">
        <v>1</v>
      </c>
      <c r="C238">
        <v>18.989999999999998</v>
      </c>
      <c r="D238">
        <v>18.989999999999998</v>
      </c>
      <c r="E238" t="s">
        <v>240</v>
      </c>
      <c r="F238" t="s">
        <v>1717</v>
      </c>
      <c r="G238" t="s">
        <v>16</v>
      </c>
      <c r="H238">
        <v>19</v>
      </c>
      <c r="I238" t="s">
        <v>24</v>
      </c>
      <c r="J238" t="s">
        <v>42</v>
      </c>
      <c r="K238">
        <v>6</v>
      </c>
      <c r="O238">
        <f t="shared" si="5"/>
        <v>21.99</v>
      </c>
    </row>
    <row r="239" spans="1:15" x14ac:dyDescent="0.35">
      <c r="A239" t="s">
        <v>331</v>
      </c>
      <c r="B239">
        <v>1</v>
      </c>
      <c r="C239">
        <v>30.99</v>
      </c>
      <c r="D239">
        <v>30.99</v>
      </c>
      <c r="E239" t="s">
        <v>106</v>
      </c>
      <c r="F239" t="s">
        <v>1718</v>
      </c>
      <c r="G239" t="s">
        <v>21</v>
      </c>
      <c r="H239">
        <v>0</v>
      </c>
      <c r="I239" t="s">
        <v>12</v>
      </c>
      <c r="J239" t="s">
        <v>18</v>
      </c>
      <c r="K239">
        <v>10.5</v>
      </c>
      <c r="O239">
        <f t="shared" si="5"/>
        <v>21.99</v>
      </c>
    </row>
    <row r="240" spans="1:15" x14ac:dyDescent="0.35">
      <c r="A240" t="s">
        <v>332</v>
      </c>
      <c r="B240">
        <v>3</v>
      </c>
      <c r="C240">
        <v>34.99</v>
      </c>
      <c r="D240">
        <v>84.73</v>
      </c>
      <c r="E240" t="s">
        <v>333</v>
      </c>
      <c r="F240" t="s">
        <v>1719</v>
      </c>
      <c r="G240" t="s">
        <v>16</v>
      </c>
      <c r="H240">
        <v>6</v>
      </c>
      <c r="I240" t="s">
        <v>41</v>
      </c>
      <c r="J240" t="s">
        <v>36</v>
      </c>
      <c r="K240">
        <v>12.5</v>
      </c>
      <c r="O240">
        <f t="shared" si="5"/>
        <v>84.73</v>
      </c>
    </row>
    <row r="241" spans="1:15" x14ac:dyDescent="0.35">
      <c r="A241" t="s">
        <v>334</v>
      </c>
      <c r="B241">
        <v>2</v>
      </c>
      <c r="C241">
        <v>16.989999999999998</v>
      </c>
      <c r="D241">
        <v>29.18</v>
      </c>
      <c r="E241" t="s">
        <v>48</v>
      </c>
      <c r="F241" t="s">
        <v>1720</v>
      </c>
      <c r="G241" t="s">
        <v>87</v>
      </c>
      <c r="H241">
        <v>0</v>
      </c>
      <c r="I241" t="s">
        <v>12</v>
      </c>
      <c r="J241" t="s">
        <v>25</v>
      </c>
      <c r="K241">
        <v>5</v>
      </c>
      <c r="O241">
        <f t="shared" si="5"/>
        <v>37.979999999999997</v>
      </c>
    </row>
    <row r="242" spans="1:15" x14ac:dyDescent="0.35">
      <c r="A242" t="s">
        <v>335</v>
      </c>
      <c r="B242">
        <v>1</v>
      </c>
      <c r="C242">
        <v>27.99</v>
      </c>
      <c r="D242">
        <v>27.99</v>
      </c>
      <c r="E242" t="s">
        <v>89</v>
      </c>
      <c r="F242" t="s">
        <v>1721</v>
      </c>
      <c r="G242" t="s">
        <v>16</v>
      </c>
      <c r="H242">
        <v>3</v>
      </c>
      <c r="I242" t="s">
        <v>24</v>
      </c>
      <c r="J242" t="s">
        <v>31</v>
      </c>
      <c r="K242">
        <v>9</v>
      </c>
      <c r="O242">
        <f t="shared" si="5"/>
        <v>21.99</v>
      </c>
    </row>
    <row r="243" spans="1:15" x14ac:dyDescent="0.35">
      <c r="A243" t="s">
        <v>336</v>
      </c>
      <c r="B243">
        <v>3</v>
      </c>
      <c r="C243">
        <v>34.99</v>
      </c>
      <c r="D243">
        <v>84.73</v>
      </c>
      <c r="E243" s="6">
        <v>46226</v>
      </c>
      <c r="F243" t="s">
        <v>1722</v>
      </c>
      <c r="G243" t="s">
        <v>16</v>
      </c>
      <c r="H243">
        <v>8</v>
      </c>
      <c r="I243" t="s">
        <v>12</v>
      </c>
      <c r="J243" t="s">
        <v>36</v>
      </c>
      <c r="K243">
        <v>12.5</v>
      </c>
      <c r="O243">
        <f t="shared" si="5"/>
        <v>84.73</v>
      </c>
    </row>
    <row r="244" spans="1:15" x14ac:dyDescent="0.35">
      <c r="A244" t="s">
        <v>337</v>
      </c>
      <c r="B244">
        <v>3</v>
      </c>
      <c r="C244">
        <v>34.99</v>
      </c>
      <c r="D244">
        <v>84.73</v>
      </c>
      <c r="E244" t="s">
        <v>27</v>
      </c>
      <c r="F244" t="s">
        <v>1723</v>
      </c>
      <c r="G244" t="s">
        <v>21</v>
      </c>
      <c r="H244">
        <v>0</v>
      </c>
      <c r="I244" t="s">
        <v>12</v>
      </c>
      <c r="J244" t="s">
        <v>36</v>
      </c>
      <c r="K244">
        <v>12.5</v>
      </c>
      <c r="O244">
        <f t="shared" si="5"/>
        <v>84.73</v>
      </c>
    </row>
    <row r="245" spans="1:15" x14ac:dyDescent="0.35">
      <c r="A245" t="s">
        <v>338</v>
      </c>
      <c r="B245">
        <v>1</v>
      </c>
      <c r="C245">
        <v>34.99</v>
      </c>
      <c r="D245">
        <v>34.99</v>
      </c>
      <c r="E245" t="s">
        <v>176</v>
      </c>
      <c r="F245" t="s">
        <v>1724</v>
      </c>
      <c r="G245" t="s">
        <v>16</v>
      </c>
      <c r="H245">
        <v>10</v>
      </c>
      <c r="I245" t="s">
        <v>24</v>
      </c>
      <c r="J245" t="s">
        <v>36</v>
      </c>
      <c r="K245">
        <v>12.5</v>
      </c>
      <c r="O245">
        <f t="shared" si="5"/>
        <v>21.99</v>
      </c>
    </row>
    <row r="246" spans="1:15" x14ac:dyDescent="0.35">
      <c r="A246" t="s">
        <v>339</v>
      </c>
      <c r="B246">
        <v>3</v>
      </c>
      <c r="C246">
        <v>27.99</v>
      </c>
      <c r="D246">
        <v>66.88</v>
      </c>
      <c r="E246" t="s">
        <v>82</v>
      </c>
      <c r="F246" t="s">
        <v>1725</v>
      </c>
      <c r="G246" t="s">
        <v>11</v>
      </c>
      <c r="H246">
        <v>3</v>
      </c>
      <c r="I246" t="s">
        <v>12</v>
      </c>
      <c r="J246" t="s">
        <v>31</v>
      </c>
      <c r="K246">
        <v>9</v>
      </c>
      <c r="O246">
        <f t="shared" si="5"/>
        <v>84.73</v>
      </c>
    </row>
    <row r="247" spans="1:15" x14ac:dyDescent="0.35">
      <c r="A247" t="s">
        <v>340</v>
      </c>
      <c r="B247">
        <v>1</v>
      </c>
      <c r="C247">
        <v>21.99</v>
      </c>
      <c r="D247">
        <v>21.99</v>
      </c>
      <c r="E247" t="s">
        <v>84</v>
      </c>
      <c r="F247" t="s">
        <v>1726</v>
      </c>
      <c r="G247" t="s">
        <v>21</v>
      </c>
      <c r="H247">
        <v>0</v>
      </c>
      <c r="I247" t="s">
        <v>41</v>
      </c>
      <c r="J247" t="s">
        <v>13</v>
      </c>
      <c r="K247">
        <v>7</v>
      </c>
      <c r="O247">
        <f t="shared" si="5"/>
        <v>21.99</v>
      </c>
    </row>
    <row r="248" spans="1:15" x14ac:dyDescent="0.35">
      <c r="A248" t="s">
        <v>341</v>
      </c>
      <c r="B248">
        <v>2</v>
      </c>
      <c r="C248">
        <v>34.99</v>
      </c>
      <c r="D248">
        <v>60.98</v>
      </c>
      <c r="E248" t="s">
        <v>122</v>
      </c>
      <c r="F248" t="s">
        <v>1727</v>
      </c>
      <c r="G248" t="s">
        <v>87</v>
      </c>
      <c r="H248">
        <v>0</v>
      </c>
      <c r="I248" t="s">
        <v>17</v>
      </c>
      <c r="J248" t="s">
        <v>36</v>
      </c>
      <c r="K248">
        <v>12.5</v>
      </c>
      <c r="O248">
        <f t="shared" si="5"/>
        <v>37.979999999999997</v>
      </c>
    </row>
    <row r="249" spans="1:15" x14ac:dyDescent="0.35">
      <c r="A249" t="s">
        <v>342</v>
      </c>
      <c r="B249">
        <v>1</v>
      </c>
      <c r="C249">
        <v>21.99</v>
      </c>
      <c r="D249">
        <v>21.99</v>
      </c>
      <c r="E249" t="s">
        <v>46</v>
      </c>
      <c r="F249" t="s">
        <v>1728</v>
      </c>
      <c r="G249" t="s">
        <v>11</v>
      </c>
      <c r="H249">
        <v>2</v>
      </c>
      <c r="I249" t="s">
        <v>12</v>
      </c>
      <c r="J249" t="s">
        <v>13</v>
      </c>
      <c r="K249">
        <v>7</v>
      </c>
      <c r="O249">
        <f t="shared" si="5"/>
        <v>21.99</v>
      </c>
    </row>
    <row r="250" spans="1:15" x14ac:dyDescent="0.35">
      <c r="A250" t="s">
        <v>343</v>
      </c>
      <c r="B250">
        <v>1</v>
      </c>
      <c r="C250">
        <v>18.989999999999998</v>
      </c>
      <c r="D250">
        <v>18.989999999999998</v>
      </c>
      <c r="E250" t="s">
        <v>122</v>
      </c>
      <c r="F250" t="s">
        <v>1717</v>
      </c>
      <c r="G250" t="s">
        <v>16</v>
      </c>
      <c r="H250">
        <v>17</v>
      </c>
      <c r="I250" t="s">
        <v>17</v>
      </c>
      <c r="J250" t="s">
        <v>42</v>
      </c>
      <c r="K250">
        <v>6</v>
      </c>
      <c r="O250">
        <f t="shared" si="5"/>
        <v>21.99</v>
      </c>
    </row>
    <row r="251" spans="1:15" x14ac:dyDescent="0.35">
      <c r="A251" t="s">
        <v>343</v>
      </c>
      <c r="B251">
        <v>1</v>
      </c>
      <c r="C251">
        <v>18.989999999999998</v>
      </c>
      <c r="D251">
        <v>18.989999999999998</v>
      </c>
      <c r="E251" t="s">
        <v>122</v>
      </c>
      <c r="F251" t="s">
        <v>1718</v>
      </c>
      <c r="G251" t="s">
        <v>16</v>
      </c>
      <c r="H251">
        <v>17</v>
      </c>
      <c r="I251" t="s">
        <v>17</v>
      </c>
      <c r="J251" t="s">
        <v>42</v>
      </c>
      <c r="K251">
        <v>6</v>
      </c>
      <c r="O251">
        <f t="shared" si="5"/>
        <v>21.99</v>
      </c>
    </row>
    <row r="252" spans="1:15" x14ac:dyDescent="0.35">
      <c r="A252" t="s">
        <v>344</v>
      </c>
      <c r="B252">
        <v>1</v>
      </c>
      <c r="C252">
        <v>27.99</v>
      </c>
      <c r="D252">
        <v>27.99</v>
      </c>
      <c r="E252" t="s">
        <v>96</v>
      </c>
      <c r="F252" t="s">
        <v>1719</v>
      </c>
      <c r="G252" t="s">
        <v>16</v>
      </c>
      <c r="H252">
        <v>3</v>
      </c>
      <c r="I252" t="s">
        <v>12</v>
      </c>
      <c r="J252" t="s">
        <v>31</v>
      </c>
      <c r="K252">
        <v>9</v>
      </c>
      <c r="O252">
        <f t="shared" si="5"/>
        <v>21.99</v>
      </c>
    </row>
    <row r="253" spans="1:15" x14ac:dyDescent="0.35">
      <c r="A253" t="s">
        <v>345</v>
      </c>
      <c r="B253">
        <v>2</v>
      </c>
      <c r="C253">
        <v>21.99</v>
      </c>
      <c r="D253">
        <v>37.979999999999997</v>
      </c>
      <c r="E253" t="s">
        <v>35</v>
      </c>
      <c r="F253" t="s">
        <v>1720</v>
      </c>
      <c r="G253" t="s">
        <v>16</v>
      </c>
      <c r="H253">
        <v>3</v>
      </c>
      <c r="I253" t="s">
        <v>41</v>
      </c>
      <c r="J253" t="s">
        <v>13</v>
      </c>
      <c r="K253">
        <v>7</v>
      </c>
      <c r="O253">
        <f t="shared" si="5"/>
        <v>37.979999999999997</v>
      </c>
    </row>
    <row r="254" spans="1:15" x14ac:dyDescent="0.35">
      <c r="A254" t="s">
        <v>346</v>
      </c>
      <c r="B254">
        <v>1</v>
      </c>
      <c r="C254">
        <v>16.989999999999998</v>
      </c>
      <c r="D254">
        <v>16.989999999999998</v>
      </c>
      <c r="E254" t="s">
        <v>40</v>
      </c>
      <c r="F254" t="s">
        <v>1721</v>
      </c>
      <c r="G254" t="s">
        <v>16</v>
      </c>
      <c r="H254">
        <v>17</v>
      </c>
      <c r="I254" t="s">
        <v>41</v>
      </c>
      <c r="J254" t="s">
        <v>25</v>
      </c>
      <c r="K254">
        <v>5</v>
      </c>
      <c r="O254">
        <f t="shared" si="5"/>
        <v>21.99</v>
      </c>
    </row>
    <row r="255" spans="1:15" x14ac:dyDescent="0.35">
      <c r="A255" t="s">
        <v>347</v>
      </c>
      <c r="B255">
        <v>1</v>
      </c>
      <c r="C255">
        <v>18.989999999999998</v>
      </c>
      <c r="D255">
        <v>18.989999999999998</v>
      </c>
      <c r="E255" t="s">
        <v>290</v>
      </c>
      <c r="F255" t="s">
        <v>1722</v>
      </c>
      <c r="G255" t="s">
        <v>28</v>
      </c>
      <c r="H255">
        <v>0</v>
      </c>
      <c r="I255" t="s">
        <v>12</v>
      </c>
      <c r="J255" t="s">
        <v>42</v>
      </c>
      <c r="K255">
        <v>6</v>
      </c>
      <c r="O255">
        <f t="shared" si="5"/>
        <v>21.99</v>
      </c>
    </row>
    <row r="256" spans="1:15" x14ac:dyDescent="0.35">
      <c r="A256" t="s">
        <v>348</v>
      </c>
      <c r="B256">
        <v>1</v>
      </c>
      <c r="C256">
        <v>18.989999999999998</v>
      </c>
      <c r="D256">
        <v>18.989999999999998</v>
      </c>
      <c r="E256" t="s">
        <v>349</v>
      </c>
      <c r="F256" t="s">
        <v>1723</v>
      </c>
      <c r="G256" t="s">
        <v>87</v>
      </c>
      <c r="H256">
        <v>0</v>
      </c>
      <c r="I256" t="s">
        <v>24</v>
      </c>
      <c r="J256" t="s">
        <v>42</v>
      </c>
      <c r="K256">
        <v>6</v>
      </c>
      <c r="O256">
        <f t="shared" si="5"/>
        <v>21.99</v>
      </c>
    </row>
    <row r="257" spans="1:15" x14ac:dyDescent="0.35">
      <c r="A257" t="s">
        <v>350</v>
      </c>
      <c r="B257">
        <v>3</v>
      </c>
      <c r="C257">
        <v>16.989999999999998</v>
      </c>
      <c r="D257">
        <v>40.18</v>
      </c>
      <c r="E257" t="s">
        <v>15</v>
      </c>
      <c r="F257" t="s">
        <v>1724</v>
      </c>
      <c r="G257" t="s">
        <v>16</v>
      </c>
      <c r="H257">
        <v>19</v>
      </c>
      <c r="I257" t="s">
        <v>17</v>
      </c>
      <c r="J257" t="s">
        <v>25</v>
      </c>
      <c r="K257">
        <v>5</v>
      </c>
      <c r="O257">
        <f t="shared" si="5"/>
        <v>84.73</v>
      </c>
    </row>
    <row r="258" spans="1:15" x14ac:dyDescent="0.35">
      <c r="A258" t="s">
        <v>351</v>
      </c>
      <c r="B258">
        <v>1</v>
      </c>
      <c r="C258">
        <v>16.989999999999998</v>
      </c>
      <c r="D258">
        <v>16.989999999999998</v>
      </c>
      <c r="E258" t="s">
        <v>54</v>
      </c>
      <c r="F258" t="s">
        <v>1725</v>
      </c>
      <c r="G258" t="s">
        <v>28</v>
      </c>
      <c r="H258">
        <v>0</v>
      </c>
      <c r="I258" t="s">
        <v>12</v>
      </c>
      <c r="J258" t="s">
        <v>25</v>
      </c>
      <c r="K258">
        <v>5</v>
      </c>
      <c r="O258">
        <f t="shared" ref="O258:O321" si="6">VLOOKUP(B:B,B:H,3,FALSE)</f>
        <v>21.99</v>
      </c>
    </row>
    <row r="259" spans="1:15" x14ac:dyDescent="0.35">
      <c r="A259" t="s">
        <v>352</v>
      </c>
      <c r="B259">
        <v>3</v>
      </c>
      <c r="C259">
        <v>16.989999999999998</v>
      </c>
      <c r="D259">
        <v>40.18</v>
      </c>
      <c r="E259" t="s">
        <v>33</v>
      </c>
      <c r="F259" t="s">
        <v>1726</v>
      </c>
      <c r="G259" t="s">
        <v>16</v>
      </c>
      <c r="H259">
        <v>19</v>
      </c>
      <c r="I259" t="s">
        <v>24</v>
      </c>
      <c r="J259" t="s">
        <v>25</v>
      </c>
      <c r="K259">
        <v>5</v>
      </c>
      <c r="O259">
        <f t="shared" si="6"/>
        <v>84.73</v>
      </c>
    </row>
    <row r="260" spans="1:15" x14ac:dyDescent="0.35">
      <c r="A260" t="s">
        <v>353</v>
      </c>
      <c r="B260">
        <v>1</v>
      </c>
      <c r="C260">
        <v>34.99</v>
      </c>
      <c r="D260">
        <v>34.99</v>
      </c>
      <c r="E260" t="s">
        <v>40</v>
      </c>
      <c r="F260" t="s">
        <v>1727</v>
      </c>
      <c r="G260" t="s">
        <v>16</v>
      </c>
      <c r="H260">
        <v>9</v>
      </c>
      <c r="I260" t="s">
        <v>41</v>
      </c>
      <c r="J260" t="s">
        <v>36</v>
      </c>
      <c r="K260">
        <v>12.5</v>
      </c>
      <c r="O260">
        <f t="shared" si="6"/>
        <v>21.99</v>
      </c>
    </row>
    <row r="261" spans="1:15" x14ac:dyDescent="0.35">
      <c r="A261" t="s">
        <v>354</v>
      </c>
      <c r="B261">
        <v>1</v>
      </c>
      <c r="C261">
        <v>27.99</v>
      </c>
      <c r="D261">
        <v>27.99</v>
      </c>
      <c r="E261" t="s">
        <v>126</v>
      </c>
      <c r="F261" t="s">
        <v>1728</v>
      </c>
      <c r="G261" t="s">
        <v>21</v>
      </c>
      <c r="H261">
        <v>0</v>
      </c>
      <c r="I261" t="s">
        <v>24</v>
      </c>
      <c r="J261" t="s">
        <v>31</v>
      </c>
      <c r="K261">
        <v>9</v>
      </c>
      <c r="O261">
        <f t="shared" si="6"/>
        <v>21.99</v>
      </c>
    </row>
    <row r="262" spans="1:15" x14ac:dyDescent="0.35">
      <c r="A262" t="s">
        <v>355</v>
      </c>
      <c r="B262">
        <v>1</v>
      </c>
      <c r="C262">
        <v>30.99</v>
      </c>
      <c r="D262">
        <v>30.99</v>
      </c>
      <c r="E262" t="s">
        <v>122</v>
      </c>
      <c r="F262" t="s">
        <v>1717</v>
      </c>
      <c r="G262" t="s">
        <v>16</v>
      </c>
      <c r="H262">
        <v>2</v>
      </c>
      <c r="I262" t="s">
        <v>17</v>
      </c>
      <c r="J262" t="s">
        <v>18</v>
      </c>
      <c r="K262">
        <v>10.5</v>
      </c>
      <c r="O262">
        <f t="shared" si="6"/>
        <v>21.99</v>
      </c>
    </row>
    <row r="263" spans="1:15" x14ac:dyDescent="0.35">
      <c r="A263" t="s">
        <v>356</v>
      </c>
      <c r="B263">
        <v>1</v>
      </c>
      <c r="C263">
        <v>30.99</v>
      </c>
      <c r="D263">
        <v>30.99</v>
      </c>
      <c r="E263" t="s">
        <v>164</v>
      </c>
      <c r="F263" t="s">
        <v>1718</v>
      </c>
      <c r="G263" t="s">
        <v>21</v>
      </c>
      <c r="H263">
        <v>0</v>
      </c>
      <c r="I263" t="s">
        <v>24</v>
      </c>
      <c r="J263" t="s">
        <v>18</v>
      </c>
      <c r="K263">
        <v>10.5</v>
      </c>
      <c r="O263">
        <f t="shared" si="6"/>
        <v>21.99</v>
      </c>
    </row>
    <row r="264" spans="1:15" x14ac:dyDescent="0.35">
      <c r="A264" t="s">
        <v>357</v>
      </c>
      <c r="B264">
        <v>1</v>
      </c>
      <c r="C264">
        <v>27.99</v>
      </c>
      <c r="D264">
        <v>27.99</v>
      </c>
      <c r="E264" t="s">
        <v>358</v>
      </c>
      <c r="F264" t="s">
        <v>1719</v>
      </c>
      <c r="G264" t="s">
        <v>16</v>
      </c>
      <c r="H264">
        <v>3</v>
      </c>
      <c r="I264" t="s">
        <v>41</v>
      </c>
      <c r="J264" t="s">
        <v>31</v>
      </c>
      <c r="K264">
        <v>9</v>
      </c>
      <c r="O264">
        <f t="shared" si="6"/>
        <v>21.99</v>
      </c>
    </row>
    <row r="265" spans="1:15" x14ac:dyDescent="0.35">
      <c r="A265" t="s">
        <v>359</v>
      </c>
      <c r="B265">
        <v>3</v>
      </c>
      <c r="C265">
        <v>34.99</v>
      </c>
      <c r="D265">
        <v>84.73</v>
      </c>
      <c r="E265" t="s">
        <v>231</v>
      </c>
      <c r="F265" t="s">
        <v>1720</v>
      </c>
      <c r="G265" t="s">
        <v>16</v>
      </c>
      <c r="H265">
        <v>6</v>
      </c>
      <c r="I265" t="s">
        <v>41</v>
      </c>
      <c r="J265" t="s">
        <v>36</v>
      </c>
      <c r="K265">
        <v>12.5</v>
      </c>
      <c r="O265">
        <f t="shared" si="6"/>
        <v>84.73</v>
      </c>
    </row>
    <row r="266" spans="1:15" x14ac:dyDescent="0.35">
      <c r="A266" t="s">
        <v>360</v>
      </c>
      <c r="B266">
        <v>1</v>
      </c>
      <c r="C266">
        <v>18.989999999999998</v>
      </c>
      <c r="D266">
        <v>18.989999999999998</v>
      </c>
      <c r="E266" t="s">
        <v>307</v>
      </c>
      <c r="F266" t="s">
        <v>1721</v>
      </c>
      <c r="G266" t="s">
        <v>16</v>
      </c>
      <c r="H266">
        <v>13</v>
      </c>
      <c r="I266" t="s">
        <v>41</v>
      </c>
      <c r="J266" t="s">
        <v>42</v>
      </c>
      <c r="K266">
        <v>6</v>
      </c>
      <c r="O266">
        <f t="shared" si="6"/>
        <v>21.99</v>
      </c>
    </row>
    <row r="267" spans="1:15" x14ac:dyDescent="0.35">
      <c r="A267" t="s">
        <v>361</v>
      </c>
      <c r="B267">
        <v>3</v>
      </c>
      <c r="C267">
        <v>21.99</v>
      </c>
      <c r="D267">
        <v>52.48</v>
      </c>
      <c r="E267" t="s">
        <v>214</v>
      </c>
      <c r="F267" t="s">
        <v>1722</v>
      </c>
      <c r="G267" t="s">
        <v>87</v>
      </c>
      <c r="H267">
        <v>0</v>
      </c>
      <c r="I267" t="s">
        <v>17</v>
      </c>
      <c r="J267" t="s">
        <v>13</v>
      </c>
      <c r="K267">
        <v>7</v>
      </c>
      <c r="O267">
        <f t="shared" si="6"/>
        <v>84.73</v>
      </c>
    </row>
    <row r="268" spans="1:15" x14ac:dyDescent="0.35">
      <c r="A268" t="s">
        <v>362</v>
      </c>
      <c r="B268">
        <v>1</v>
      </c>
      <c r="C268">
        <v>18.989999999999998</v>
      </c>
      <c r="D268">
        <v>18.989999999999998</v>
      </c>
      <c r="E268" t="s">
        <v>76</v>
      </c>
      <c r="F268" t="s">
        <v>1723</v>
      </c>
      <c r="G268" t="s">
        <v>16</v>
      </c>
      <c r="H268">
        <v>13</v>
      </c>
      <c r="I268" t="s">
        <v>17</v>
      </c>
      <c r="J268" t="s">
        <v>42</v>
      </c>
      <c r="K268">
        <v>6</v>
      </c>
      <c r="O268">
        <f t="shared" si="6"/>
        <v>21.99</v>
      </c>
    </row>
    <row r="269" spans="1:15" x14ac:dyDescent="0.35">
      <c r="A269" t="s">
        <v>363</v>
      </c>
      <c r="B269">
        <v>2</v>
      </c>
      <c r="C269">
        <v>18.989999999999998</v>
      </c>
      <c r="D269">
        <v>32.78</v>
      </c>
      <c r="E269" t="s">
        <v>89</v>
      </c>
      <c r="F269" t="s">
        <v>1724</v>
      </c>
      <c r="G269" t="s">
        <v>16</v>
      </c>
      <c r="H269">
        <v>13</v>
      </c>
      <c r="I269" t="s">
        <v>17</v>
      </c>
      <c r="J269" t="s">
        <v>42</v>
      </c>
      <c r="K269">
        <v>6</v>
      </c>
      <c r="O269">
        <f t="shared" si="6"/>
        <v>37.979999999999997</v>
      </c>
    </row>
    <row r="270" spans="1:15" x14ac:dyDescent="0.35">
      <c r="A270" t="s">
        <v>364</v>
      </c>
      <c r="B270">
        <v>2</v>
      </c>
      <c r="C270">
        <v>27.99</v>
      </c>
      <c r="D270">
        <v>48.38</v>
      </c>
      <c r="E270" t="s">
        <v>33</v>
      </c>
      <c r="F270" t="s">
        <v>1725</v>
      </c>
      <c r="G270" t="s">
        <v>21</v>
      </c>
      <c r="H270">
        <v>0</v>
      </c>
      <c r="I270" t="s">
        <v>24</v>
      </c>
      <c r="J270" t="s">
        <v>31</v>
      </c>
      <c r="K270">
        <v>9</v>
      </c>
      <c r="O270">
        <f t="shared" si="6"/>
        <v>37.979999999999997</v>
      </c>
    </row>
    <row r="271" spans="1:15" x14ac:dyDescent="0.35">
      <c r="A271" t="s">
        <v>365</v>
      </c>
      <c r="B271">
        <v>2</v>
      </c>
      <c r="C271">
        <v>21.99</v>
      </c>
      <c r="D271">
        <v>37.979999999999997</v>
      </c>
      <c r="E271" t="s">
        <v>195</v>
      </c>
      <c r="F271" t="s">
        <v>1726</v>
      </c>
      <c r="G271" t="s">
        <v>16</v>
      </c>
      <c r="H271">
        <v>3</v>
      </c>
      <c r="I271" t="s">
        <v>41</v>
      </c>
      <c r="J271" t="s">
        <v>13</v>
      </c>
      <c r="K271">
        <v>7</v>
      </c>
      <c r="O271">
        <f t="shared" si="6"/>
        <v>37.979999999999997</v>
      </c>
    </row>
    <row r="272" spans="1:15" x14ac:dyDescent="0.35">
      <c r="A272" t="s">
        <v>366</v>
      </c>
      <c r="B272">
        <v>1</v>
      </c>
      <c r="C272">
        <v>34.99</v>
      </c>
      <c r="D272">
        <v>34.99</v>
      </c>
      <c r="E272" t="s">
        <v>86</v>
      </c>
      <c r="F272" t="s">
        <v>1727</v>
      </c>
      <c r="G272" t="s">
        <v>16</v>
      </c>
      <c r="H272">
        <v>6</v>
      </c>
      <c r="I272" t="s">
        <v>24</v>
      </c>
      <c r="J272" t="s">
        <v>36</v>
      </c>
      <c r="K272">
        <v>12.5</v>
      </c>
      <c r="O272">
        <f t="shared" si="6"/>
        <v>21.99</v>
      </c>
    </row>
    <row r="273" spans="1:15" x14ac:dyDescent="0.35">
      <c r="A273" t="s">
        <v>367</v>
      </c>
      <c r="B273">
        <v>2</v>
      </c>
      <c r="C273">
        <v>34.99</v>
      </c>
      <c r="D273">
        <v>60.98</v>
      </c>
      <c r="E273" t="s">
        <v>236</v>
      </c>
      <c r="F273" t="s">
        <v>1728</v>
      </c>
      <c r="G273" t="s">
        <v>16</v>
      </c>
      <c r="H273">
        <v>8</v>
      </c>
      <c r="I273" t="s">
        <v>17</v>
      </c>
      <c r="J273" t="s">
        <v>36</v>
      </c>
      <c r="K273">
        <v>12.5</v>
      </c>
      <c r="O273">
        <f t="shared" si="6"/>
        <v>37.979999999999997</v>
      </c>
    </row>
    <row r="274" spans="1:15" x14ac:dyDescent="0.35">
      <c r="A274" t="s">
        <v>368</v>
      </c>
      <c r="B274">
        <v>1</v>
      </c>
      <c r="C274">
        <v>18.989999999999998</v>
      </c>
      <c r="D274">
        <v>18.989999999999998</v>
      </c>
      <c r="E274" t="s">
        <v>48</v>
      </c>
      <c r="F274" t="s">
        <v>1717</v>
      </c>
      <c r="G274" t="s">
        <v>21</v>
      </c>
      <c r="H274">
        <v>0</v>
      </c>
      <c r="I274" t="s">
        <v>41</v>
      </c>
      <c r="J274" t="s">
        <v>42</v>
      </c>
      <c r="K274">
        <v>6</v>
      </c>
      <c r="O274">
        <f t="shared" si="6"/>
        <v>21.99</v>
      </c>
    </row>
    <row r="275" spans="1:15" x14ac:dyDescent="0.35">
      <c r="A275" t="s">
        <v>369</v>
      </c>
      <c r="B275">
        <v>1</v>
      </c>
      <c r="C275">
        <v>34.99</v>
      </c>
      <c r="D275">
        <v>34.99</v>
      </c>
      <c r="E275" s="6">
        <v>46199</v>
      </c>
      <c r="F275" t="s">
        <v>1718</v>
      </c>
      <c r="G275" t="s">
        <v>16</v>
      </c>
      <c r="H275">
        <v>5</v>
      </c>
      <c r="I275" t="s">
        <v>12</v>
      </c>
      <c r="J275" t="s">
        <v>36</v>
      </c>
      <c r="K275">
        <v>12.5</v>
      </c>
      <c r="O275">
        <f t="shared" si="6"/>
        <v>21.99</v>
      </c>
    </row>
    <row r="276" spans="1:15" x14ac:dyDescent="0.35">
      <c r="A276" t="s">
        <v>370</v>
      </c>
      <c r="B276">
        <v>1</v>
      </c>
      <c r="C276">
        <v>30.99</v>
      </c>
      <c r="D276">
        <v>30.99</v>
      </c>
      <c r="E276" t="s">
        <v>371</v>
      </c>
      <c r="F276" t="s">
        <v>1719</v>
      </c>
      <c r="G276" t="s">
        <v>87</v>
      </c>
      <c r="H276">
        <v>0</v>
      </c>
      <c r="I276" t="s">
        <v>17</v>
      </c>
      <c r="J276" t="s">
        <v>18</v>
      </c>
      <c r="K276">
        <v>10.5</v>
      </c>
      <c r="O276">
        <f t="shared" si="6"/>
        <v>21.99</v>
      </c>
    </row>
    <row r="277" spans="1:15" x14ac:dyDescent="0.35">
      <c r="A277" t="s">
        <v>370</v>
      </c>
      <c r="B277">
        <v>1</v>
      </c>
      <c r="C277">
        <v>30.99</v>
      </c>
      <c r="D277">
        <v>30.99</v>
      </c>
      <c r="E277" t="s">
        <v>371</v>
      </c>
      <c r="F277" t="s">
        <v>1720</v>
      </c>
      <c r="G277" t="s">
        <v>87</v>
      </c>
      <c r="H277">
        <v>0</v>
      </c>
      <c r="I277" t="s">
        <v>17</v>
      </c>
      <c r="J277" t="s">
        <v>18</v>
      </c>
      <c r="K277">
        <v>10.5</v>
      </c>
      <c r="O277">
        <f t="shared" si="6"/>
        <v>21.99</v>
      </c>
    </row>
    <row r="278" spans="1:15" x14ac:dyDescent="0.35">
      <c r="A278" t="s">
        <v>372</v>
      </c>
      <c r="B278">
        <v>1</v>
      </c>
      <c r="C278">
        <v>34.99</v>
      </c>
      <c r="D278">
        <v>34.99</v>
      </c>
      <c r="E278" t="s">
        <v>126</v>
      </c>
      <c r="F278" t="s">
        <v>1721</v>
      </c>
      <c r="G278" t="s">
        <v>16</v>
      </c>
      <c r="H278">
        <v>7</v>
      </c>
      <c r="I278" t="s">
        <v>12</v>
      </c>
      <c r="J278" t="s">
        <v>36</v>
      </c>
      <c r="K278">
        <v>12.5</v>
      </c>
      <c r="O278">
        <f t="shared" si="6"/>
        <v>21.99</v>
      </c>
    </row>
    <row r="279" spans="1:15" x14ac:dyDescent="0.35">
      <c r="A279" t="s">
        <v>373</v>
      </c>
      <c r="B279">
        <v>3</v>
      </c>
      <c r="C279">
        <v>34.99</v>
      </c>
      <c r="D279">
        <v>84.73</v>
      </c>
      <c r="E279" s="6">
        <v>46232</v>
      </c>
      <c r="F279" t="s">
        <v>1722</v>
      </c>
      <c r="G279" t="s">
        <v>28</v>
      </c>
      <c r="H279">
        <v>0</v>
      </c>
      <c r="I279" t="s">
        <v>12</v>
      </c>
      <c r="J279" t="s">
        <v>36</v>
      </c>
      <c r="K279">
        <v>12.5</v>
      </c>
      <c r="O279">
        <f t="shared" si="6"/>
        <v>84.73</v>
      </c>
    </row>
    <row r="280" spans="1:15" x14ac:dyDescent="0.35">
      <c r="A280" t="s">
        <v>374</v>
      </c>
      <c r="B280">
        <v>1</v>
      </c>
      <c r="C280">
        <v>30.99</v>
      </c>
      <c r="D280">
        <v>30.99</v>
      </c>
      <c r="E280" t="s">
        <v>92</v>
      </c>
      <c r="F280" t="s">
        <v>1723</v>
      </c>
      <c r="G280" t="s">
        <v>16</v>
      </c>
      <c r="H280">
        <v>3</v>
      </c>
      <c r="I280" t="s">
        <v>41</v>
      </c>
      <c r="J280" t="s">
        <v>18</v>
      </c>
      <c r="K280">
        <v>10.5</v>
      </c>
      <c r="O280">
        <f t="shared" si="6"/>
        <v>21.99</v>
      </c>
    </row>
    <row r="281" spans="1:15" x14ac:dyDescent="0.35">
      <c r="A281" t="s">
        <v>375</v>
      </c>
      <c r="B281">
        <v>3</v>
      </c>
      <c r="C281">
        <v>34.99</v>
      </c>
      <c r="D281">
        <v>84.73</v>
      </c>
      <c r="E281" t="s">
        <v>195</v>
      </c>
      <c r="F281" t="s">
        <v>1724</v>
      </c>
      <c r="G281" t="s">
        <v>87</v>
      </c>
      <c r="H281">
        <v>0</v>
      </c>
      <c r="I281" t="s">
        <v>41</v>
      </c>
      <c r="J281" t="s">
        <v>36</v>
      </c>
      <c r="K281">
        <v>12.5</v>
      </c>
      <c r="O281">
        <f t="shared" si="6"/>
        <v>84.73</v>
      </c>
    </row>
    <row r="282" spans="1:15" x14ac:dyDescent="0.35">
      <c r="A282" t="s">
        <v>376</v>
      </c>
      <c r="B282">
        <v>1</v>
      </c>
      <c r="C282">
        <v>30.99</v>
      </c>
      <c r="D282">
        <v>30.99</v>
      </c>
      <c r="E282" t="s">
        <v>233</v>
      </c>
      <c r="F282" t="s">
        <v>1725</v>
      </c>
      <c r="G282" t="s">
        <v>16</v>
      </c>
      <c r="H282">
        <v>3</v>
      </c>
      <c r="I282" t="s">
        <v>41</v>
      </c>
      <c r="J282" t="s">
        <v>18</v>
      </c>
      <c r="K282">
        <v>10.5</v>
      </c>
      <c r="O282">
        <f t="shared" si="6"/>
        <v>21.99</v>
      </c>
    </row>
    <row r="283" spans="1:15" x14ac:dyDescent="0.35">
      <c r="A283" t="s">
        <v>377</v>
      </c>
      <c r="B283">
        <v>2</v>
      </c>
      <c r="C283">
        <v>16.989999999999998</v>
      </c>
      <c r="D283">
        <v>29.18</v>
      </c>
      <c r="E283" t="s">
        <v>99</v>
      </c>
      <c r="F283" t="s">
        <v>1726</v>
      </c>
      <c r="G283" t="s">
        <v>21</v>
      </c>
      <c r="H283">
        <v>0</v>
      </c>
      <c r="I283" t="s">
        <v>17</v>
      </c>
      <c r="J283" t="s">
        <v>25</v>
      </c>
      <c r="K283">
        <v>5</v>
      </c>
      <c r="O283">
        <f t="shared" si="6"/>
        <v>37.979999999999997</v>
      </c>
    </row>
    <row r="284" spans="1:15" x14ac:dyDescent="0.35">
      <c r="A284" t="s">
        <v>378</v>
      </c>
      <c r="B284">
        <v>1</v>
      </c>
      <c r="C284">
        <v>18.989999999999998</v>
      </c>
      <c r="D284">
        <v>18.989999999999998</v>
      </c>
      <c r="E284" t="s">
        <v>76</v>
      </c>
      <c r="F284" t="s">
        <v>1727</v>
      </c>
      <c r="G284" t="s">
        <v>16</v>
      </c>
      <c r="H284">
        <v>11</v>
      </c>
      <c r="I284" t="s">
        <v>24</v>
      </c>
      <c r="J284" t="s">
        <v>42</v>
      </c>
      <c r="K284">
        <v>6</v>
      </c>
      <c r="O284">
        <f t="shared" si="6"/>
        <v>21.99</v>
      </c>
    </row>
    <row r="285" spans="1:15" x14ac:dyDescent="0.35">
      <c r="A285" t="s">
        <v>379</v>
      </c>
      <c r="B285">
        <v>1</v>
      </c>
      <c r="C285">
        <v>16.989999999999998</v>
      </c>
      <c r="D285">
        <v>16.989999999999998</v>
      </c>
      <c r="E285" t="s">
        <v>236</v>
      </c>
      <c r="F285" t="s">
        <v>1728</v>
      </c>
      <c r="G285" t="s">
        <v>21</v>
      </c>
      <c r="H285">
        <v>0</v>
      </c>
      <c r="I285" t="s">
        <v>17</v>
      </c>
      <c r="J285" t="s">
        <v>25</v>
      </c>
      <c r="K285">
        <v>5</v>
      </c>
      <c r="O285">
        <f t="shared" si="6"/>
        <v>21.99</v>
      </c>
    </row>
    <row r="286" spans="1:15" x14ac:dyDescent="0.35">
      <c r="A286" t="s">
        <v>380</v>
      </c>
      <c r="B286">
        <v>2</v>
      </c>
      <c r="C286">
        <v>27.99</v>
      </c>
      <c r="D286">
        <v>48.38</v>
      </c>
      <c r="E286" t="s">
        <v>10</v>
      </c>
      <c r="F286" t="s">
        <v>1717</v>
      </c>
      <c r="G286" t="s">
        <v>28</v>
      </c>
      <c r="H286">
        <v>0</v>
      </c>
      <c r="I286" t="s">
        <v>41</v>
      </c>
      <c r="J286" t="s">
        <v>31</v>
      </c>
      <c r="K286">
        <v>9</v>
      </c>
      <c r="O286">
        <f t="shared" si="6"/>
        <v>37.979999999999997</v>
      </c>
    </row>
    <row r="287" spans="1:15" x14ac:dyDescent="0.35">
      <c r="A287" t="s">
        <v>381</v>
      </c>
      <c r="B287">
        <v>2</v>
      </c>
      <c r="C287">
        <v>30.99</v>
      </c>
      <c r="D287">
        <v>53.78</v>
      </c>
      <c r="E287" t="s">
        <v>382</v>
      </c>
      <c r="F287" t="s">
        <v>1718</v>
      </c>
      <c r="G287" t="s">
        <v>21</v>
      </c>
      <c r="H287">
        <v>0</v>
      </c>
      <c r="I287" t="s">
        <v>24</v>
      </c>
      <c r="J287" t="s">
        <v>18</v>
      </c>
      <c r="K287">
        <v>10.5</v>
      </c>
      <c r="O287">
        <f t="shared" si="6"/>
        <v>37.979999999999997</v>
      </c>
    </row>
    <row r="288" spans="1:15" x14ac:dyDescent="0.35">
      <c r="A288" t="s">
        <v>383</v>
      </c>
      <c r="B288">
        <v>1</v>
      </c>
      <c r="C288">
        <v>18.989999999999998</v>
      </c>
      <c r="D288">
        <v>18.989999999999998</v>
      </c>
      <c r="E288" t="s">
        <v>199</v>
      </c>
      <c r="F288" t="s">
        <v>1719</v>
      </c>
      <c r="G288" t="s">
        <v>16</v>
      </c>
      <c r="H288">
        <v>15</v>
      </c>
      <c r="I288" t="s">
        <v>24</v>
      </c>
      <c r="J288" t="s">
        <v>42</v>
      </c>
      <c r="K288">
        <v>6</v>
      </c>
      <c r="O288">
        <f t="shared" si="6"/>
        <v>21.99</v>
      </c>
    </row>
    <row r="289" spans="1:15" x14ac:dyDescent="0.35">
      <c r="A289" t="s">
        <v>384</v>
      </c>
      <c r="B289">
        <v>1</v>
      </c>
      <c r="C289">
        <v>30.99</v>
      </c>
      <c r="D289">
        <v>30.99</v>
      </c>
      <c r="E289" t="s">
        <v>106</v>
      </c>
      <c r="F289" t="s">
        <v>1720</v>
      </c>
      <c r="G289" t="s">
        <v>16</v>
      </c>
      <c r="H289">
        <v>2</v>
      </c>
      <c r="I289" t="s">
        <v>41</v>
      </c>
      <c r="J289" t="s">
        <v>18</v>
      </c>
      <c r="K289">
        <v>10.5</v>
      </c>
      <c r="O289">
        <f t="shared" si="6"/>
        <v>21.99</v>
      </c>
    </row>
    <row r="290" spans="1:15" x14ac:dyDescent="0.35">
      <c r="A290" t="s">
        <v>385</v>
      </c>
      <c r="B290">
        <v>1</v>
      </c>
      <c r="C290">
        <v>30.99</v>
      </c>
      <c r="D290">
        <v>30.99</v>
      </c>
      <c r="E290" t="s">
        <v>108</v>
      </c>
      <c r="F290" t="s">
        <v>1721</v>
      </c>
      <c r="G290" t="s">
        <v>16</v>
      </c>
      <c r="H290">
        <v>3</v>
      </c>
      <c r="I290" t="s">
        <v>12</v>
      </c>
      <c r="J290" t="s">
        <v>18</v>
      </c>
      <c r="K290">
        <v>10.5</v>
      </c>
      <c r="O290">
        <f t="shared" si="6"/>
        <v>21.99</v>
      </c>
    </row>
    <row r="291" spans="1:15" x14ac:dyDescent="0.35">
      <c r="A291" t="s">
        <v>386</v>
      </c>
      <c r="B291">
        <v>1</v>
      </c>
      <c r="C291">
        <v>21.99</v>
      </c>
      <c r="D291">
        <v>21.99</v>
      </c>
      <c r="E291" t="s">
        <v>191</v>
      </c>
      <c r="F291" t="s">
        <v>1722</v>
      </c>
      <c r="G291" t="s">
        <v>16</v>
      </c>
      <c r="H291">
        <v>3</v>
      </c>
      <c r="I291" t="s">
        <v>24</v>
      </c>
      <c r="J291" t="s">
        <v>13</v>
      </c>
      <c r="K291">
        <v>7</v>
      </c>
      <c r="O291">
        <f t="shared" si="6"/>
        <v>21.99</v>
      </c>
    </row>
    <row r="292" spans="1:15" x14ac:dyDescent="0.35">
      <c r="A292" t="s">
        <v>387</v>
      </c>
      <c r="B292">
        <v>3</v>
      </c>
      <c r="C292">
        <v>34.99</v>
      </c>
      <c r="D292">
        <v>84.73</v>
      </c>
      <c r="E292" t="s">
        <v>38</v>
      </c>
      <c r="F292" t="s">
        <v>1723</v>
      </c>
      <c r="G292" t="s">
        <v>11</v>
      </c>
      <c r="H292">
        <v>7</v>
      </c>
      <c r="I292" t="s">
        <v>24</v>
      </c>
      <c r="J292" t="s">
        <v>36</v>
      </c>
      <c r="K292">
        <v>12.5</v>
      </c>
      <c r="O292">
        <f t="shared" si="6"/>
        <v>84.73</v>
      </c>
    </row>
    <row r="293" spans="1:15" x14ac:dyDescent="0.35">
      <c r="A293" t="s">
        <v>388</v>
      </c>
      <c r="B293">
        <v>3</v>
      </c>
      <c r="C293">
        <v>34.99</v>
      </c>
      <c r="D293">
        <v>84.73</v>
      </c>
      <c r="E293" t="s">
        <v>389</v>
      </c>
      <c r="F293" t="s">
        <v>1724</v>
      </c>
      <c r="G293" t="s">
        <v>21</v>
      </c>
      <c r="H293">
        <v>0</v>
      </c>
      <c r="I293" t="s">
        <v>41</v>
      </c>
      <c r="J293" t="s">
        <v>36</v>
      </c>
      <c r="K293">
        <v>12.5</v>
      </c>
      <c r="O293">
        <f t="shared" si="6"/>
        <v>84.73</v>
      </c>
    </row>
    <row r="294" spans="1:15" x14ac:dyDescent="0.35">
      <c r="A294" t="s">
        <v>390</v>
      </c>
      <c r="B294">
        <v>1</v>
      </c>
      <c r="C294">
        <v>34.99</v>
      </c>
      <c r="D294">
        <v>34.99</v>
      </c>
      <c r="E294" t="s">
        <v>89</v>
      </c>
      <c r="F294" t="s">
        <v>1725</v>
      </c>
      <c r="G294" t="s">
        <v>21</v>
      </c>
      <c r="H294">
        <v>0</v>
      </c>
      <c r="I294" t="s">
        <v>12</v>
      </c>
      <c r="J294" t="s">
        <v>36</v>
      </c>
      <c r="K294">
        <v>12.5</v>
      </c>
      <c r="O294">
        <f t="shared" si="6"/>
        <v>21.99</v>
      </c>
    </row>
    <row r="295" spans="1:15" x14ac:dyDescent="0.35">
      <c r="A295" t="s">
        <v>391</v>
      </c>
      <c r="B295">
        <v>1</v>
      </c>
      <c r="C295">
        <v>18.989999999999998</v>
      </c>
      <c r="D295">
        <v>18.989999999999998</v>
      </c>
      <c r="E295" t="s">
        <v>158</v>
      </c>
      <c r="F295" t="s">
        <v>1726</v>
      </c>
      <c r="G295" t="s">
        <v>16</v>
      </c>
      <c r="H295">
        <v>12</v>
      </c>
      <c r="I295" t="s">
        <v>17</v>
      </c>
      <c r="J295" t="s">
        <v>42</v>
      </c>
      <c r="K295">
        <v>6</v>
      </c>
      <c r="O295">
        <f t="shared" si="6"/>
        <v>21.99</v>
      </c>
    </row>
    <row r="296" spans="1:15" x14ac:dyDescent="0.35">
      <c r="A296" t="s">
        <v>392</v>
      </c>
      <c r="B296">
        <v>1</v>
      </c>
      <c r="C296">
        <v>21.99</v>
      </c>
      <c r="D296">
        <v>21.99</v>
      </c>
      <c r="E296" t="s">
        <v>195</v>
      </c>
      <c r="F296" t="s">
        <v>1727</v>
      </c>
      <c r="G296" t="s">
        <v>21</v>
      </c>
      <c r="H296">
        <v>0</v>
      </c>
      <c r="I296" t="s">
        <v>41</v>
      </c>
      <c r="J296" t="s">
        <v>13</v>
      </c>
      <c r="K296">
        <v>7</v>
      </c>
      <c r="O296">
        <f t="shared" si="6"/>
        <v>21.99</v>
      </c>
    </row>
    <row r="297" spans="1:15" x14ac:dyDescent="0.35">
      <c r="A297" t="s">
        <v>392</v>
      </c>
      <c r="B297">
        <v>1</v>
      </c>
      <c r="C297">
        <v>21.99</v>
      </c>
      <c r="D297">
        <v>21.99</v>
      </c>
      <c r="E297" t="s">
        <v>195</v>
      </c>
      <c r="F297" t="s">
        <v>1728</v>
      </c>
      <c r="G297" t="s">
        <v>21</v>
      </c>
      <c r="H297">
        <v>0</v>
      </c>
      <c r="I297" t="s">
        <v>41</v>
      </c>
      <c r="J297" t="s">
        <v>13</v>
      </c>
      <c r="K297">
        <v>7</v>
      </c>
      <c r="O297">
        <f t="shared" si="6"/>
        <v>21.99</v>
      </c>
    </row>
    <row r="298" spans="1:15" x14ac:dyDescent="0.35">
      <c r="A298" t="s">
        <v>393</v>
      </c>
      <c r="B298">
        <v>2</v>
      </c>
      <c r="C298">
        <v>34.99</v>
      </c>
      <c r="D298">
        <v>60.98</v>
      </c>
      <c r="E298" t="s">
        <v>132</v>
      </c>
      <c r="F298" t="s">
        <v>1717</v>
      </c>
      <c r="G298" t="s">
        <v>21</v>
      </c>
      <c r="H298">
        <v>0</v>
      </c>
      <c r="I298" t="s">
        <v>41</v>
      </c>
      <c r="J298" t="s">
        <v>36</v>
      </c>
      <c r="K298">
        <v>12.5</v>
      </c>
      <c r="O298">
        <f t="shared" si="6"/>
        <v>37.979999999999997</v>
      </c>
    </row>
    <row r="299" spans="1:15" x14ac:dyDescent="0.35">
      <c r="A299" t="s">
        <v>394</v>
      </c>
      <c r="B299">
        <v>1</v>
      </c>
      <c r="C299">
        <v>30.99</v>
      </c>
      <c r="D299">
        <v>30.99</v>
      </c>
      <c r="E299" t="s">
        <v>160</v>
      </c>
      <c r="F299" t="s">
        <v>1718</v>
      </c>
      <c r="G299" t="s">
        <v>16</v>
      </c>
      <c r="H299">
        <v>5</v>
      </c>
      <c r="I299" t="s">
        <v>12</v>
      </c>
      <c r="J299" t="s">
        <v>18</v>
      </c>
      <c r="K299">
        <v>10.5</v>
      </c>
      <c r="O299">
        <f t="shared" si="6"/>
        <v>21.99</v>
      </c>
    </row>
    <row r="300" spans="1:15" x14ac:dyDescent="0.35">
      <c r="A300" t="s">
        <v>395</v>
      </c>
      <c r="B300">
        <v>2</v>
      </c>
      <c r="C300">
        <v>21.99</v>
      </c>
      <c r="D300">
        <v>37.979999999999997</v>
      </c>
      <c r="E300" t="s">
        <v>358</v>
      </c>
      <c r="F300" t="s">
        <v>1719</v>
      </c>
      <c r="G300" t="s">
        <v>16</v>
      </c>
      <c r="H300">
        <v>2</v>
      </c>
      <c r="I300" t="s">
        <v>17</v>
      </c>
      <c r="J300" t="s">
        <v>13</v>
      </c>
      <c r="K300">
        <v>7</v>
      </c>
      <c r="O300">
        <f t="shared" si="6"/>
        <v>37.979999999999997</v>
      </c>
    </row>
    <row r="301" spans="1:15" x14ac:dyDescent="0.35">
      <c r="A301" t="s">
        <v>396</v>
      </c>
      <c r="B301">
        <v>1</v>
      </c>
      <c r="C301">
        <v>34.99</v>
      </c>
      <c r="D301">
        <v>34.99</v>
      </c>
      <c r="E301" t="s">
        <v>397</v>
      </c>
      <c r="F301" t="s">
        <v>1720</v>
      </c>
      <c r="G301" t="s">
        <v>16</v>
      </c>
      <c r="H301">
        <v>7</v>
      </c>
      <c r="I301" t="s">
        <v>41</v>
      </c>
      <c r="J301" t="s">
        <v>36</v>
      </c>
      <c r="K301">
        <v>12.5</v>
      </c>
      <c r="O301">
        <f t="shared" si="6"/>
        <v>21.99</v>
      </c>
    </row>
    <row r="302" spans="1:15" x14ac:dyDescent="0.35">
      <c r="A302" t="s">
        <v>398</v>
      </c>
      <c r="B302">
        <v>1</v>
      </c>
      <c r="C302">
        <v>18.989999999999998</v>
      </c>
      <c r="D302">
        <v>18.989999999999998</v>
      </c>
      <c r="E302" t="s">
        <v>169</v>
      </c>
      <c r="F302" t="s">
        <v>1721</v>
      </c>
      <c r="G302" t="s">
        <v>16</v>
      </c>
      <c r="H302">
        <v>15</v>
      </c>
      <c r="I302" t="s">
        <v>17</v>
      </c>
      <c r="J302" t="s">
        <v>42</v>
      </c>
      <c r="K302">
        <v>6</v>
      </c>
      <c r="O302">
        <f t="shared" si="6"/>
        <v>21.99</v>
      </c>
    </row>
    <row r="303" spans="1:15" x14ac:dyDescent="0.35">
      <c r="A303" t="s">
        <v>399</v>
      </c>
      <c r="B303">
        <v>1</v>
      </c>
      <c r="C303">
        <v>16.989999999999998</v>
      </c>
      <c r="D303">
        <v>16.989999999999998</v>
      </c>
      <c r="E303" t="s">
        <v>82</v>
      </c>
      <c r="F303" t="s">
        <v>1722</v>
      </c>
      <c r="G303" t="s">
        <v>28</v>
      </c>
      <c r="H303">
        <v>0</v>
      </c>
      <c r="I303" t="s">
        <v>24</v>
      </c>
      <c r="J303" t="s">
        <v>25</v>
      </c>
      <c r="K303">
        <v>5</v>
      </c>
      <c r="O303">
        <f t="shared" si="6"/>
        <v>21.99</v>
      </c>
    </row>
    <row r="304" spans="1:15" x14ac:dyDescent="0.35">
      <c r="A304" t="s">
        <v>400</v>
      </c>
      <c r="B304">
        <v>3</v>
      </c>
      <c r="C304">
        <v>34.99</v>
      </c>
      <c r="D304">
        <v>84.73</v>
      </c>
      <c r="E304" t="s">
        <v>33</v>
      </c>
      <c r="F304" t="s">
        <v>1723</v>
      </c>
      <c r="G304" t="s">
        <v>11</v>
      </c>
      <c r="H304">
        <v>5</v>
      </c>
      <c r="I304" t="s">
        <v>17</v>
      </c>
      <c r="J304" t="s">
        <v>36</v>
      </c>
      <c r="K304">
        <v>12.5</v>
      </c>
      <c r="O304">
        <f t="shared" si="6"/>
        <v>84.73</v>
      </c>
    </row>
    <row r="305" spans="1:15" x14ac:dyDescent="0.35">
      <c r="A305" t="s">
        <v>401</v>
      </c>
      <c r="B305">
        <v>1</v>
      </c>
      <c r="C305">
        <v>18.989999999999998</v>
      </c>
      <c r="D305">
        <v>18.989999999999998</v>
      </c>
      <c r="E305" t="s">
        <v>110</v>
      </c>
      <c r="F305" t="s">
        <v>1724</v>
      </c>
      <c r="G305" t="s">
        <v>16</v>
      </c>
      <c r="H305">
        <v>10</v>
      </c>
      <c r="I305" t="s">
        <v>24</v>
      </c>
      <c r="J305" t="s">
        <v>42</v>
      </c>
      <c r="K305">
        <v>6</v>
      </c>
      <c r="O305">
        <f t="shared" si="6"/>
        <v>21.99</v>
      </c>
    </row>
    <row r="306" spans="1:15" x14ac:dyDescent="0.35">
      <c r="A306" t="s">
        <v>402</v>
      </c>
      <c r="B306">
        <v>1</v>
      </c>
      <c r="C306">
        <v>30.99</v>
      </c>
      <c r="D306">
        <v>30.99</v>
      </c>
      <c r="E306" t="s">
        <v>30</v>
      </c>
      <c r="F306" t="s">
        <v>1725</v>
      </c>
      <c r="G306" t="s">
        <v>16</v>
      </c>
      <c r="H306">
        <v>2</v>
      </c>
      <c r="I306" t="s">
        <v>12</v>
      </c>
      <c r="J306" t="s">
        <v>18</v>
      </c>
      <c r="K306">
        <v>10.5</v>
      </c>
      <c r="O306">
        <f t="shared" si="6"/>
        <v>21.99</v>
      </c>
    </row>
    <row r="307" spans="1:15" x14ac:dyDescent="0.35">
      <c r="A307" t="s">
        <v>403</v>
      </c>
      <c r="B307">
        <v>1</v>
      </c>
      <c r="C307">
        <v>16.989999999999998</v>
      </c>
      <c r="D307">
        <v>16.989999999999998</v>
      </c>
      <c r="E307" t="s">
        <v>264</v>
      </c>
      <c r="F307" t="s">
        <v>1726</v>
      </c>
      <c r="G307" t="s">
        <v>16</v>
      </c>
      <c r="H307">
        <v>19</v>
      </c>
      <c r="I307" t="s">
        <v>12</v>
      </c>
      <c r="J307" t="s">
        <v>25</v>
      </c>
      <c r="K307">
        <v>5</v>
      </c>
      <c r="O307">
        <f t="shared" si="6"/>
        <v>21.99</v>
      </c>
    </row>
    <row r="308" spans="1:15" x14ac:dyDescent="0.35">
      <c r="A308" t="s">
        <v>404</v>
      </c>
      <c r="B308">
        <v>1</v>
      </c>
      <c r="C308">
        <v>18.989999999999998</v>
      </c>
      <c r="D308">
        <v>18.989999999999998</v>
      </c>
      <c r="E308" t="s">
        <v>169</v>
      </c>
      <c r="F308" t="s">
        <v>1727</v>
      </c>
      <c r="G308" t="s">
        <v>87</v>
      </c>
      <c r="H308">
        <v>0</v>
      </c>
      <c r="I308" t="s">
        <v>17</v>
      </c>
      <c r="J308" t="s">
        <v>42</v>
      </c>
      <c r="K308">
        <v>6</v>
      </c>
      <c r="O308">
        <f t="shared" si="6"/>
        <v>21.99</v>
      </c>
    </row>
    <row r="309" spans="1:15" x14ac:dyDescent="0.35">
      <c r="A309" t="s">
        <v>405</v>
      </c>
      <c r="B309">
        <v>3</v>
      </c>
      <c r="C309">
        <v>34.99</v>
      </c>
      <c r="D309">
        <v>84.73</v>
      </c>
      <c r="E309" t="s">
        <v>264</v>
      </c>
      <c r="F309" t="s">
        <v>1728</v>
      </c>
      <c r="G309" t="s">
        <v>16</v>
      </c>
      <c r="H309">
        <v>7</v>
      </c>
      <c r="I309" t="s">
        <v>12</v>
      </c>
      <c r="J309" t="s">
        <v>36</v>
      </c>
      <c r="K309">
        <v>12.5</v>
      </c>
      <c r="O309">
        <f t="shared" si="6"/>
        <v>84.73</v>
      </c>
    </row>
    <row r="310" spans="1:15" x14ac:dyDescent="0.35">
      <c r="A310" t="s">
        <v>406</v>
      </c>
      <c r="B310">
        <v>1</v>
      </c>
      <c r="C310">
        <v>27.99</v>
      </c>
      <c r="D310">
        <v>27.99</v>
      </c>
      <c r="E310" t="s">
        <v>94</v>
      </c>
      <c r="F310" t="s">
        <v>1717</v>
      </c>
      <c r="G310" t="s">
        <v>16</v>
      </c>
      <c r="H310">
        <v>2</v>
      </c>
      <c r="I310" t="s">
        <v>41</v>
      </c>
      <c r="J310" t="s">
        <v>31</v>
      </c>
      <c r="K310">
        <v>9</v>
      </c>
      <c r="O310">
        <f t="shared" si="6"/>
        <v>21.99</v>
      </c>
    </row>
    <row r="311" spans="1:15" x14ac:dyDescent="0.35">
      <c r="A311" t="s">
        <v>407</v>
      </c>
      <c r="B311">
        <v>1</v>
      </c>
      <c r="C311">
        <v>30.99</v>
      </c>
      <c r="D311">
        <v>30.99</v>
      </c>
      <c r="E311" t="s">
        <v>38</v>
      </c>
      <c r="F311" t="s">
        <v>1718</v>
      </c>
      <c r="G311" t="s">
        <v>16</v>
      </c>
      <c r="H311">
        <v>2</v>
      </c>
      <c r="I311" t="s">
        <v>17</v>
      </c>
      <c r="J311" t="s">
        <v>18</v>
      </c>
      <c r="K311">
        <v>10.5</v>
      </c>
      <c r="O311">
        <f t="shared" si="6"/>
        <v>21.99</v>
      </c>
    </row>
    <row r="312" spans="1:15" x14ac:dyDescent="0.35">
      <c r="A312" t="s">
        <v>408</v>
      </c>
      <c r="B312">
        <v>1</v>
      </c>
      <c r="C312">
        <v>21.99</v>
      </c>
      <c r="D312">
        <v>21.99</v>
      </c>
      <c r="E312" t="s">
        <v>122</v>
      </c>
      <c r="F312" t="s">
        <v>1719</v>
      </c>
      <c r="G312" t="s">
        <v>16</v>
      </c>
      <c r="H312">
        <v>3</v>
      </c>
      <c r="I312" t="s">
        <v>12</v>
      </c>
      <c r="J312" t="s">
        <v>13</v>
      </c>
      <c r="K312">
        <v>7</v>
      </c>
      <c r="O312">
        <f t="shared" si="6"/>
        <v>21.99</v>
      </c>
    </row>
    <row r="313" spans="1:15" x14ac:dyDescent="0.35">
      <c r="A313" t="s">
        <v>409</v>
      </c>
      <c r="B313">
        <v>1</v>
      </c>
      <c r="C313">
        <v>30.99</v>
      </c>
      <c r="D313">
        <v>30.99</v>
      </c>
      <c r="E313" t="s">
        <v>106</v>
      </c>
      <c r="F313" t="s">
        <v>1720</v>
      </c>
      <c r="G313" t="s">
        <v>16</v>
      </c>
      <c r="H313">
        <v>3</v>
      </c>
      <c r="I313" t="s">
        <v>17</v>
      </c>
      <c r="J313" t="s">
        <v>18</v>
      </c>
      <c r="K313">
        <v>10.5</v>
      </c>
      <c r="O313">
        <f t="shared" si="6"/>
        <v>21.99</v>
      </c>
    </row>
    <row r="314" spans="1:15" x14ac:dyDescent="0.35">
      <c r="A314" t="s">
        <v>410</v>
      </c>
      <c r="B314">
        <v>1</v>
      </c>
      <c r="C314">
        <v>21.99</v>
      </c>
      <c r="D314">
        <v>21.99</v>
      </c>
      <c r="E314" t="s">
        <v>169</v>
      </c>
      <c r="F314" t="s">
        <v>1721</v>
      </c>
      <c r="G314" t="s">
        <v>28</v>
      </c>
      <c r="H314">
        <v>0</v>
      </c>
      <c r="I314" t="s">
        <v>12</v>
      </c>
      <c r="J314" t="s">
        <v>13</v>
      </c>
      <c r="K314">
        <v>7</v>
      </c>
      <c r="O314">
        <f t="shared" si="6"/>
        <v>21.99</v>
      </c>
    </row>
    <row r="315" spans="1:15" x14ac:dyDescent="0.35">
      <c r="A315" t="s">
        <v>411</v>
      </c>
      <c r="B315">
        <v>1</v>
      </c>
      <c r="C315">
        <v>21.99</v>
      </c>
      <c r="D315">
        <v>21.99</v>
      </c>
      <c r="E315" t="s">
        <v>89</v>
      </c>
      <c r="F315" t="s">
        <v>1722</v>
      </c>
      <c r="G315" t="s">
        <v>16</v>
      </c>
      <c r="H315">
        <v>5</v>
      </c>
      <c r="I315" t="s">
        <v>24</v>
      </c>
      <c r="J315" t="s">
        <v>13</v>
      </c>
      <c r="K315">
        <v>7</v>
      </c>
      <c r="O315">
        <f t="shared" si="6"/>
        <v>21.99</v>
      </c>
    </row>
    <row r="316" spans="1:15" x14ac:dyDescent="0.35">
      <c r="A316" t="s">
        <v>412</v>
      </c>
      <c r="B316">
        <v>1</v>
      </c>
      <c r="C316">
        <v>27.99</v>
      </c>
      <c r="D316">
        <v>27.99</v>
      </c>
      <c r="E316" t="s">
        <v>413</v>
      </c>
      <c r="F316" t="s">
        <v>1723</v>
      </c>
      <c r="G316" t="s">
        <v>21</v>
      </c>
      <c r="H316">
        <v>0</v>
      </c>
      <c r="I316" t="s">
        <v>12</v>
      </c>
      <c r="J316" t="s">
        <v>31</v>
      </c>
      <c r="K316">
        <v>9</v>
      </c>
      <c r="O316">
        <f t="shared" si="6"/>
        <v>21.99</v>
      </c>
    </row>
    <row r="317" spans="1:15" x14ac:dyDescent="0.35">
      <c r="A317" t="s">
        <v>414</v>
      </c>
      <c r="B317">
        <v>1</v>
      </c>
      <c r="C317">
        <v>18.989999999999998</v>
      </c>
      <c r="D317">
        <v>18.989999999999998</v>
      </c>
      <c r="E317" t="s">
        <v>86</v>
      </c>
      <c r="F317" t="s">
        <v>1724</v>
      </c>
      <c r="G317" t="s">
        <v>16</v>
      </c>
      <c r="H317">
        <v>15</v>
      </c>
      <c r="I317" t="s">
        <v>24</v>
      </c>
      <c r="J317" t="s">
        <v>42</v>
      </c>
      <c r="K317">
        <v>6</v>
      </c>
      <c r="O317">
        <f t="shared" si="6"/>
        <v>21.99</v>
      </c>
    </row>
    <row r="318" spans="1:15" x14ac:dyDescent="0.35">
      <c r="A318" t="s">
        <v>415</v>
      </c>
      <c r="B318">
        <v>1</v>
      </c>
      <c r="C318">
        <v>30.99</v>
      </c>
      <c r="D318">
        <v>30.99</v>
      </c>
      <c r="E318" t="s">
        <v>416</v>
      </c>
      <c r="F318" t="s">
        <v>1725</v>
      </c>
      <c r="G318" t="s">
        <v>21</v>
      </c>
      <c r="H318">
        <v>0</v>
      </c>
      <c r="I318" t="s">
        <v>24</v>
      </c>
      <c r="J318" t="s">
        <v>18</v>
      </c>
      <c r="K318">
        <v>10.5</v>
      </c>
      <c r="O318">
        <f t="shared" si="6"/>
        <v>21.99</v>
      </c>
    </row>
    <row r="319" spans="1:15" x14ac:dyDescent="0.35">
      <c r="A319" t="s">
        <v>417</v>
      </c>
      <c r="B319">
        <v>1</v>
      </c>
      <c r="C319">
        <v>16.989999999999998</v>
      </c>
      <c r="D319">
        <v>16.989999999999998</v>
      </c>
      <c r="E319" t="s">
        <v>134</v>
      </c>
      <c r="F319" t="s">
        <v>1726</v>
      </c>
      <c r="G319" t="s">
        <v>16</v>
      </c>
      <c r="H319">
        <v>17</v>
      </c>
      <c r="I319" t="s">
        <v>12</v>
      </c>
      <c r="J319" t="s">
        <v>25</v>
      </c>
      <c r="K319">
        <v>5</v>
      </c>
      <c r="O319">
        <f t="shared" si="6"/>
        <v>21.99</v>
      </c>
    </row>
    <row r="320" spans="1:15" x14ac:dyDescent="0.35">
      <c r="A320" t="s">
        <v>418</v>
      </c>
      <c r="B320">
        <v>1</v>
      </c>
      <c r="C320">
        <v>16.989999999999998</v>
      </c>
      <c r="D320">
        <v>16.989999999999998</v>
      </c>
      <c r="E320" t="s">
        <v>229</v>
      </c>
      <c r="F320" t="s">
        <v>1727</v>
      </c>
      <c r="G320" t="s">
        <v>11</v>
      </c>
      <c r="H320">
        <v>19</v>
      </c>
      <c r="I320" t="s">
        <v>12</v>
      </c>
      <c r="J320" t="s">
        <v>25</v>
      </c>
      <c r="K320">
        <v>5</v>
      </c>
      <c r="O320">
        <f t="shared" si="6"/>
        <v>21.99</v>
      </c>
    </row>
    <row r="321" spans="1:15" x14ac:dyDescent="0.35">
      <c r="A321" t="s">
        <v>419</v>
      </c>
      <c r="B321">
        <v>1</v>
      </c>
      <c r="C321">
        <v>18.989999999999998</v>
      </c>
      <c r="D321">
        <v>18.989999999999998</v>
      </c>
      <c r="E321" t="s">
        <v>199</v>
      </c>
      <c r="F321" t="s">
        <v>1728</v>
      </c>
      <c r="G321" t="s">
        <v>16</v>
      </c>
      <c r="H321">
        <v>13</v>
      </c>
      <c r="I321" t="s">
        <v>24</v>
      </c>
      <c r="J321" t="s">
        <v>42</v>
      </c>
      <c r="K321">
        <v>6</v>
      </c>
      <c r="O321">
        <f t="shared" si="6"/>
        <v>21.99</v>
      </c>
    </row>
    <row r="322" spans="1:15" x14ac:dyDescent="0.35">
      <c r="A322" t="s">
        <v>420</v>
      </c>
      <c r="B322">
        <v>1</v>
      </c>
      <c r="C322">
        <v>18.989999999999998</v>
      </c>
      <c r="D322">
        <v>18.989999999999998</v>
      </c>
      <c r="E322" t="s">
        <v>169</v>
      </c>
      <c r="F322" t="s">
        <v>1717</v>
      </c>
      <c r="G322" t="s">
        <v>16</v>
      </c>
      <c r="H322">
        <v>10</v>
      </c>
      <c r="I322" t="s">
        <v>17</v>
      </c>
      <c r="J322" t="s">
        <v>42</v>
      </c>
      <c r="K322">
        <v>6</v>
      </c>
      <c r="O322">
        <f t="shared" ref="O322:O385" si="7">VLOOKUP(B:B,B:H,3,FALSE)</f>
        <v>21.99</v>
      </c>
    </row>
    <row r="323" spans="1:15" x14ac:dyDescent="0.35">
      <c r="A323" t="s">
        <v>421</v>
      </c>
      <c r="B323">
        <v>1</v>
      </c>
      <c r="C323">
        <v>18.989999999999998</v>
      </c>
      <c r="D323">
        <v>18.989999999999998</v>
      </c>
      <c r="E323" t="s">
        <v>229</v>
      </c>
      <c r="F323" t="s">
        <v>1718</v>
      </c>
      <c r="G323" t="s">
        <v>16</v>
      </c>
      <c r="H323">
        <v>15</v>
      </c>
      <c r="I323" t="s">
        <v>41</v>
      </c>
      <c r="J323" t="s">
        <v>42</v>
      </c>
      <c r="K323">
        <v>6</v>
      </c>
      <c r="O323">
        <f t="shared" si="7"/>
        <v>21.99</v>
      </c>
    </row>
    <row r="324" spans="1:15" x14ac:dyDescent="0.35">
      <c r="A324" t="s">
        <v>422</v>
      </c>
      <c r="B324">
        <v>1</v>
      </c>
      <c r="C324">
        <v>18.989999999999998</v>
      </c>
      <c r="D324">
        <v>18.989999999999998</v>
      </c>
      <c r="E324" t="s">
        <v>35</v>
      </c>
      <c r="F324" t="s">
        <v>1719</v>
      </c>
      <c r="G324" t="s">
        <v>16</v>
      </c>
      <c r="H324">
        <v>10</v>
      </c>
      <c r="I324" t="s">
        <v>12</v>
      </c>
      <c r="J324" t="s">
        <v>42</v>
      </c>
      <c r="K324">
        <v>6</v>
      </c>
      <c r="O324">
        <f t="shared" si="7"/>
        <v>21.99</v>
      </c>
    </row>
    <row r="325" spans="1:15" x14ac:dyDescent="0.35">
      <c r="A325" t="s">
        <v>423</v>
      </c>
      <c r="B325">
        <v>1</v>
      </c>
      <c r="C325">
        <v>16.989999999999998</v>
      </c>
      <c r="D325">
        <v>16.989999999999998</v>
      </c>
      <c r="E325" t="s">
        <v>27</v>
      </c>
      <c r="F325" t="s">
        <v>1720</v>
      </c>
      <c r="G325" t="s">
        <v>16</v>
      </c>
      <c r="H325">
        <v>17</v>
      </c>
      <c r="I325" t="s">
        <v>41</v>
      </c>
      <c r="J325" t="s">
        <v>25</v>
      </c>
      <c r="K325">
        <v>5</v>
      </c>
      <c r="O325">
        <f t="shared" si="7"/>
        <v>21.99</v>
      </c>
    </row>
    <row r="326" spans="1:15" x14ac:dyDescent="0.35">
      <c r="A326" t="s">
        <v>424</v>
      </c>
      <c r="B326">
        <v>1</v>
      </c>
      <c r="C326">
        <v>16.989999999999998</v>
      </c>
      <c r="D326">
        <v>16.989999999999998</v>
      </c>
      <c r="E326" t="s">
        <v>82</v>
      </c>
      <c r="F326" t="s">
        <v>1721</v>
      </c>
      <c r="G326" t="s">
        <v>11</v>
      </c>
      <c r="H326">
        <v>18</v>
      </c>
      <c r="I326" t="s">
        <v>17</v>
      </c>
      <c r="J326" t="s">
        <v>25</v>
      </c>
      <c r="K326">
        <v>5</v>
      </c>
      <c r="O326">
        <f t="shared" si="7"/>
        <v>21.99</v>
      </c>
    </row>
    <row r="327" spans="1:15" x14ac:dyDescent="0.35">
      <c r="A327" t="s">
        <v>425</v>
      </c>
      <c r="B327">
        <v>1</v>
      </c>
      <c r="C327">
        <v>34.99</v>
      </c>
      <c r="D327">
        <v>34.99</v>
      </c>
      <c r="E327" t="s">
        <v>72</v>
      </c>
      <c r="F327" t="s">
        <v>1722</v>
      </c>
      <c r="G327" t="s">
        <v>11</v>
      </c>
      <c r="H327">
        <v>6</v>
      </c>
      <c r="I327" t="s">
        <v>41</v>
      </c>
      <c r="J327" t="s">
        <v>36</v>
      </c>
      <c r="K327">
        <v>12.5</v>
      </c>
      <c r="O327">
        <f t="shared" si="7"/>
        <v>21.99</v>
      </c>
    </row>
    <row r="328" spans="1:15" x14ac:dyDescent="0.35">
      <c r="A328" t="s">
        <v>426</v>
      </c>
      <c r="B328">
        <v>2</v>
      </c>
      <c r="C328">
        <v>21.99</v>
      </c>
      <c r="D328">
        <v>38.130000000000003</v>
      </c>
      <c r="E328" t="s">
        <v>427</v>
      </c>
      <c r="F328" t="s">
        <v>1723</v>
      </c>
      <c r="G328" t="s">
        <v>16</v>
      </c>
      <c r="H328">
        <v>2</v>
      </c>
      <c r="I328" t="s">
        <v>12</v>
      </c>
      <c r="J328" t="s">
        <v>13</v>
      </c>
      <c r="K328">
        <v>7</v>
      </c>
      <c r="O328">
        <f t="shared" si="7"/>
        <v>37.979999999999997</v>
      </c>
    </row>
    <row r="329" spans="1:15" x14ac:dyDescent="0.35">
      <c r="A329" t="s">
        <v>428</v>
      </c>
      <c r="B329">
        <v>3</v>
      </c>
      <c r="C329">
        <v>16.989999999999998</v>
      </c>
      <c r="D329">
        <v>40.049999999999997</v>
      </c>
      <c r="E329" t="s">
        <v>429</v>
      </c>
      <c r="F329" t="s">
        <v>1724</v>
      </c>
      <c r="G329" t="s">
        <v>16</v>
      </c>
      <c r="H329">
        <v>16</v>
      </c>
      <c r="I329" t="s">
        <v>17</v>
      </c>
      <c r="J329" t="s">
        <v>25</v>
      </c>
      <c r="K329">
        <v>5</v>
      </c>
      <c r="O329">
        <f t="shared" si="7"/>
        <v>84.73</v>
      </c>
    </row>
    <row r="330" spans="1:15" x14ac:dyDescent="0.35">
      <c r="A330" t="s">
        <v>430</v>
      </c>
      <c r="B330">
        <v>1</v>
      </c>
      <c r="C330">
        <v>21.99</v>
      </c>
      <c r="D330">
        <v>21.99</v>
      </c>
      <c r="E330" t="s">
        <v>431</v>
      </c>
      <c r="F330" t="s">
        <v>1725</v>
      </c>
      <c r="G330" t="s">
        <v>16</v>
      </c>
      <c r="H330">
        <v>3</v>
      </c>
      <c r="I330" t="s">
        <v>41</v>
      </c>
      <c r="J330" t="s">
        <v>13</v>
      </c>
      <c r="K330">
        <v>7</v>
      </c>
      <c r="O330">
        <f t="shared" si="7"/>
        <v>21.99</v>
      </c>
    </row>
    <row r="331" spans="1:15" x14ac:dyDescent="0.35">
      <c r="A331" t="s">
        <v>432</v>
      </c>
      <c r="B331">
        <v>2</v>
      </c>
      <c r="C331">
        <v>27.99</v>
      </c>
      <c r="D331">
        <v>48.81</v>
      </c>
      <c r="E331" t="s">
        <v>433</v>
      </c>
      <c r="F331" t="s">
        <v>1726</v>
      </c>
      <c r="G331" t="s">
        <v>16</v>
      </c>
      <c r="H331">
        <v>2</v>
      </c>
      <c r="I331" t="s">
        <v>12</v>
      </c>
      <c r="J331" t="s">
        <v>31</v>
      </c>
      <c r="K331">
        <v>9</v>
      </c>
      <c r="O331">
        <f t="shared" si="7"/>
        <v>37.979999999999997</v>
      </c>
    </row>
    <row r="332" spans="1:15" x14ac:dyDescent="0.35">
      <c r="A332" t="s">
        <v>434</v>
      </c>
      <c r="B332">
        <v>1</v>
      </c>
      <c r="C332">
        <v>30.99</v>
      </c>
      <c r="D332">
        <v>30.99</v>
      </c>
      <c r="E332" t="s">
        <v>435</v>
      </c>
      <c r="F332" t="s">
        <v>1727</v>
      </c>
      <c r="G332" t="s">
        <v>11</v>
      </c>
      <c r="H332">
        <v>2</v>
      </c>
      <c r="I332" t="s">
        <v>24</v>
      </c>
      <c r="J332" t="s">
        <v>18</v>
      </c>
      <c r="K332">
        <v>10.5</v>
      </c>
      <c r="O332">
        <f t="shared" si="7"/>
        <v>21.99</v>
      </c>
    </row>
    <row r="333" spans="1:15" x14ac:dyDescent="0.35">
      <c r="A333" t="s">
        <v>436</v>
      </c>
      <c r="B333">
        <v>1</v>
      </c>
      <c r="C333">
        <v>18.989999999999998</v>
      </c>
      <c r="D333">
        <v>18.989999999999998</v>
      </c>
      <c r="E333" t="s">
        <v>118</v>
      </c>
      <c r="F333" t="s">
        <v>1728</v>
      </c>
      <c r="G333" t="s">
        <v>87</v>
      </c>
      <c r="H333">
        <v>0</v>
      </c>
      <c r="I333" t="s">
        <v>24</v>
      </c>
      <c r="J333" t="s">
        <v>42</v>
      </c>
      <c r="K333">
        <v>6</v>
      </c>
      <c r="O333">
        <f t="shared" si="7"/>
        <v>21.99</v>
      </c>
    </row>
    <row r="334" spans="1:15" x14ac:dyDescent="0.35">
      <c r="A334" t="s">
        <v>437</v>
      </c>
      <c r="B334">
        <v>3</v>
      </c>
      <c r="C334">
        <v>27.99</v>
      </c>
      <c r="D334">
        <v>66.599999999999994</v>
      </c>
      <c r="E334" s="6">
        <v>46232</v>
      </c>
      <c r="F334" t="s">
        <v>1717</v>
      </c>
      <c r="G334" t="s">
        <v>21</v>
      </c>
      <c r="H334">
        <v>0</v>
      </c>
      <c r="I334" t="s">
        <v>41</v>
      </c>
      <c r="J334" t="s">
        <v>31</v>
      </c>
      <c r="K334">
        <v>9</v>
      </c>
      <c r="O334">
        <f t="shared" si="7"/>
        <v>84.73</v>
      </c>
    </row>
    <row r="335" spans="1:15" x14ac:dyDescent="0.35">
      <c r="A335" t="s">
        <v>438</v>
      </c>
      <c r="B335">
        <v>3</v>
      </c>
      <c r="C335">
        <v>16.989999999999998</v>
      </c>
      <c r="D335">
        <v>40.950000000000003</v>
      </c>
      <c r="E335" t="s">
        <v>439</v>
      </c>
      <c r="F335" t="s">
        <v>1718</v>
      </c>
      <c r="G335" t="s">
        <v>16</v>
      </c>
      <c r="H335">
        <v>15</v>
      </c>
      <c r="I335" t="s">
        <v>24</v>
      </c>
      <c r="J335" t="s">
        <v>25</v>
      </c>
      <c r="K335">
        <v>5</v>
      </c>
      <c r="O335">
        <f t="shared" si="7"/>
        <v>84.73</v>
      </c>
    </row>
    <row r="336" spans="1:15" x14ac:dyDescent="0.35">
      <c r="A336" t="s">
        <v>440</v>
      </c>
      <c r="B336">
        <v>1</v>
      </c>
      <c r="C336">
        <v>34.99</v>
      </c>
      <c r="D336">
        <v>34.99</v>
      </c>
      <c r="E336" t="s">
        <v>171</v>
      </c>
      <c r="F336" t="s">
        <v>1719</v>
      </c>
      <c r="G336" t="s">
        <v>28</v>
      </c>
      <c r="H336">
        <v>0</v>
      </c>
      <c r="I336" t="s">
        <v>41</v>
      </c>
      <c r="J336" t="s">
        <v>36</v>
      </c>
      <c r="K336">
        <v>12.5</v>
      </c>
      <c r="O336">
        <f t="shared" si="7"/>
        <v>21.99</v>
      </c>
    </row>
    <row r="337" spans="1:15" x14ac:dyDescent="0.35">
      <c r="A337" t="s">
        <v>441</v>
      </c>
      <c r="B337">
        <v>3</v>
      </c>
      <c r="C337">
        <v>30.99</v>
      </c>
      <c r="D337">
        <v>74.900000000000006</v>
      </c>
      <c r="E337" t="s">
        <v>118</v>
      </c>
      <c r="F337" t="s">
        <v>1720</v>
      </c>
      <c r="G337" t="s">
        <v>16</v>
      </c>
      <c r="H337">
        <v>3</v>
      </c>
      <c r="I337" t="s">
        <v>41</v>
      </c>
      <c r="J337" t="s">
        <v>18</v>
      </c>
      <c r="K337">
        <v>10.5</v>
      </c>
      <c r="O337">
        <f t="shared" si="7"/>
        <v>84.73</v>
      </c>
    </row>
    <row r="338" spans="1:15" x14ac:dyDescent="0.35">
      <c r="A338" t="s">
        <v>442</v>
      </c>
      <c r="B338">
        <v>1</v>
      </c>
      <c r="C338">
        <v>18.989999999999998</v>
      </c>
      <c r="D338">
        <v>18.989999999999998</v>
      </c>
      <c r="E338" t="s">
        <v>443</v>
      </c>
      <c r="F338" t="s">
        <v>1721</v>
      </c>
      <c r="G338" t="s">
        <v>16</v>
      </c>
      <c r="H338">
        <v>11</v>
      </c>
      <c r="I338" t="s">
        <v>12</v>
      </c>
      <c r="J338" t="s">
        <v>42</v>
      </c>
      <c r="K338">
        <v>6</v>
      </c>
      <c r="O338">
        <f t="shared" si="7"/>
        <v>21.99</v>
      </c>
    </row>
    <row r="339" spans="1:15" x14ac:dyDescent="0.35">
      <c r="A339" t="s">
        <v>444</v>
      </c>
      <c r="B339">
        <v>3</v>
      </c>
      <c r="C339">
        <v>30.99</v>
      </c>
      <c r="D339">
        <v>73.91</v>
      </c>
      <c r="E339" t="s">
        <v>445</v>
      </c>
      <c r="F339" t="s">
        <v>1722</v>
      </c>
      <c r="G339" t="s">
        <v>16</v>
      </c>
      <c r="H339">
        <v>8</v>
      </c>
      <c r="I339" t="s">
        <v>17</v>
      </c>
      <c r="J339" t="s">
        <v>18</v>
      </c>
      <c r="K339">
        <v>10.5</v>
      </c>
      <c r="O339">
        <f t="shared" si="7"/>
        <v>84.73</v>
      </c>
    </row>
    <row r="340" spans="1:15" x14ac:dyDescent="0.35">
      <c r="A340" t="s">
        <v>446</v>
      </c>
      <c r="B340">
        <v>1</v>
      </c>
      <c r="C340">
        <v>21.99</v>
      </c>
      <c r="D340">
        <v>21.99</v>
      </c>
      <c r="E340" t="s">
        <v>447</v>
      </c>
      <c r="F340" t="s">
        <v>1723</v>
      </c>
      <c r="G340" t="s">
        <v>21</v>
      </c>
      <c r="H340">
        <v>0</v>
      </c>
      <c r="I340" t="s">
        <v>24</v>
      </c>
      <c r="J340" t="s">
        <v>13</v>
      </c>
      <c r="K340">
        <v>7</v>
      </c>
      <c r="O340">
        <f t="shared" si="7"/>
        <v>21.99</v>
      </c>
    </row>
    <row r="341" spans="1:15" x14ac:dyDescent="0.35">
      <c r="A341" t="s">
        <v>448</v>
      </c>
      <c r="B341">
        <v>2</v>
      </c>
      <c r="C341">
        <v>21.99</v>
      </c>
      <c r="D341">
        <v>37.68</v>
      </c>
      <c r="E341" t="s">
        <v>449</v>
      </c>
      <c r="F341" t="s">
        <v>1724</v>
      </c>
      <c r="G341" t="s">
        <v>16</v>
      </c>
      <c r="H341">
        <v>3</v>
      </c>
      <c r="I341" t="s">
        <v>41</v>
      </c>
      <c r="J341" t="s">
        <v>13</v>
      </c>
      <c r="K341">
        <v>7</v>
      </c>
      <c r="O341">
        <f t="shared" si="7"/>
        <v>37.979999999999997</v>
      </c>
    </row>
    <row r="342" spans="1:15" x14ac:dyDescent="0.35">
      <c r="A342" t="s">
        <v>450</v>
      </c>
      <c r="B342">
        <v>1</v>
      </c>
      <c r="C342">
        <v>16.989999999999998</v>
      </c>
      <c r="D342">
        <v>16.989999999999998</v>
      </c>
      <c r="E342" t="s">
        <v>320</v>
      </c>
      <c r="F342" t="s">
        <v>1725</v>
      </c>
      <c r="G342" t="s">
        <v>87</v>
      </c>
      <c r="H342">
        <v>0</v>
      </c>
      <c r="I342" t="s">
        <v>24</v>
      </c>
      <c r="J342" t="s">
        <v>25</v>
      </c>
      <c r="K342">
        <v>5</v>
      </c>
      <c r="O342">
        <f t="shared" si="7"/>
        <v>21.99</v>
      </c>
    </row>
    <row r="343" spans="1:15" x14ac:dyDescent="0.35">
      <c r="A343" t="s">
        <v>451</v>
      </c>
      <c r="B343">
        <v>1</v>
      </c>
      <c r="C343">
        <v>21.99</v>
      </c>
      <c r="D343">
        <v>21.99</v>
      </c>
      <c r="E343" t="s">
        <v>96</v>
      </c>
      <c r="F343" t="s">
        <v>1726</v>
      </c>
      <c r="G343" t="s">
        <v>21</v>
      </c>
      <c r="H343">
        <v>0</v>
      </c>
      <c r="I343" t="s">
        <v>41</v>
      </c>
      <c r="J343" t="s">
        <v>13</v>
      </c>
      <c r="K343">
        <v>7</v>
      </c>
      <c r="O343">
        <f t="shared" si="7"/>
        <v>21.99</v>
      </c>
    </row>
    <row r="344" spans="1:15" x14ac:dyDescent="0.35">
      <c r="A344" t="s">
        <v>452</v>
      </c>
      <c r="B344">
        <v>2</v>
      </c>
      <c r="C344">
        <v>30.99</v>
      </c>
      <c r="D344">
        <v>53.13</v>
      </c>
      <c r="E344" t="s">
        <v>453</v>
      </c>
      <c r="F344" t="s">
        <v>1727</v>
      </c>
      <c r="G344" t="s">
        <v>21</v>
      </c>
      <c r="H344">
        <v>0</v>
      </c>
      <c r="I344" t="s">
        <v>24</v>
      </c>
      <c r="J344" t="s">
        <v>18</v>
      </c>
      <c r="K344">
        <v>10.5</v>
      </c>
      <c r="O344">
        <f t="shared" si="7"/>
        <v>37.979999999999997</v>
      </c>
    </row>
    <row r="345" spans="1:15" x14ac:dyDescent="0.35">
      <c r="A345" t="s">
        <v>454</v>
      </c>
      <c r="B345">
        <v>1</v>
      </c>
      <c r="C345">
        <v>16.989999999999998</v>
      </c>
      <c r="D345">
        <v>16.989999999999998</v>
      </c>
      <c r="E345" t="s">
        <v>455</v>
      </c>
      <c r="F345" t="s">
        <v>1728</v>
      </c>
      <c r="G345" t="s">
        <v>21</v>
      </c>
      <c r="H345">
        <v>0</v>
      </c>
      <c r="I345" t="s">
        <v>17</v>
      </c>
      <c r="J345" t="s">
        <v>25</v>
      </c>
      <c r="K345">
        <v>5</v>
      </c>
      <c r="O345">
        <f t="shared" si="7"/>
        <v>21.99</v>
      </c>
    </row>
    <row r="346" spans="1:15" x14ac:dyDescent="0.35">
      <c r="A346" t="s">
        <v>456</v>
      </c>
      <c r="B346">
        <v>1</v>
      </c>
      <c r="C346">
        <v>34.99</v>
      </c>
      <c r="D346">
        <v>34.99</v>
      </c>
      <c r="E346" t="s">
        <v>457</v>
      </c>
      <c r="F346" t="s">
        <v>1717</v>
      </c>
      <c r="G346" t="s">
        <v>16</v>
      </c>
      <c r="H346">
        <v>6</v>
      </c>
      <c r="I346" t="s">
        <v>24</v>
      </c>
      <c r="J346" t="s">
        <v>36</v>
      </c>
      <c r="K346">
        <v>12.5</v>
      </c>
      <c r="O346">
        <f t="shared" si="7"/>
        <v>21.99</v>
      </c>
    </row>
    <row r="347" spans="1:15" x14ac:dyDescent="0.35">
      <c r="A347" t="s">
        <v>458</v>
      </c>
      <c r="B347">
        <v>3</v>
      </c>
      <c r="C347">
        <v>27.99</v>
      </c>
      <c r="D347">
        <v>67.510000000000005</v>
      </c>
      <c r="E347" t="s">
        <v>459</v>
      </c>
      <c r="F347" t="s">
        <v>1718</v>
      </c>
      <c r="G347" t="s">
        <v>11</v>
      </c>
      <c r="H347">
        <v>2</v>
      </c>
      <c r="I347" t="s">
        <v>12</v>
      </c>
      <c r="J347" t="s">
        <v>31</v>
      </c>
      <c r="K347">
        <v>9</v>
      </c>
      <c r="O347">
        <f t="shared" si="7"/>
        <v>84.73</v>
      </c>
    </row>
    <row r="348" spans="1:15" x14ac:dyDescent="0.35">
      <c r="A348" t="s">
        <v>460</v>
      </c>
      <c r="B348">
        <v>1</v>
      </c>
      <c r="C348">
        <v>30.99</v>
      </c>
      <c r="D348">
        <v>30.99</v>
      </c>
      <c r="E348" t="s">
        <v>461</v>
      </c>
      <c r="F348" t="s">
        <v>1719</v>
      </c>
      <c r="G348" t="s">
        <v>11</v>
      </c>
      <c r="H348">
        <v>2</v>
      </c>
      <c r="I348" t="s">
        <v>12</v>
      </c>
      <c r="J348" t="s">
        <v>18</v>
      </c>
      <c r="K348">
        <v>10.5</v>
      </c>
      <c r="O348">
        <f t="shared" si="7"/>
        <v>21.99</v>
      </c>
    </row>
    <row r="349" spans="1:15" x14ac:dyDescent="0.35">
      <c r="A349" t="s">
        <v>462</v>
      </c>
      <c r="B349">
        <v>1</v>
      </c>
      <c r="C349">
        <v>34.99</v>
      </c>
      <c r="D349">
        <v>34.99</v>
      </c>
      <c r="E349" t="s">
        <v>320</v>
      </c>
      <c r="F349" t="s">
        <v>1720</v>
      </c>
      <c r="G349" t="s">
        <v>16</v>
      </c>
      <c r="H349">
        <v>7</v>
      </c>
      <c r="I349" t="s">
        <v>12</v>
      </c>
      <c r="J349" t="s">
        <v>36</v>
      </c>
      <c r="K349">
        <v>12.5</v>
      </c>
      <c r="O349">
        <f t="shared" si="7"/>
        <v>21.99</v>
      </c>
    </row>
    <row r="350" spans="1:15" x14ac:dyDescent="0.35">
      <c r="A350" t="s">
        <v>463</v>
      </c>
      <c r="B350">
        <v>1</v>
      </c>
      <c r="C350">
        <v>21.99</v>
      </c>
      <c r="D350">
        <v>21.99</v>
      </c>
      <c r="E350" t="s">
        <v>96</v>
      </c>
      <c r="F350" t="s">
        <v>1721</v>
      </c>
      <c r="G350" t="s">
        <v>16</v>
      </c>
      <c r="H350">
        <v>2</v>
      </c>
      <c r="I350" t="s">
        <v>24</v>
      </c>
      <c r="J350" t="s">
        <v>13</v>
      </c>
      <c r="K350">
        <v>7</v>
      </c>
      <c r="O350">
        <f t="shared" si="7"/>
        <v>21.99</v>
      </c>
    </row>
    <row r="351" spans="1:15" x14ac:dyDescent="0.35">
      <c r="A351" t="s">
        <v>464</v>
      </c>
      <c r="B351">
        <v>2</v>
      </c>
      <c r="C351">
        <v>34.99</v>
      </c>
      <c r="D351">
        <v>60.26</v>
      </c>
      <c r="E351" t="s">
        <v>465</v>
      </c>
      <c r="F351" t="s">
        <v>1722</v>
      </c>
      <c r="G351" t="s">
        <v>11</v>
      </c>
      <c r="H351">
        <v>6</v>
      </c>
      <c r="I351" t="s">
        <v>24</v>
      </c>
      <c r="J351" t="s">
        <v>36</v>
      </c>
      <c r="K351">
        <v>12.5</v>
      </c>
      <c r="O351">
        <f t="shared" si="7"/>
        <v>37.979999999999997</v>
      </c>
    </row>
    <row r="352" spans="1:15" x14ac:dyDescent="0.35">
      <c r="A352" t="s">
        <v>466</v>
      </c>
      <c r="B352">
        <v>3</v>
      </c>
      <c r="C352">
        <v>30.99</v>
      </c>
      <c r="D352">
        <v>73.73</v>
      </c>
      <c r="E352" t="s">
        <v>467</v>
      </c>
      <c r="F352" t="s">
        <v>1723</v>
      </c>
      <c r="G352" t="s">
        <v>16</v>
      </c>
      <c r="H352">
        <v>3</v>
      </c>
      <c r="I352" t="s">
        <v>17</v>
      </c>
      <c r="J352" t="s">
        <v>18</v>
      </c>
      <c r="K352">
        <v>10.5</v>
      </c>
      <c r="O352">
        <f t="shared" si="7"/>
        <v>84.73</v>
      </c>
    </row>
    <row r="353" spans="1:15" x14ac:dyDescent="0.35">
      <c r="A353" t="s">
        <v>468</v>
      </c>
      <c r="B353">
        <v>2</v>
      </c>
      <c r="C353">
        <v>30.99</v>
      </c>
      <c r="D353">
        <v>53.11</v>
      </c>
      <c r="E353" t="s">
        <v>433</v>
      </c>
      <c r="F353" t="s">
        <v>1724</v>
      </c>
      <c r="G353" t="s">
        <v>21</v>
      </c>
      <c r="H353">
        <v>0</v>
      </c>
      <c r="I353" t="s">
        <v>24</v>
      </c>
      <c r="J353" t="s">
        <v>18</v>
      </c>
      <c r="K353">
        <v>10.5</v>
      </c>
      <c r="O353">
        <f t="shared" si="7"/>
        <v>37.979999999999997</v>
      </c>
    </row>
    <row r="354" spans="1:15" x14ac:dyDescent="0.35">
      <c r="A354" t="s">
        <v>469</v>
      </c>
      <c r="B354">
        <v>3</v>
      </c>
      <c r="C354">
        <v>34.99</v>
      </c>
      <c r="D354">
        <v>84</v>
      </c>
      <c r="E354" t="s">
        <v>470</v>
      </c>
      <c r="F354" t="s">
        <v>1725</v>
      </c>
      <c r="G354" t="s">
        <v>16</v>
      </c>
      <c r="H354">
        <v>6</v>
      </c>
      <c r="I354" t="s">
        <v>12</v>
      </c>
      <c r="J354" t="s">
        <v>36</v>
      </c>
      <c r="K354">
        <v>12.5</v>
      </c>
      <c r="O354">
        <f t="shared" si="7"/>
        <v>84.73</v>
      </c>
    </row>
    <row r="355" spans="1:15" x14ac:dyDescent="0.35">
      <c r="A355" t="s">
        <v>471</v>
      </c>
      <c r="B355">
        <v>1</v>
      </c>
      <c r="C355">
        <v>27.99</v>
      </c>
      <c r="D355">
        <v>27.99</v>
      </c>
      <c r="E355" t="s">
        <v>472</v>
      </c>
      <c r="F355" t="s">
        <v>1726</v>
      </c>
      <c r="G355" t="s">
        <v>16</v>
      </c>
      <c r="H355">
        <v>3</v>
      </c>
      <c r="I355" t="s">
        <v>12</v>
      </c>
      <c r="J355" t="s">
        <v>31</v>
      </c>
      <c r="K355">
        <v>9</v>
      </c>
      <c r="O355">
        <f t="shared" si="7"/>
        <v>21.99</v>
      </c>
    </row>
    <row r="356" spans="1:15" x14ac:dyDescent="0.35">
      <c r="A356" t="s">
        <v>473</v>
      </c>
      <c r="B356">
        <v>1</v>
      </c>
      <c r="C356">
        <v>18.989999999999998</v>
      </c>
      <c r="D356">
        <v>18.989999999999998</v>
      </c>
      <c r="E356" t="s">
        <v>474</v>
      </c>
      <c r="F356" t="s">
        <v>1727</v>
      </c>
      <c r="G356" t="s">
        <v>16</v>
      </c>
      <c r="H356">
        <v>11</v>
      </c>
      <c r="I356" t="s">
        <v>24</v>
      </c>
      <c r="J356" t="s">
        <v>42</v>
      </c>
      <c r="K356">
        <v>6</v>
      </c>
      <c r="O356">
        <f t="shared" si="7"/>
        <v>21.99</v>
      </c>
    </row>
    <row r="357" spans="1:15" x14ac:dyDescent="0.35">
      <c r="A357" t="s">
        <v>475</v>
      </c>
      <c r="B357">
        <v>1</v>
      </c>
      <c r="C357">
        <v>18.989999999999998</v>
      </c>
      <c r="D357">
        <v>18.989999999999998</v>
      </c>
      <c r="E357" t="s">
        <v>23</v>
      </c>
      <c r="F357" t="s">
        <v>1728</v>
      </c>
      <c r="G357" t="s">
        <v>16</v>
      </c>
      <c r="H357">
        <v>12</v>
      </c>
      <c r="I357" t="s">
        <v>12</v>
      </c>
      <c r="J357" t="s">
        <v>42</v>
      </c>
      <c r="K357">
        <v>6</v>
      </c>
      <c r="O357">
        <f t="shared" si="7"/>
        <v>21.99</v>
      </c>
    </row>
    <row r="358" spans="1:15" x14ac:dyDescent="0.35">
      <c r="A358" t="s">
        <v>476</v>
      </c>
      <c r="B358">
        <v>1</v>
      </c>
      <c r="C358">
        <v>16.989999999999998</v>
      </c>
      <c r="D358">
        <v>16.989999999999998</v>
      </c>
      <c r="E358" t="s">
        <v>477</v>
      </c>
      <c r="F358" t="s">
        <v>1717</v>
      </c>
      <c r="G358" t="s">
        <v>87</v>
      </c>
      <c r="H358">
        <v>0</v>
      </c>
      <c r="I358" t="s">
        <v>24</v>
      </c>
      <c r="J358" t="s">
        <v>25</v>
      </c>
      <c r="K358">
        <v>5</v>
      </c>
      <c r="O358">
        <f t="shared" si="7"/>
        <v>21.99</v>
      </c>
    </row>
    <row r="359" spans="1:15" x14ac:dyDescent="0.35">
      <c r="A359" t="s">
        <v>478</v>
      </c>
      <c r="B359">
        <v>1</v>
      </c>
      <c r="C359">
        <v>34.99</v>
      </c>
      <c r="D359">
        <v>34.99</v>
      </c>
      <c r="E359" t="s">
        <v>479</v>
      </c>
      <c r="F359" t="s">
        <v>1718</v>
      </c>
      <c r="G359" t="s">
        <v>87</v>
      </c>
      <c r="H359">
        <v>0</v>
      </c>
      <c r="I359" t="s">
        <v>41</v>
      </c>
      <c r="J359" t="s">
        <v>36</v>
      </c>
      <c r="K359">
        <v>12.5</v>
      </c>
      <c r="O359">
        <f t="shared" si="7"/>
        <v>21.99</v>
      </c>
    </row>
    <row r="360" spans="1:15" x14ac:dyDescent="0.35">
      <c r="A360" t="s">
        <v>480</v>
      </c>
      <c r="B360">
        <v>1</v>
      </c>
      <c r="C360">
        <v>21.99</v>
      </c>
      <c r="D360">
        <v>21.99</v>
      </c>
      <c r="E360" t="s">
        <v>481</v>
      </c>
      <c r="F360" t="s">
        <v>1719</v>
      </c>
      <c r="G360" t="s">
        <v>21</v>
      </c>
      <c r="H360">
        <v>0</v>
      </c>
      <c r="I360" t="s">
        <v>24</v>
      </c>
      <c r="J360" t="s">
        <v>13</v>
      </c>
      <c r="K360">
        <v>7</v>
      </c>
      <c r="O360">
        <f t="shared" si="7"/>
        <v>21.99</v>
      </c>
    </row>
    <row r="361" spans="1:15" x14ac:dyDescent="0.35">
      <c r="A361" t="s">
        <v>482</v>
      </c>
      <c r="B361">
        <v>1</v>
      </c>
      <c r="C361">
        <v>18.989999999999998</v>
      </c>
      <c r="D361">
        <v>18.989999999999998</v>
      </c>
      <c r="E361" t="s">
        <v>483</v>
      </c>
      <c r="F361" t="s">
        <v>1720</v>
      </c>
      <c r="G361" t="s">
        <v>16</v>
      </c>
      <c r="H361">
        <v>14</v>
      </c>
      <c r="I361" t="s">
        <v>12</v>
      </c>
      <c r="J361" t="s">
        <v>42</v>
      </c>
      <c r="K361">
        <v>6</v>
      </c>
      <c r="O361">
        <f t="shared" si="7"/>
        <v>21.99</v>
      </c>
    </row>
    <row r="362" spans="1:15" x14ac:dyDescent="0.35">
      <c r="A362" t="s">
        <v>484</v>
      </c>
      <c r="B362">
        <v>1</v>
      </c>
      <c r="C362">
        <v>34.99</v>
      </c>
      <c r="D362">
        <v>34.99</v>
      </c>
      <c r="E362" t="s">
        <v>485</v>
      </c>
      <c r="F362" t="s">
        <v>1721</v>
      </c>
      <c r="G362" t="s">
        <v>16</v>
      </c>
      <c r="H362">
        <v>7</v>
      </c>
      <c r="I362" t="s">
        <v>12</v>
      </c>
      <c r="J362" t="s">
        <v>36</v>
      </c>
      <c r="K362">
        <v>12.5</v>
      </c>
      <c r="O362">
        <f t="shared" si="7"/>
        <v>21.99</v>
      </c>
    </row>
    <row r="363" spans="1:15" x14ac:dyDescent="0.35">
      <c r="A363" t="s">
        <v>486</v>
      </c>
      <c r="B363">
        <v>1</v>
      </c>
      <c r="C363">
        <v>18.989999999999998</v>
      </c>
      <c r="D363">
        <v>18.989999999999998</v>
      </c>
      <c r="E363" s="6">
        <v>46290</v>
      </c>
      <c r="F363" t="s">
        <v>1722</v>
      </c>
      <c r="G363" t="s">
        <v>87</v>
      </c>
      <c r="H363">
        <v>0</v>
      </c>
      <c r="I363" t="s">
        <v>12</v>
      </c>
      <c r="J363" t="s">
        <v>42</v>
      </c>
      <c r="K363">
        <v>6</v>
      </c>
      <c r="O363">
        <f t="shared" si="7"/>
        <v>21.99</v>
      </c>
    </row>
    <row r="364" spans="1:15" x14ac:dyDescent="0.35">
      <c r="A364" t="s">
        <v>487</v>
      </c>
      <c r="B364">
        <v>3</v>
      </c>
      <c r="C364">
        <v>30.99</v>
      </c>
      <c r="D364">
        <v>73.64</v>
      </c>
      <c r="E364" t="s">
        <v>118</v>
      </c>
      <c r="F364" t="s">
        <v>1723</v>
      </c>
      <c r="G364" t="s">
        <v>16</v>
      </c>
      <c r="H364">
        <v>8</v>
      </c>
      <c r="I364" t="s">
        <v>24</v>
      </c>
      <c r="J364" t="s">
        <v>18</v>
      </c>
      <c r="K364">
        <v>10.5</v>
      </c>
      <c r="O364">
        <f t="shared" si="7"/>
        <v>84.73</v>
      </c>
    </row>
    <row r="365" spans="1:15" x14ac:dyDescent="0.35">
      <c r="A365" t="s">
        <v>488</v>
      </c>
      <c r="B365">
        <v>1</v>
      </c>
      <c r="C365">
        <v>27.99</v>
      </c>
      <c r="D365">
        <v>27.99</v>
      </c>
      <c r="E365" t="s">
        <v>397</v>
      </c>
      <c r="F365" t="s">
        <v>1724</v>
      </c>
      <c r="G365" t="s">
        <v>16</v>
      </c>
      <c r="H365">
        <v>3</v>
      </c>
      <c r="I365" t="s">
        <v>24</v>
      </c>
      <c r="J365" t="s">
        <v>31</v>
      </c>
      <c r="K365">
        <v>9</v>
      </c>
      <c r="O365">
        <f t="shared" si="7"/>
        <v>21.99</v>
      </c>
    </row>
    <row r="366" spans="1:15" x14ac:dyDescent="0.35">
      <c r="A366" t="s">
        <v>489</v>
      </c>
      <c r="B366">
        <v>2</v>
      </c>
      <c r="C366">
        <v>27.99</v>
      </c>
      <c r="D366">
        <v>48.54</v>
      </c>
      <c r="E366" t="s">
        <v>490</v>
      </c>
      <c r="F366" t="s">
        <v>1725</v>
      </c>
      <c r="G366" t="s">
        <v>16</v>
      </c>
      <c r="H366">
        <v>2</v>
      </c>
      <c r="I366" t="s">
        <v>41</v>
      </c>
      <c r="J366" t="s">
        <v>31</v>
      </c>
      <c r="K366">
        <v>9</v>
      </c>
      <c r="O366">
        <f t="shared" si="7"/>
        <v>37.979999999999997</v>
      </c>
    </row>
    <row r="367" spans="1:15" x14ac:dyDescent="0.35">
      <c r="A367" t="s">
        <v>491</v>
      </c>
      <c r="B367">
        <v>3</v>
      </c>
      <c r="C367">
        <v>27.99</v>
      </c>
      <c r="D367">
        <v>67.92</v>
      </c>
      <c r="E367" t="s">
        <v>416</v>
      </c>
      <c r="F367" t="s">
        <v>1726</v>
      </c>
      <c r="G367" t="s">
        <v>16</v>
      </c>
      <c r="H367">
        <v>3</v>
      </c>
      <c r="I367" t="s">
        <v>17</v>
      </c>
      <c r="J367" t="s">
        <v>31</v>
      </c>
      <c r="K367">
        <v>9</v>
      </c>
      <c r="O367">
        <f t="shared" si="7"/>
        <v>84.73</v>
      </c>
    </row>
    <row r="368" spans="1:15" x14ac:dyDescent="0.35">
      <c r="A368" t="s">
        <v>492</v>
      </c>
      <c r="B368">
        <v>2</v>
      </c>
      <c r="C368">
        <v>34.99</v>
      </c>
      <c r="D368">
        <v>60.06</v>
      </c>
      <c r="E368" t="s">
        <v>493</v>
      </c>
      <c r="F368" t="s">
        <v>1727</v>
      </c>
      <c r="G368" t="s">
        <v>11</v>
      </c>
      <c r="H368">
        <v>8</v>
      </c>
      <c r="I368" t="s">
        <v>41</v>
      </c>
      <c r="J368" t="s">
        <v>36</v>
      </c>
      <c r="K368">
        <v>12.5</v>
      </c>
      <c r="O368">
        <f t="shared" si="7"/>
        <v>37.979999999999997</v>
      </c>
    </row>
    <row r="369" spans="1:15" x14ac:dyDescent="0.35">
      <c r="A369" t="s">
        <v>494</v>
      </c>
      <c r="B369">
        <v>1</v>
      </c>
      <c r="C369">
        <v>27.99</v>
      </c>
      <c r="D369">
        <v>27.99</v>
      </c>
      <c r="E369" t="s">
        <v>54</v>
      </c>
      <c r="F369" t="s">
        <v>1728</v>
      </c>
      <c r="G369" t="s">
        <v>16</v>
      </c>
      <c r="H369">
        <v>2</v>
      </c>
      <c r="I369" t="s">
        <v>41</v>
      </c>
      <c r="J369" t="s">
        <v>31</v>
      </c>
      <c r="K369">
        <v>9</v>
      </c>
      <c r="O369">
        <f t="shared" si="7"/>
        <v>21.99</v>
      </c>
    </row>
    <row r="370" spans="1:15" x14ac:dyDescent="0.35">
      <c r="A370" t="s">
        <v>495</v>
      </c>
      <c r="B370">
        <v>1</v>
      </c>
      <c r="C370">
        <v>30.99</v>
      </c>
      <c r="D370">
        <v>30.99</v>
      </c>
      <c r="E370" t="s">
        <v>496</v>
      </c>
      <c r="F370" t="s">
        <v>1717</v>
      </c>
      <c r="G370" t="s">
        <v>16</v>
      </c>
      <c r="H370">
        <v>3</v>
      </c>
      <c r="I370" t="s">
        <v>24</v>
      </c>
      <c r="J370" t="s">
        <v>18</v>
      </c>
      <c r="K370">
        <v>10.5</v>
      </c>
      <c r="O370">
        <f t="shared" si="7"/>
        <v>21.99</v>
      </c>
    </row>
    <row r="371" spans="1:15" x14ac:dyDescent="0.35">
      <c r="A371" t="s">
        <v>497</v>
      </c>
      <c r="B371">
        <v>2</v>
      </c>
      <c r="C371">
        <v>18.989999999999998</v>
      </c>
      <c r="D371">
        <v>32.83</v>
      </c>
      <c r="E371" t="s">
        <v>498</v>
      </c>
      <c r="F371" t="s">
        <v>1718</v>
      </c>
      <c r="G371" t="s">
        <v>87</v>
      </c>
      <c r="H371">
        <v>0</v>
      </c>
      <c r="I371" t="s">
        <v>24</v>
      </c>
      <c r="J371" t="s">
        <v>42</v>
      </c>
      <c r="K371">
        <v>6</v>
      </c>
      <c r="O371">
        <f t="shared" si="7"/>
        <v>37.979999999999997</v>
      </c>
    </row>
    <row r="372" spans="1:15" x14ac:dyDescent="0.35">
      <c r="A372" t="s">
        <v>499</v>
      </c>
      <c r="B372">
        <v>1</v>
      </c>
      <c r="C372">
        <v>21.99</v>
      </c>
      <c r="D372">
        <v>21.99</v>
      </c>
      <c r="E372" t="s">
        <v>500</v>
      </c>
      <c r="F372" t="s">
        <v>1719</v>
      </c>
      <c r="G372" t="s">
        <v>16</v>
      </c>
      <c r="H372">
        <v>2</v>
      </c>
      <c r="I372" t="s">
        <v>12</v>
      </c>
      <c r="J372" t="s">
        <v>13</v>
      </c>
      <c r="K372">
        <v>7</v>
      </c>
      <c r="O372">
        <f t="shared" si="7"/>
        <v>21.99</v>
      </c>
    </row>
    <row r="373" spans="1:15" x14ac:dyDescent="0.35">
      <c r="A373" t="s">
        <v>501</v>
      </c>
      <c r="B373">
        <v>1</v>
      </c>
      <c r="C373">
        <v>18.989999999999998</v>
      </c>
      <c r="D373">
        <v>18.989999999999998</v>
      </c>
      <c r="E373" t="s">
        <v>502</v>
      </c>
      <c r="F373" t="s">
        <v>1720</v>
      </c>
      <c r="G373" t="s">
        <v>16</v>
      </c>
      <c r="H373">
        <v>10</v>
      </c>
      <c r="I373" t="s">
        <v>17</v>
      </c>
      <c r="J373" t="s">
        <v>42</v>
      </c>
      <c r="K373">
        <v>6</v>
      </c>
      <c r="O373">
        <f t="shared" si="7"/>
        <v>21.99</v>
      </c>
    </row>
    <row r="374" spans="1:15" x14ac:dyDescent="0.35">
      <c r="A374" t="s">
        <v>503</v>
      </c>
      <c r="B374">
        <v>1</v>
      </c>
      <c r="C374">
        <v>27.99</v>
      </c>
      <c r="D374">
        <v>27.99</v>
      </c>
      <c r="E374" t="s">
        <v>504</v>
      </c>
      <c r="F374" t="s">
        <v>1721</v>
      </c>
      <c r="G374" t="s">
        <v>21</v>
      </c>
      <c r="H374">
        <v>0</v>
      </c>
      <c r="I374" t="s">
        <v>17</v>
      </c>
      <c r="J374" t="s">
        <v>31</v>
      </c>
      <c r="K374">
        <v>9</v>
      </c>
      <c r="O374">
        <f t="shared" si="7"/>
        <v>21.99</v>
      </c>
    </row>
    <row r="375" spans="1:15" x14ac:dyDescent="0.35">
      <c r="A375" t="s">
        <v>505</v>
      </c>
      <c r="B375">
        <v>1</v>
      </c>
      <c r="C375">
        <v>30.99</v>
      </c>
      <c r="D375">
        <v>30.99</v>
      </c>
      <c r="E375" t="s">
        <v>506</v>
      </c>
      <c r="F375" t="s">
        <v>1722</v>
      </c>
      <c r="G375" t="s">
        <v>28</v>
      </c>
      <c r="H375">
        <v>0</v>
      </c>
      <c r="I375" t="s">
        <v>41</v>
      </c>
      <c r="J375" t="s">
        <v>18</v>
      </c>
      <c r="K375">
        <v>10.5</v>
      </c>
      <c r="O375">
        <f t="shared" si="7"/>
        <v>21.99</v>
      </c>
    </row>
    <row r="376" spans="1:15" x14ac:dyDescent="0.35">
      <c r="A376" t="s">
        <v>507</v>
      </c>
      <c r="B376">
        <v>1</v>
      </c>
      <c r="C376">
        <v>18.989999999999998</v>
      </c>
      <c r="D376">
        <v>18.989999999999998</v>
      </c>
      <c r="E376" t="s">
        <v>433</v>
      </c>
      <c r="F376" t="s">
        <v>1723</v>
      </c>
      <c r="G376" t="s">
        <v>87</v>
      </c>
      <c r="H376">
        <v>0</v>
      </c>
      <c r="I376" t="s">
        <v>12</v>
      </c>
      <c r="J376" t="s">
        <v>42</v>
      </c>
      <c r="K376">
        <v>6</v>
      </c>
      <c r="O376">
        <f t="shared" si="7"/>
        <v>21.99</v>
      </c>
    </row>
    <row r="377" spans="1:15" x14ac:dyDescent="0.35">
      <c r="A377" t="s">
        <v>508</v>
      </c>
      <c r="B377">
        <v>1</v>
      </c>
      <c r="C377">
        <v>21.99</v>
      </c>
      <c r="D377">
        <v>21.99</v>
      </c>
      <c r="E377" t="s">
        <v>122</v>
      </c>
      <c r="F377" t="s">
        <v>1724</v>
      </c>
      <c r="G377" t="s">
        <v>21</v>
      </c>
      <c r="H377">
        <v>0</v>
      </c>
      <c r="I377" t="s">
        <v>41</v>
      </c>
      <c r="J377" t="s">
        <v>13</v>
      </c>
      <c r="K377">
        <v>7</v>
      </c>
      <c r="O377">
        <f t="shared" si="7"/>
        <v>21.99</v>
      </c>
    </row>
    <row r="378" spans="1:15" x14ac:dyDescent="0.35">
      <c r="A378" t="s">
        <v>509</v>
      </c>
      <c r="B378">
        <v>1</v>
      </c>
      <c r="C378">
        <v>21.99</v>
      </c>
      <c r="D378">
        <v>21.99</v>
      </c>
      <c r="E378" t="s">
        <v>169</v>
      </c>
      <c r="F378" t="s">
        <v>1725</v>
      </c>
      <c r="G378" t="s">
        <v>16</v>
      </c>
      <c r="H378">
        <v>2</v>
      </c>
      <c r="I378" t="s">
        <v>41</v>
      </c>
      <c r="J378" t="s">
        <v>13</v>
      </c>
      <c r="K378">
        <v>7</v>
      </c>
      <c r="O378">
        <f t="shared" si="7"/>
        <v>21.99</v>
      </c>
    </row>
    <row r="379" spans="1:15" x14ac:dyDescent="0.35">
      <c r="A379" t="s">
        <v>510</v>
      </c>
      <c r="B379">
        <v>3</v>
      </c>
      <c r="C379">
        <v>21.99</v>
      </c>
      <c r="D379">
        <v>52.09</v>
      </c>
      <c r="E379" t="s">
        <v>511</v>
      </c>
      <c r="F379" t="s">
        <v>1726</v>
      </c>
      <c r="G379" t="s">
        <v>16</v>
      </c>
      <c r="H379">
        <v>3</v>
      </c>
      <c r="I379" t="s">
        <v>24</v>
      </c>
      <c r="J379" t="s">
        <v>13</v>
      </c>
      <c r="K379">
        <v>7</v>
      </c>
      <c r="O379">
        <f t="shared" si="7"/>
        <v>84.73</v>
      </c>
    </row>
    <row r="380" spans="1:15" x14ac:dyDescent="0.35">
      <c r="A380" t="s">
        <v>512</v>
      </c>
      <c r="B380">
        <v>1</v>
      </c>
      <c r="C380">
        <v>21.99</v>
      </c>
      <c r="D380">
        <v>21.99</v>
      </c>
      <c r="E380" t="s">
        <v>513</v>
      </c>
      <c r="F380" t="s">
        <v>1727</v>
      </c>
      <c r="G380" t="s">
        <v>28</v>
      </c>
      <c r="H380">
        <v>0</v>
      </c>
      <c r="I380" t="s">
        <v>41</v>
      </c>
      <c r="J380" t="s">
        <v>13</v>
      </c>
      <c r="K380">
        <v>7</v>
      </c>
      <c r="O380">
        <f t="shared" si="7"/>
        <v>21.99</v>
      </c>
    </row>
    <row r="381" spans="1:15" x14ac:dyDescent="0.35">
      <c r="A381" t="s">
        <v>514</v>
      </c>
      <c r="B381">
        <v>1</v>
      </c>
      <c r="C381">
        <v>18.989999999999998</v>
      </c>
      <c r="D381">
        <v>18.989999999999998</v>
      </c>
      <c r="E381" t="s">
        <v>515</v>
      </c>
      <c r="F381" t="s">
        <v>1728</v>
      </c>
      <c r="G381" t="s">
        <v>21</v>
      </c>
      <c r="H381">
        <v>0</v>
      </c>
      <c r="I381" t="s">
        <v>41</v>
      </c>
      <c r="J381" t="s">
        <v>42</v>
      </c>
      <c r="K381">
        <v>6</v>
      </c>
      <c r="O381">
        <f t="shared" si="7"/>
        <v>21.99</v>
      </c>
    </row>
    <row r="382" spans="1:15" x14ac:dyDescent="0.35">
      <c r="A382" t="s">
        <v>516</v>
      </c>
      <c r="B382">
        <v>2</v>
      </c>
      <c r="C382">
        <v>16.989999999999998</v>
      </c>
      <c r="D382">
        <v>29.64</v>
      </c>
      <c r="E382" t="s">
        <v>427</v>
      </c>
      <c r="F382" t="s">
        <v>1717</v>
      </c>
      <c r="G382" t="s">
        <v>16</v>
      </c>
      <c r="H382">
        <v>18</v>
      </c>
      <c r="I382" t="s">
        <v>12</v>
      </c>
      <c r="J382" t="s">
        <v>25</v>
      </c>
      <c r="K382">
        <v>5</v>
      </c>
      <c r="O382">
        <f t="shared" si="7"/>
        <v>37.979999999999997</v>
      </c>
    </row>
    <row r="383" spans="1:15" x14ac:dyDescent="0.35">
      <c r="A383" t="s">
        <v>517</v>
      </c>
      <c r="B383">
        <v>1</v>
      </c>
      <c r="C383">
        <v>18.989999999999998</v>
      </c>
      <c r="D383">
        <v>18.989999999999998</v>
      </c>
      <c r="E383" t="s">
        <v>76</v>
      </c>
      <c r="F383" t="s">
        <v>1718</v>
      </c>
      <c r="G383" t="s">
        <v>28</v>
      </c>
      <c r="H383">
        <v>0</v>
      </c>
      <c r="I383" t="s">
        <v>12</v>
      </c>
      <c r="J383" t="s">
        <v>42</v>
      </c>
      <c r="K383">
        <v>6</v>
      </c>
      <c r="O383">
        <f t="shared" si="7"/>
        <v>21.99</v>
      </c>
    </row>
    <row r="384" spans="1:15" x14ac:dyDescent="0.35">
      <c r="A384" t="s">
        <v>518</v>
      </c>
      <c r="B384">
        <v>1</v>
      </c>
      <c r="C384">
        <v>27.99</v>
      </c>
      <c r="D384">
        <v>27.99</v>
      </c>
      <c r="E384" t="s">
        <v>164</v>
      </c>
      <c r="F384" t="s">
        <v>1719</v>
      </c>
      <c r="G384" t="s">
        <v>16</v>
      </c>
      <c r="H384">
        <v>3</v>
      </c>
      <c r="I384" t="s">
        <v>24</v>
      </c>
      <c r="J384" t="s">
        <v>31</v>
      </c>
      <c r="K384">
        <v>9</v>
      </c>
      <c r="O384">
        <f t="shared" si="7"/>
        <v>21.99</v>
      </c>
    </row>
    <row r="385" spans="1:15" x14ac:dyDescent="0.35">
      <c r="A385" t="s">
        <v>519</v>
      </c>
      <c r="B385">
        <v>3</v>
      </c>
      <c r="C385">
        <v>34.99</v>
      </c>
      <c r="D385">
        <v>82.45</v>
      </c>
      <c r="E385" t="s">
        <v>461</v>
      </c>
      <c r="F385" t="s">
        <v>1720</v>
      </c>
      <c r="G385" t="s">
        <v>16</v>
      </c>
      <c r="H385">
        <v>11</v>
      </c>
      <c r="I385" t="s">
        <v>17</v>
      </c>
      <c r="J385" t="s">
        <v>36</v>
      </c>
      <c r="K385">
        <v>12.5</v>
      </c>
      <c r="O385">
        <f t="shared" si="7"/>
        <v>84.73</v>
      </c>
    </row>
    <row r="386" spans="1:15" x14ac:dyDescent="0.35">
      <c r="A386" t="s">
        <v>520</v>
      </c>
      <c r="B386">
        <v>1</v>
      </c>
      <c r="C386">
        <v>34.99</v>
      </c>
      <c r="D386">
        <v>34.99</v>
      </c>
      <c r="E386" t="s">
        <v>435</v>
      </c>
      <c r="F386" t="s">
        <v>1721</v>
      </c>
      <c r="G386" t="s">
        <v>28</v>
      </c>
      <c r="H386">
        <v>0</v>
      </c>
      <c r="I386" t="s">
        <v>12</v>
      </c>
      <c r="J386" t="s">
        <v>36</v>
      </c>
      <c r="K386">
        <v>12.5</v>
      </c>
      <c r="O386">
        <f t="shared" ref="O386:O449" si="8">VLOOKUP(B:B,B:H,3,FALSE)</f>
        <v>21.99</v>
      </c>
    </row>
    <row r="387" spans="1:15" x14ac:dyDescent="0.35">
      <c r="A387" t="s">
        <v>521</v>
      </c>
      <c r="B387">
        <v>2</v>
      </c>
      <c r="C387">
        <v>21.99</v>
      </c>
      <c r="D387">
        <v>38.020000000000003</v>
      </c>
      <c r="E387" t="s">
        <v>522</v>
      </c>
      <c r="F387" t="s">
        <v>1722</v>
      </c>
      <c r="G387" t="s">
        <v>21</v>
      </c>
      <c r="H387">
        <v>0</v>
      </c>
      <c r="I387" t="s">
        <v>24</v>
      </c>
      <c r="J387" t="s">
        <v>13</v>
      </c>
      <c r="K387">
        <v>7</v>
      </c>
      <c r="O387">
        <f t="shared" si="8"/>
        <v>37.979999999999997</v>
      </c>
    </row>
    <row r="388" spans="1:15" x14ac:dyDescent="0.35">
      <c r="A388" t="s">
        <v>523</v>
      </c>
      <c r="B388">
        <v>1</v>
      </c>
      <c r="C388">
        <v>34.99</v>
      </c>
      <c r="D388">
        <v>34.99</v>
      </c>
      <c r="E388" t="s">
        <v>524</v>
      </c>
      <c r="F388" t="s">
        <v>1723</v>
      </c>
      <c r="G388" t="s">
        <v>16</v>
      </c>
      <c r="H388">
        <v>12</v>
      </c>
      <c r="I388" t="s">
        <v>24</v>
      </c>
      <c r="J388" t="s">
        <v>36</v>
      </c>
      <c r="K388">
        <v>12.5</v>
      </c>
      <c r="O388">
        <f t="shared" si="8"/>
        <v>21.99</v>
      </c>
    </row>
    <row r="389" spans="1:15" x14ac:dyDescent="0.35">
      <c r="A389" t="s">
        <v>525</v>
      </c>
      <c r="B389">
        <v>1</v>
      </c>
      <c r="C389">
        <v>16.989999999999998</v>
      </c>
      <c r="D389">
        <v>16.989999999999998</v>
      </c>
      <c r="E389" t="s">
        <v>72</v>
      </c>
      <c r="F389" t="s">
        <v>1724</v>
      </c>
      <c r="G389" t="s">
        <v>21</v>
      </c>
      <c r="H389">
        <v>0</v>
      </c>
      <c r="I389" t="s">
        <v>12</v>
      </c>
      <c r="J389" t="s">
        <v>25</v>
      </c>
      <c r="K389">
        <v>5</v>
      </c>
      <c r="O389">
        <f t="shared" si="8"/>
        <v>21.99</v>
      </c>
    </row>
    <row r="390" spans="1:15" x14ac:dyDescent="0.35">
      <c r="A390" t="s">
        <v>526</v>
      </c>
      <c r="B390">
        <v>1</v>
      </c>
      <c r="C390">
        <v>16.989999999999998</v>
      </c>
      <c r="D390">
        <v>16.989999999999998</v>
      </c>
      <c r="E390" t="s">
        <v>527</v>
      </c>
      <c r="F390" t="s">
        <v>1725</v>
      </c>
      <c r="G390" t="s">
        <v>16</v>
      </c>
      <c r="H390">
        <v>20</v>
      </c>
      <c r="I390" t="s">
        <v>12</v>
      </c>
      <c r="J390" t="s">
        <v>25</v>
      </c>
      <c r="K390">
        <v>5</v>
      </c>
      <c r="O390">
        <f t="shared" si="8"/>
        <v>21.99</v>
      </c>
    </row>
    <row r="391" spans="1:15" x14ac:dyDescent="0.35">
      <c r="A391" t="s">
        <v>528</v>
      </c>
      <c r="B391">
        <v>1</v>
      </c>
      <c r="C391">
        <v>21.99</v>
      </c>
      <c r="D391">
        <v>21.99</v>
      </c>
      <c r="E391" t="s">
        <v>529</v>
      </c>
      <c r="F391" t="s">
        <v>1726</v>
      </c>
      <c r="G391" t="s">
        <v>16</v>
      </c>
      <c r="H391">
        <v>3</v>
      </c>
      <c r="I391" t="s">
        <v>41</v>
      </c>
      <c r="J391" t="s">
        <v>13</v>
      </c>
      <c r="K391">
        <v>7</v>
      </c>
      <c r="O391">
        <f t="shared" si="8"/>
        <v>21.99</v>
      </c>
    </row>
    <row r="392" spans="1:15" x14ac:dyDescent="0.35">
      <c r="A392" t="s">
        <v>530</v>
      </c>
      <c r="B392">
        <v>1</v>
      </c>
      <c r="C392">
        <v>18.989999999999998</v>
      </c>
      <c r="D392">
        <v>18.989999999999998</v>
      </c>
      <c r="E392" t="s">
        <v>531</v>
      </c>
      <c r="F392" t="s">
        <v>1727</v>
      </c>
      <c r="G392" t="s">
        <v>16</v>
      </c>
      <c r="H392">
        <v>15</v>
      </c>
      <c r="I392" t="s">
        <v>17</v>
      </c>
      <c r="J392" t="s">
        <v>42</v>
      </c>
      <c r="K392">
        <v>6</v>
      </c>
      <c r="O392">
        <f t="shared" si="8"/>
        <v>21.99</v>
      </c>
    </row>
    <row r="393" spans="1:15" x14ac:dyDescent="0.35">
      <c r="A393" t="s">
        <v>532</v>
      </c>
      <c r="B393">
        <v>1</v>
      </c>
      <c r="C393">
        <v>27.99</v>
      </c>
      <c r="D393">
        <v>27.99</v>
      </c>
      <c r="E393" t="s">
        <v>433</v>
      </c>
      <c r="F393" t="s">
        <v>1728</v>
      </c>
      <c r="G393" t="s">
        <v>16</v>
      </c>
      <c r="H393">
        <v>6</v>
      </c>
      <c r="I393" t="s">
        <v>12</v>
      </c>
      <c r="J393" t="s">
        <v>31</v>
      </c>
      <c r="K393">
        <v>9</v>
      </c>
      <c r="O393">
        <f t="shared" si="8"/>
        <v>21.99</v>
      </c>
    </row>
    <row r="394" spans="1:15" x14ac:dyDescent="0.35">
      <c r="A394" t="s">
        <v>533</v>
      </c>
      <c r="B394">
        <v>1</v>
      </c>
      <c r="C394">
        <v>34.99</v>
      </c>
      <c r="D394">
        <v>34.99</v>
      </c>
      <c r="E394" t="s">
        <v>534</v>
      </c>
      <c r="F394" t="s">
        <v>1717</v>
      </c>
      <c r="G394" t="s">
        <v>16</v>
      </c>
      <c r="H394">
        <v>8</v>
      </c>
      <c r="I394" t="s">
        <v>24</v>
      </c>
      <c r="J394" t="s">
        <v>36</v>
      </c>
      <c r="K394">
        <v>12.5</v>
      </c>
      <c r="O394">
        <f t="shared" si="8"/>
        <v>21.99</v>
      </c>
    </row>
    <row r="395" spans="1:15" x14ac:dyDescent="0.35">
      <c r="A395" t="s">
        <v>535</v>
      </c>
      <c r="B395">
        <v>1</v>
      </c>
      <c r="C395">
        <v>34.99</v>
      </c>
      <c r="D395">
        <v>34.99</v>
      </c>
      <c r="E395" t="s">
        <v>536</v>
      </c>
      <c r="F395" t="s">
        <v>1718</v>
      </c>
      <c r="G395" t="s">
        <v>21</v>
      </c>
      <c r="H395">
        <v>0</v>
      </c>
      <c r="I395" t="s">
        <v>41</v>
      </c>
      <c r="J395" t="s">
        <v>36</v>
      </c>
      <c r="K395">
        <v>12.5</v>
      </c>
      <c r="O395">
        <f t="shared" si="8"/>
        <v>21.99</v>
      </c>
    </row>
    <row r="396" spans="1:15" x14ac:dyDescent="0.35">
      <c r="A396" t="s">
        <v>537</v>
      </c>
      <c r="B396">
        <v>1</v>
      </c>
      <c r="C396">
        <v>21.99</v>
      </c>
      <c r="D396">
        <v>21.99</v>
      </c>
      <c r="E396" t="s">
        <v>449</v>
      </c>
      <c r="F396" t="s">
        <v>1719</v>
      </c>
      <c r="G396" t="s">
        <v>16</v>
      </c>
      <c r="H396">
        <v>3</v>
      </c>
      <c r="I396" t="s">
        <v>17</v>
      </c>
      <c r="J396" t="s">
        <v>13</v>
      </c>
      <c r="K396">
        <v>7</v>
      </c>
      <c r="O396">
        <f t="shared" si="8"/>
        <v>21.99</v>
      </c>
    </row>
    <row r="397" spans="1:15" x14ac:dyDescent="0.35">
      <c r="A397" t="s">
        <v>538</v>
      </c>
      <c r="B397">
        <v>1</v>
      </c>
      <c r="C397">
        <v>34.99</v>
      </c>
      <c r="D397">
        <v>34.99</v>
      </c>
      <c r="E397" t="s">
        <v>539</v>
      </c>
      <c r="F397" t="s">
        <v>1720</v>
      </c>
      <c r="G397" t="s">
        <v>87</v>
      </c>
      <c r="H397">
        <v>0</v>
      </c>
      <c r="I397" t="s">
        <v>24</v>
      </c>
      <c r="J397" t="s">
        <v>36</v>
      </c>
      <c r="K397">
        <v>12.5</v>
      </c>
      <c r="O397">
        <f t="shared" si="8"/>
        <v>21.99</v>
      </c>
    </row>
    <row r="398" spans="1:15" x14ac:dyDescent="0.35">
      <c r="A398" t="s">
        <v>540</v>
      </c>
      <c r="B398">
        <v>3</v>
      </c>
      <c r="C398">
        <v>18.989999999999998</v>
      </c>
      <c r="D398">
        <v>44.82</v>
      </c>
      <c r="E398" t="s">
        <v>541</v>
      </c>
      <c r="F398" t="s">
        <v>1721</v>
      </c>
      <c r="G398" t="s">
        <v>28</v>
      </c>
      <c r="H398">
        <v>0</v>
      </c>
      <c r="I398" t="s">
        <v>24</v>
      </c>
      <c r="J398" t="s">
        <v>42</v>
      </c>
      <c r="K398">
        <v>6</v>
      </c>
      <c r="O398">
        <f t="shared" si="8"/>
        <v>84.73</v>
      </c>
    </row>
    <row r="399" spans="1:15" x14ac:dyDescent="0.35">
      <c r="A399" t="s">
        <v>542</v>
      </c>
      <c r="B399">
        <v>1</v>
      </c>
      <c r="C399">
        <v>27.99</v>
      </c>
      <c r="D399">
        <v>27.99</v>
      </c>
      <c r="E399" t="s">
        <v>543</v>
      </c>
      <c r="F399" t="s">
        <v>1722</v>
      </c>
      <c r="G399" t="s">
        <v>21</v>
      </c>
      <c r="H399">
        <v>0</v>
      </c>
      <c r="I399" t="s">
        <v>17</v>
      </c>
      <c r="J399" t="s">
        <v>31</v>
      </c>
      <c r="K399">
        <v>9</v>
      </c>
      <c r="O399">
        <f t="shared" si="8"/>
        <v>21.99</v>
      </c>
    </row>
    <row r="400" spans="1:15" x14ac:dyDescent="0.35">
      <c r="A400" t="s">
        <v>544</v>
      </c>
      <c r="B400">
        <v>1</v>
      </c>
      <c r="C400">
        <v>18.989999999999998</v>
      </c>
      <c r="D400">
        <v>18.989999999999998</v>
      </c>
      <c r="E400" t="s">
        <v>33</v>
      </c>
      <c r="F400" t="s">
        <v>1723</v>
      </c>
      <c r="G400" t="s">
        <v>87</v>
      </c>
      <c r="H400">
        <v>0</v>
      </c>
      <c r="I400" t="s">
        <v>12</v>
      </c>
      <c r="J400" t="s">
        <v>42</v>
      </c>
      <c r="K400">
        <v>6</v>
      </c>
      <c r="O400">
        <f t="shared" si="8"/>
        <v>21.99</v>
      </c>
    </row>
    <row r="401" spans="1:15" x14ac:dyDescent="0.35">
      <c r="A401" t="s">
        <v>545</v>
      </c>
      <c r="B401">
        <v>1</v>
      </c>
      <c r="C401">
        <v>27.99</v>
      </c>
      <c r="D401">
        <v>27.99</v>
      </c>
      <c r="E401" t="s">
        <v>122</v>
      </c>
      <c r="F401" t="s">
        <v>1724</v>
      </c>
      <c r="G401" t="s">
        <v>16</v>
      </c>
      <c r="H401">
        <v>8</v>
      </c>
      <c r="I401" t="s">
        <v>12</v>
      </c>
      <c r="J401" t="s">
        <v>31</v>
      </c>
      <c r="K401">
        <v>9</v>
      </c>
      <c r="O401">
        <f t="shared" si="8"/>
        <v>21.99</v>
      </c>
    </row>
    <row r="402" spans="1:15" x14ac:dyDescent="0.35">
      <c r="A402" t="s">
        <v>546</v>
      </c>
      <c r="B402">
        <v>1</v>
      </c>
      <c r="C402">
        <v>27.99</v>
      </c>
      <c r="D402">
        <v>27.99</v>
      </c>
      <c r="E402" t="s">
        <v>547</v>
      </c>
      <c r="F402" t="s">
        <v>1725</v>
      </c>
      <c r="G402" t="s">
        <v>21</v>
      </c>
      <c r="H402">
        <v>0</v>
      </c>
      <c r="I402" t="s">
        <v>17</v>
      </c>
      <c r="J402" t="s">
        <v>31</v>
      </c>
      <c r="K402">
        <v>9</v>
      </c>
      <c r="O402">
        <f t="shared" si="8"/>
        <v>21.99</v>
      </c>
    </row>
    <row r="403" spans="1:15" x14ac:dyDescent="0.35">
      <c r="A403" t="s">
        <v>548</v>
      </c>
      <c r="B403">
        <v>3</v>
      </c>
      <c r="C403">
        <v>30.99</v>
      </c>
      <c r="D403">
        <v>74.33</v>
      </c>
      <c r="E403" t="s">
        <v>549</v>
      </c>
      <c r="F403" t="s">
        <v>1726</v>
      </c>
      <c r="G403" t="s">
        <v>28</v>
      </c>
      <c r="H403">
        <v>0</v>
      </c>
      <c r="I403" t="s">
        <v>12</v>
      </c>
      <c r="J403" t="s">
        <v>18</v>
      </c>
      <c r="K403">
        <v>10.5</v>
      </c>
      <c r="O403">
        <f t="shared" si="8"/>
        <v>84.73</v>
      </c>
    </row>
    <row r="404" spans="1:15" x14ac:dyDescent="0.35">
      <c r="A404" t="s">
        <v>550</v>
      </c>
      <c r="B404">
        <v>1</v>
      </c>
      <c r="C404">
        <v>34.99</v>
      </c>
      <c r="D404">
        <v>34.99</v>
      </c>
      <c r="E404" t="s">
        <v>551</v>
      </c>
      <c r="F404" t="s">
        <v>1727</v>
      </c>
      <c r="G404" t="s">
        <v>16</v>
      </c>
      <c r="H404">
        <v>8</v>
      </c>
      <c r="I404" t="s">
        <v>17</v>
      </c>
      <c r="J404" t="s">
        <v>36</v>
      </c>
      <c r="K404">
        <v>12.5</v>
      </c>
      <c r="O404">
        <f t="shared" si="8"/>
        <v>21.99</v>
      </c>
    </row>
    <row r="405" spans="1:15" x14ac:dyDescent="0.35">
      <c r="A405" t="s">
        <v>552</v>
      </c>
      <c r="B405">
        <v>1</v>
      </c>
      <c r="C405">
        <v>30.99</v>
      </c>
      <c r="D405">
        <v>30.99</v>
      </c>
      <c r="E405" t="s">
        <v>94</v>
      </c>
      <c r="F405" t="s">
        <v>1728</v>
      </c>
      <c r="G405" t="s">
        <v>16</v>
      </c>
      <c r="H405">
        <v>3</v>
      </c>
      <c r="I405" t="s">
        <v>12</v>
      </c>
      <c r="J405" t="s">
        <v>18</v>
      </c>
      <c r="K405">
        <v>10.5</v>
      </c>
      <c r="O405">
        <f t="shared" si="8"/>
        <v>21.99</v>
      </c>
    </row>
    <row r="406" spans="1:15" x14ac:dyDescent="0.35">
      <c r="A406" t="s">
        <v>553</v>
      </c>
      <c r="B406">
        <v>1</v>
      </c>
      <c r="C406">
        <v>30.99</v>
      </c>
      <c r="D406">
        <v>30.99</v>
      </c>
      <c r="E406" t="s">
        <v>176</v>
      </c>
      <c r="F406" t="s">
        <v>1717</v>
      </c>
      <c r="G406" t="s">
        <v>21</v>
      </c>
      <c r="H406">
        <v>0</v>
      </c>
      <c r="I406" t="s">
        <v>24</v>
      </c>
      <c r="J406" t="s">
        <v>18</v>
      </c>
      <c r="K406">
        <v>10.5</v>
      </c>
      <c r="O406">
        <f t="shared" si="8"/>
        <v>21.99</v>
      </c>
    </row>
    <row r="407" spans="1:15" x14ac:dyDescent="0.35">
      <c r="A407" t="s">
        <v>554</v>
      </c>
      <c r="B407">
        <v>1</v>
      </c>
      <c r="C407">
        <v>27.99</v>
      </c>
      <c r="D407">
        <v>27.99</v>
      </c>
      <c r="E407" t="s">
        <v>54</v>
      </c>
      <c r="F407" t="s">
        <v>1718</v>
      </c>
      <c r="G407" t="s">
        <v>16</v>
      </c>
      <c r="H407">
        <v>3</v>
      </c>
      <c r="I407" t="s">
        <v>17</v>
      </c>
      <c r="J407" t="s">
        <v>31</v>
      </c>
      <c r="K407">
        <v>9</v>
      </c>
      <c r="O407">
        <f t="shared" si="8"/>
        <v>21.99</v>
      </c>
    </row>
    <row r="408" spans="1:15" x14ac:dyDescent="0.35">
      <c r="A408" t="s">
        <v>555</v>
      </c>
      <c r="B408">
        <v>1</v>
      </c>
      <c r="C408">
        <v>18.989999999999998</v>
      </c>
      <c r="D408">
        <v>18.989999999999998</v>
      </c>
      <c r="E408" t="s">
        <v>556</v>
      </c>
      <c r="F408" t="s">
        <v>1719</v>
      </c>
      <c r="G408" t="s">
        <v>11</v>
      </c>
      <c r="H408">
        <v>13</v>
      </c>
      <c r="I408" t="s">
        <v>41</v>
      </c>
      <c r="J408" t="s">
        <v>42</v>
      </c>
      <c r="K408">
        <v>6</v>
      </c>
      <c r="O408">
        <f t="shared" si="8"/>
        <v>21.99</v>
      </c>
    </row>
    <row r="409" spans="1:15" x14ac:dyDescent="0.35">
      <c r="A409" t="s">
        <v>557</v>
      </c>
      <c r="B409">
        <v>1</v>
      </c>
      <c r="C409">
        <v>18.989999999999998</v>
      </c>
      <c r="D409">
        <v>18.989999999999998</v>
      </c>
      <c r="E409" t="s">
        <v>558</v>
      </c>
      <c r="F409" t="s">
        <v>1720</v>
      </c>
      <c r="G409" t="s">
        <v>16</v>
      </c>
      <c r="H409">
        <v>13</v>
      </c>
      <c r="I409" t="s">
        <v>24</v>
      </c>
      <c r="J409" t="s">
        <v>42</v>
      </c>
      <c r="K409">
        <v>6</v>
      </c>
      <c r="O409">
        <f t="shared" si="8"/>
        <v>21.99</v>
      </c>
    </row>
    <row r="410" spans="1:15" x14ac:dyDescent="0.35">
      <c r="A410" t="s">
        <v>559</v>
      </c>
      <c r="B410">
        <v>1</v>
      </c>
      <c r="C410">
        <v>34.99</v>
      </c>
      <c r="D410">
        <v>34.99</v>
      </c>
      <c r="E410" t="s">
        <v>35</v>
      </c>
      <c r="F410" t="s">
        <v>1721</v>
      </c>
      <c r="G410" t="s">
        <v>21</v>
      </c>
      <c r="H410">
        <v>0</v>
      </c>
      <c r="I410" t="s">
        <v>41</v>
      </c>
      <c r="J410" t="s">
        <v>36</v>
      </c>
      <c r="K410">
        <v>12.5</v>
      </c>
      <c r="O410">
        <f t="shared" si="8"/>
        <v>21.99</v>
      </c>
    </row>
    <row r="411" spans="1:15" x14ac:dyDescent="0.35">
      <c r="A411" t="s">
        <v>560</v>
      </c>
      <c r="B411">
        <v>3</v>
      </c>
      <c r="C411">
        <v>27.99</v>
      </c>
      <c r="D411">
        <v>67.569999999999993</v>
      </c>
      <c r="E411" t="s">
        <v>214</v>
      </c>
      <c r="F411" t="s">
        <v>1722</v>
      </c>
      <c r="G411" t="s">
        <v>16</v>
      </c>
      <c r="H411">
        <v>2</v>
      </c>
      <c r="I411" t="s">
        <v>24</v>
      </c>
      <c r="J411" t="s">
        <v>31</v>
      </c>
      <c r="K411">
        <v>9</v>
      </c>
      <c r="O411">
        <f t="shared" si="8"/>
        <v>84.73</v>
      </c>
    </row>
    <row r="412" spans="1:15" x14ac:dyDescent="0.35">
      <c r="A412" t="s">
        <v>561</v>
      </c>
      <c r="B412">
        <v>3</v>
      </c>
      <c r="C412">
        <v>30.99</v>
      </c>
      <c r="D412">
        <v>73.459999999999994</v>
      </c>
      <c r="E412" t="s">
        <v>562</v>
      </c>
      <c r="F412" t="s">
        <v>1723</v>
      </c>
      <c r="G412" t="s">
        <v>16</v>
      </c>
      <c r="H412">
        <v>3</v>
      </c>
      <c r="I412" t="s">
        <v>24</v>
      </c>
      <c r="J412" t="s">
        <v>18</v>
      </c>
      <c r="K412">
        <v>10.5</v>
      </c>
      <c r="O412">
        <f t="shared" si="8"/>
        <v>84.73</v>
      </c>
    </row>
    <row r="413" spans="1:15" x14ac:dyDescent="0.35">
      <c r="A413" t="s">
        <v>563</v>
      </c>
      <c r="B413">
        <v>1</v>
      </c>
      <c r="C413">
        <v>21.99</v>
      </c>
      <c r="D413">
        <v>21.99</v>
      </c>
      <c r="E413" s="6">
        <v>46323</v>
      </c>
      <c r="F413" t="s">
        <v>1724</v>
      </c>
      <c r="G413" t="s">
        <v>16</v>
      </c>
      <c r="H413">
        <v>3</v>
      </c>
      <c r="I413" t="s">
        <v>24</v>
      </c>
      <c r="J413" t="s">
        <v>13</v>
      </c>
      <c r="K413">
        <v>7</v>
      </c>
      <c r="O413">
        <f t="shared" si="8"/>
        <v>21.99</v>
      </c>
    </row>
    <row r="414" spans="1:15" x14ac:dyDescent="0.35">
      <c r="A414" t="s">
        <v>564</v>
      </c>
      <c r="B414">
        <v>2</v>
      </c>
      <c r="C414">
        <v>27.99</v>
      </c>
      <c r="D414">
        <v>48.29</v>
      </c>
      <c r="E414" t="s">
        <v>565</v>
      </c>
      <c r="F414" t="s">
        <v>1725</v>
      </c>
      <c r="G414" t="s">
        <v>16</v>
      </c>
      <c r="H414">
        <v>8</v>
      </c>
      <c r="I414" t="s">
        <v>24</v>
      </c>
      <c r="J414" t="s">
        <v>31</v>
      </c>
      <c r="K414">
        <v>9</v>
      </c>
      <c r="O414">
        <f t="shared" si="8"/>
        <v>37.979999999999997</v>
      </c>
    </row>
    <row r="415" spans="1:15" x14ac:dyDescent="0.35">
      <c r="A415" t="s">
        <v>566</v>
      </c>
      <c r="B415">
        <v>1</v>
      </c>
      <c r="C415">
        <v>34.99</v>
      </c>
      <c r="D415">
        <v>34.99</v>
      </c>
      <c r="E415" t="s">
        <v>567</v>
      </c>
      <c r="F415" t="s">
        <v>1726</v>
      </c>
      <c r="G415" t="s">
        <v>16</v>
      </c>
      <c r="H415">
        <v>8</v>
      </c>
      <c r="I415" t="s">
        <v>12</v>
      </c>
      <c r="J415" t="s">
        <v>36</v>
      </c>
      <c r="K415">
        <v>12.5</v>
      </c>
      <c r="O415">
        <f t="shared" si="8"/>
        <v>21.99</v>
      </c>
    </row>
    <row r="416" spans="1:15" x14ac:dyDescent="0.35">
      <c r="A416" t="s">
        <v>568</v>
      </c>
      <c r="B416">
        <v>1</v>
      </c>
      <c r="C416">
        <v>21.99</v>
      </c>
      <c r="D416">
        <v>21.99</v>
      </c>
      <c r="E416" t="s">
        <v>118</v>
      </c>
      <c r="F416" t="s">
        <v>1727</v>
      </c>
      <c r="G416" t="s">
        <v>16</v>
      </c>
      <c r="H416">
        <v>7</v>
      </c>
      <c r="I416" t="s">
        <v>17</v>
      </c>
      <c r="J416" t="s">
        <v>13</v>
      </c>
      <c r="K416">
        <v>7</v>
      </c>
      <c r="O416">
        <f t="shared" si="8"/>
        <v>21.99</v>
      </c>
    </row>
    <row r="417" spans="1:15" x14ac:dyDescent="0.35">
      <c r="A417" t="s">
        <v>569</v>
      </c>
      <c r="B417">
        <v>1</v>
      </c>
      <c r="C417">
        <v>30.99</v>
      </c>
      <c r="D417">
        <v>30.99</v>
      </c>
      <c r="E417" t="s">
        <v>570</v>
      </c>
      <c r="F417" t="s">
        <v>1728</v>
      </c>
      <c r="G417" t="s">
        <v>16</v>
      </c>
      <c r="H417">
        <v>4</v>
      </c>
      <c r="I417" t="s">
        <v>12</v>
      </c>
      <c r="J417" t="s">
        <v>18</v>
      </c>
      <c r="K417">
        <v>10.5</v>
      </c>
      <c r="O417">
        <f t="shared" si="8"/>
        <v>21.99</v>
      </c>
    </row>
    <row r="418" spans="1:15" x14ac:dyDescent="0.35">
      <c r="A418" t="s">
        <v>571</v>
      </c>
      <c r="B418">
        <v>1</v>
      </c>
      <c r="C418">
        <v>16.989999999999998</v>
      </c>
      <c r="D418">
        <v>16.989999999999998</v>
      </c>
      <c r="E418" t="s">
        <v>166</v>
      </c>
      <c r="F418" t="s">
        <v>1717</v>
      </c>
      <c r="G418" t="s">
        <v>16</v>
      </c>
      <c r="H418">
        <v>19</v>
      </c>
      <c r="I418" t="s">
        <v>12</v>
      </c>
      <c r="J418" t="s">
        <v>25</v>
      </c>
      <c r="K418">
        <v>5</v>
      </c>
      <c r="O418">
        <f t="shared" si="8"/>
        <v>21.99</v>
      </c>
    </row>
    <row r="419" spans="1:15" x14ac:dyDescent="0.35">
      <c r="A419" t="s">
        <v>572</v>
      </c>
      <c r="B419">
        <v>1</v>
      </c>
      <c r="C419">
        <v>16.989999999999998</v>
      </c>
      <c r="D419">
        <v>16.989999999999998</v>
      </c>
      <c r="E419" t="s">
        <v>573</v>
      </c>
      <c r="F419" t="s">
        <v>1718</v>
      </c>
      <c r="G419" t="s">
        <v>16</v>
      </c>
      <c r="H419">
        <v>18</v>
      </c>
      <c r="I419" t="s">
        <v>17</v>
      </c>
      <c r="J419" t="s">
        <v>25</v>
      </c>
      <c r="K419">
        <v>5</v>
      </c>
      <c r="O419">
        <f t="shared" si="8"/>
        <v>21.99</v>
      </c>
    </row>
    <row r="420" spans="1:15" x14ac:dyDescent="0.35">
      <c r="A420" t="s">
        <v>574</v>
      </c>
      <c r="B420">
        <v>3</v>
      </c>
      <c r="C420">
        <v>21.99</v>
      </c>
      <c r="D420">
        <v>52.35</v>
      </c>
      <c r="E420" t="s">
        <v>575</v>
      </c>
      <c r="F420" t="s">
        <v>1719</v>
      </c>
      <c r="G420" t="s">
        <v>21</v>
      </c>
      <c r="H420">
        <v>0</v>
      </c>
      <c r="I420" t="s">
        <v>17</v>
      </c>
      <c r="J420" t="s">
        <v>13</v>
      </c>
      <c r="K420">
        <v>7</v>
      </c>
      <c r="O420">
        <f t="shared" si="8"/>
        <v>84.73</v>
      </c>
    </row>
    <row r="421" spans="1:15" x14ac:dyDescent="0.35">
      <c r="A421" t="s">
        <v>576</v>
      </c>
      <c r="B421">
        <v>1</v>
      </c>
      <c r="C421">
        <v>21.99</v>
      </c>
      <c r="D421">
        <v>21.99</v>
      </c>
      <c r="E421" t="s">
        <v>577</v>
      </c>
      <c r="F421" t="s">
        <v>1720</v>
      </c>
      <c r="G421" t="s">
        <v>16</v>
      </c>
      <c r="H421">
        <v>3</v>
      </c>
      <c r="I421" t="s">
        <v>12</v>
      </c>
      <c r="J421" t="s">
        <v>13</v>
      </c>
      <c r="K421">
        <v>7</v>
      </c>
      <c r="O421">
        <f t="shared" si="8"/>
        <v>21.99</v>
      </c>
    </row>
    <row r="422" spans="1:15" x14ac:dyDescent="0.35">
      <c r="A422" t="s">
        <v>578</v>
      </c>
      <c r="B422">
        <v>1</v>
      </c>
      <c r="C422">
        <v>18.989999999999998</v>
      </c>
      <c r="D422">
        <v>18.989999999999998</v>
      </c>
      <c r="E422" t="s">
        <v>579</v>
      </c>
      <c r="F422" t="s">
        <v>1721</v>
      </c>
      <c r="G422" t="s">
        <v>16</v>
      </c>
      <c r="H422">
        <v>11</v>
      </c>
      <c r="I422" t="s">
        <v>17</v>
      </c>
      <c r="J422" t="s">
        <v>42</v>
      </c>
      <c r="K422">
        <v>6</v>
      </c>
      <c r="O422">
        <f t="shared" si="8"/>
        <v>21.99</v>
      </c>
    </row>
    <row r="423" spans="1:15" x14ac:dyDescent="0.35">
      <c r="A423" t="s">
        <v>580</v>
      </c>
      <c r="B423">
        <v>1</v>
      </c>
      <c r="C423">
        <v>27.99</v>
      </c>
      <c r="D423">
        <v>27.99</v>
      </c>
      <c r="E423" t="s">
        <v>44</v>
      </c>
      <c r="F423" t="s">
        <v>1722</v>
      </c>
      <c r="G423" t="s">
        <v>16</v>
      </c>
      <c r="H423">
        <v>2</v>
      </c>
      <c r="I423" t="s">
        <v>17</v>
      </c>
      <c r="J423" t="s">
        <v>31</v>
      </c>
      <c r="K423">
        <v>9</v>
      </c>
      <c r="O423">
        <f t="shared" si="8"/>
        <v>21.99</v>
      </c>
    </row>
    <row r="424" spans="1:15" x14ac:dyDescent="0.35">
      <c r="A424" t="s">
        <v>581</v>
      </c>
      <c r="B424">
        <v>2</v>
      </c>
      <c r="C424">
        <v>30.99</v>
      </c>
      <c r="D424">
        <v>53.58</v>
      </c>
      <c r="E424" t="s">
        <v>582</v>
      </c>
      <c r="F424" t="s">
        <v>1723</v>
      </c>
      <c r="G424" t="s">
        <v>21</v>
      </c>
      <c r="H424">
        <v>0</v>
      </c>
      <c r="I424" t="s">
        <v>17</v>
      </c>
      <c r="J424" t="s">
        <v>18</v>
      </c>
      <c r="K424">
        <v>10.5</v>
      </c>
      <c r="O424">
        <f t="shared" si="8"/>
        <v>37.979999999999997</v>
      </c>
    </row>
    <row r="425" spans="1:15" x14ac:dyDescent="0.35">
      <c r="A425" t="s">
        <v>583</v>
      </c>
      <c r="B425">
        <v>1</v>
      </c>
      <c r="C425">
        <v>30.99</v>
      </c>
      <c r="D425">
        <v>30.99</v>
      </c>
      <c r="E425" t="s">
        <v>536</v>
      </c>
      <c r="F425" t="s">
        <v>1724</v>
      </c>
      <c r="G425" t="s">
        <v>11</v>
      </c>
      <c r="H425">
        <v>2</v>
      </c>
      <c r="I425" t="s">
        <v>41</v>
      </c>
      <c r="J425" t="s">
        <v>18</v>
      </c>
      <c r="K425">
        <v>10.5</v>
      </c>
      <c r="O425">
        <f t="shared" si="8"/>
        <v>21.99</v>
      </c>
    </row>
    <row r="426" spans="1:15" x14ac:dyDescent="0.35">
      <c r="A426" t="s">
        <v>584</v>
      </c>
      <c r="B426">
        <v>1</v>
      </c>
      <c r="C426">
        <v>27.99</v>
      </c>
      <c r="D426">
        <v>27.99</v>
      </c>
      <c r="E426" t="s">
        <v>433</v>
      </c>
      <c r="F426" t="s">
        <v>1725</v>
      </c>
      <c r="G426" t="s">
        <v>16</v>
      </c>
      <c r="H426">
        <v>2</v>
      </c>
      <c r="I426" t="s">
        <v>41</v>
      </c>
      <c r="J426" t="s">
        <v>31</v>
      </c>
      <c r="K426">
        <v>9</v>
      </c>
      <c r="O426">
        <f t="shared" si="8"/>
        <v>21.99</v>
      </c>
    </row>
    <row r="427" spans="1:15" x14ac:dyDescent="0.35">
      <c r="A427" t="s">
        <v>585</v>
      </c>
      <c r="B427">
        <v>1</v>
      </c>
      <c r="C427">
        <v>21.99</v>
      </c>
      <c r="D427">
        <v>21.99</v>
      </c>
      <c r="E427" t="s">
        <v>511</v>
      </c>
      <c r="F427" t="s">
        <v>1726</v>
      </c>
      <c r="G427" t="s">
        <v>16</v>
      </c>
      <c r="H427">
        <v>2</v>
      </c>
      <c r="I427" t="s">
        <v>17</v>
      </c>
      <c r="J427" t="s">
        <v>13</v>
      </c>
      <c r="K427">
        <v>7</v>
      </c>
      <c r="O427">
        <f t="shared" si="8"/>
        <v>21.99</v>
      </c>
    </row>
    <row r="428" spans="1:15" x14ac:dyDescent="0.35">
      <c r="A428" t="s">
        <v>586</v>
      </c>
      <c r="B428">
        <v>1</v>
      </c>
      <c r="C428">
        <v>18.989999999999998</v>
      </c>
      <c r="D428">
        <v>18.989999999999998</v>
      </c>
      <c r="E428" t="s">
        <v>587</v>
      </c>
      <c r="F428" t="s">
        <v>1727</v>
      </c>
      <c r="G428" t="s">
        <v>21</v>
      </c>
      <c r="H428">
        <v>0</v>
      </c>
      <c r="I428" t="s">
        <v>12</v>
      </c>
      <c r="J428" t="s">
        <v>42</v>
      </c>
      <c r="K428">
        <v>6</v>
      </c>
      <c r="O428">
        <f t="shared" si="8"/>
        <v>21.99</v>
      </c>
    </row>
    <row r="429" spans="1:15" x14ac:dyDescent="0.35">
      <c r="A429" t="s">
        <v>588</v>
      </c>
      <c r="B429">
        <v>3</v>
      </c>
      <c r="C429">
        <v>30.99</v>
      </c>
      <c r="D429">
        <v>73.31</v>
      </c>
      <c r="E429" t="s">
        <v>589</v>
      </c>
      <c r="F429" t="s">
        <v>1728</v>
      </c>
      <c r="G429" t="s">
        <v>28</v>
      </c>
      <c r="H429">
        <v>0</v>
      </c>
      <c r="I429" t="s">
        <v>41</v>
      </c>
      <c r="J429" t="s">
        <v>18</v>
      </c>
      <c r="K429">
        <v>10.5</v>
      </c>
      <c r="O429">
        <f t="shared" si="8"/>
        <v>84.73</v>
      </c>
    </row>
    <row r="430" spans="1:15" x14ac:dyDescent="0.35">
      <c r="A430" t="s">
        <v>590</v>
      </c>
      <c r="B430">
        <v>1</v>
      </c>
      <c r="C430">
        <v>16.989999999999998</v>
      </c>
      <c r="D430">
        <v>16.989999999999998</v>
      </c>
      <c r="E430" t="s">
        <v>82</v>
      </c>
      <c r="F430" t="s">
        <v>1717</v>
      </c>
      <c r="G430" t="s">
        <v>21</v>
      </c>
      <c r="H430">
        <v>0</v>
      </c>
      <c r="I430" t="s">
        <v>12</v>
      </c>
      <c r="J430" t="s">
        <v>25</v>
      </c>
      <c r="K430">
        <v>5</v>
      </c>
      <c r="O430">
        <f t="shared" si="8"/>
        <v>21.99</v>
      </c>
    </row>
    <row r="431" spans="1:15" x14ac:dyDescent="0.35">
      <c r="A431" t="s">
        <v>591</v>
      </c>
      <c r="B431">
        <v>1</v>
      </c>
      <c r="C431">
        <v>30.99</v>
      </c>
      <c r="D431">
        <v>30.99</v>
      </c>
      <c r="E431" t="s">
        <v>120</v>
      </c>
      <c r="F431" t="s">
        <v>1718</v>
      </c>
      <c r="G431" t="s">
        <v>21</v>
      </c>
      <c r="H431">
        <v>0</v>
      </c>
      <c r="I431" t="s">
        <v>41</v>
      </c>
      <c r="J431" t="s">
        <v>18</v>
      </c>
      <c r="K431">
        <v>10.5</v>
      </c>
      <c r="O431">
        <f t="shared" si="8"/>
        <v>21.99</v>
      </c>
    </row>
    <row r="432" spans="1:15" x14ac:dyDescent="0.35">
      <c r="A432" t="s">
        <v>592</v>
      </c>
      <c r="B432">
        <v>1</v>
      </c>
      <c r="C432">
        <v>18.989999999999998</v>
      </c>
      <c r="D432">
        <v>18.989999999999998</v>
      </c>
      <c r="E432" t="s">
        <v>593</v>
      </c>
      <c r="F432" t="s">
        <v>1719</v>
      </c>
      <c r="G432" t="s">
        <v>16</v>
      </c>
      <c r="H432">
        <v>17</v>
      </c>
      <c r="I432" t="s">
        <v>17</v>
      </c>
      <c r="J432" t="s">
        <v>42</v>
      </c>
      <c r="K432">
        <v>6</v>
      </c>
      <c r="O432">
        <f t="shared" si="8"/>
        <v>21.99</v>
      </c>
    </row>
    <row r="433" spans="1:15" x14ac:dyDescent="0.35">
      <c r="A433" t="s">
        <v>594</v>
      </c>
      <c r="B433">
        <v>1</v>
      </c>
      <c r="C433">
        <v>18.989999999999998</v>
      </c>
      <c r="D433">
        <v>18.989999999999998</v>
      </c>
      <c r="E433" t="s">
        <v>595</v>
      </c>
      <c r="F433" t="s">
        <v>1720</v>
      </c>
      <c r="G433" t="s">
        <v>21</v>
      </c>
      <c r="H433">
        <v>0</v>
      </c>
      <c r="I433" t="s">
        <v>41</v>
      </c>
      <c r="J433" t="s">
        <v>42</v>
      </c>
      <c r="K433">
        <v>6</v>
      </c>
      <c r="O433">
        <f t="shared" si="8"/>
        <v>21.99</v>
      </c>
    </row>
    <row r="434" spans="1:15" x14ac:dyDescent="0.35">
      <c r="A434" t="s">
        <v>596</v>
      </c>
      <c r="B434">
        <v>2</v>
      </c>
      <c r="C434">
        <v>21.99</v>
      </c>
      <c r="D434">
        <v>37.85</v>
      </c>
      <c r="E434" t="s">
        <v>118</v>
      </c>
      <c r="F434" t="s">
        <v>1721</v>
      </c>
      <c r="G434" t="s">
        <v>21</v>
      </c>
      <c r="H434">
        <v>0</v>
      </c>
      <c r="I434" t="s">
        <v>41</v>
      </c>
      <c r="J434" t="s">
        <v>13</v>
      </c>
      <c r="K434">
        <v>7</v>
      </c>
      <c r="O434">
        <f t="shared" si="8"/>
        <v>37.979999999999997</v>
      </c>
    </row>
    <row r="435" spans="1:15" x14ac:dyDescent="0.35">
      <c r="A435" t="s">
        <v>597</v>
      </c>
      <c r="B435">
        <v>1</v>
      </c>
      <c r="C435">
        <v>16.989999999999998</v>
      </c>
      <c r="D435">
        <v>16.989999999999998</v>
      </c>
      <c r="E435" t="s">
        <v>598</v>
      </c>
      <c r="F435" t="s">
        <v>1722</v>
      </c>
      <c r="G435" t="s">
        <v>11</v>
      </c>
      <c r="H435">
        <v>19</v>
      </c>
      <c r="I435" t="s">
        <v>41</v>
      </c>
      <c r="J435" t="s">
        <v>25</v>
      </c>
      <c r="K435">
        <v>5</v>
      </c>
      <c r="O435">
        <f t="shared" si="8"/>
        <v>21.99</v>
      </c>
    </row>
    <row r="436" spans="1:15" x14ac:dyDescent="0.35">
      <c r="A436" t="s">
        <v>599</v>
      </c>
      <c r="B436">
        <v>1</v>
      </c>
      <c r="C436">
        <v>21.99</v>
      </c>
      <c r="D436">
        <v>21.99</v>
      </c>
      <c r="E436" t="s">
        <v>600</v>
      </c>
      <c r="F436" t="s">
        <v>1723</v>
      </c>
      <c r="G436" t="s">
        <v>16</v>
      </c>
      <c r="H436">
        <v>3</v>
      </c>
      <c r="I436" t="s">
        <v>41</v>
      </c>
      <c r="J436" t="s">
        <v>13</v>
      </c>
      <c r="K436">
        <v>7</v>
      </c>
      <c r="O436">
        <f t="shared" si="8"/>
        <v>21.99</v>
      </c>
    </row>
    <row r="437" spans="1:15" x14ac:dyDescent="0.35">
      <c r="A437" t="s">
        <v>601</v>
      </c>
      <c r="B437">
        <v>1</v>
      </c>
      <c r="C437">
        <v>34.99</v>
      </c>
      <c r="D437">
        <v>34.99</v>
      </c>
      <c r="E437" t="s">
        <v>602</v>
      </c>
      <c r="F437" t="s">
        <v>1724</v>
      </c>
      <c r="G437" t="s">
        <v>16</v>
      </c>
      <c r="H437">
        <v>11</v>
      </c>
      <c r="I437" t="s">
        <v>24</v>
      </c>
      <c r="J437" t="s">
        <v>36</v>
      </c>
      <c r="K437">
        <v>12.5</v>
      </c>
      <c r="O437">
        <f t="shared" si="8"/>
        <v>21.99</v>
      </c>
    </row>
    <row r="438" spans="1:15" x14ac:dyDescent="0.35">
      <c r="A438" t="s">
        <v>603</v>
      </c>
      <c r="B438">
        <v>1</v>
      </c>
      <c r="C438">
        <v>21.99</v>
      </c>
      <c r="D438">
        <v>21.99</v>
      </c>
      <c r="E438" t="s">
        <v>551</v>
      </c>
      <c r="F438" t="s">
        <v>1725</v>
      </c>
      <c r="G438" t="s">
        <v>16</v>
      </c>
      <c r="H438">
        <v>2</v>
      </c>
      <c r="I438" t="s">
        <v>24</v>
      </c>
      <c r="J438" t="s">
        <v>13</v>
      </c>
      <c r="K438">
        <v>7</v>
      </c>
      <c r="O438">
        <f t="shared" si="8"/>
        <v>21.99</v>
      </c>
    </row>
    <row r="439" spans="1:15" x14ac:dyDescent="0.35">
      <c r="A439" t="s">
        <v>604</v>
      </c>
      <c r="B439">
        <v>1</v>
      </c>
      <c r="C439">
        <v>27.99</v>
      </c>
      <c r="D439">
        <v>27.99</v>
      </c>
      <c r="E439" t="s">
        <v>467</v>
      </c>
      <c r="F439" t="s">
        <v>1726</v>
      </c>
      <c r="G439" t="s">
        <v>87</v>
      </c>
      <c r="H439">
        <v>0</v>
      </c>
      <c r="I439" t="s">
        <v>24</v>
      </c>
      <c r="J439" t="s">
        <v>31</v>
      </c>
      <c r="K439">
        <v>9</v>
      </c>
      <c r="O439">
        <f t="shared" si="8"/>
        <v>21.99</v>
      </c>
    </row>
    <row r="440" spans="1:15" x14ac:dyDescent="0.35">
      <c r="A440" t="s">
        <v>605</v>
      </c>
      <c r="B440">
        <v>1</v>
      </c>
      <c r="C440">
        <v>21.99</v>
      </c>
      <c r="D440">
        <v>21.99</v>
      </c>
      <c r="E440" t="s">
        <v>606</v>
      </c>
      <c r="F440" t="s">
        <v>1727</v>
      </c>
      <c r="G440" t="s">
        <v>16</v>
      </c>
      <c r="H440">
        <v>2</v>
      </c>
      <c r="I440" t="s">
        <v>12</v>
      </c>
      <c r="J440" t="s">
        <v>13</v>
      </c>
      <c r="K440">
        <v>7</v>
      </c>
      <c r="O440">
        <f t="shared" si="8"/>
        <v>21.99</v>
      </c>
    </row>
    <row r="441" spans="1:15" x14ac:dyDescent="0.35">
      <c r="A441" t="s">
        <v>607</v>
      </c>
      <c r="B441">
        <v>2</v>
      </c>
      <c r="C441">
        <v>16.989999999999998</v>
      </c>
      <c r="D441">
        <v>29.24</v>
      </c>
      <c r="E441" t="s">
        <v>608</v>
      </c>
      <c r="F441" t="s">
        <v>1728</v>
      </c>
      <c r="G441" t="s">
        <v>16</v>
      </c>
      <c r="H441">
        <v>25</v>
      </c>
      <c r="I441" t="s">
        <v>24</v>
      </c>
      <c r="J441" t="s">
        <v>25</v>
      </c>
      <c r="K441">
        <v>5</v>
      </c>
      <c r="O441">
        <f t="shared" si="8"/>
        <v>37.979999999999997</v>
      </c>
    </row>
    <row r="442" spans="1:15" x14ac:dyDescent="0.35">
      <c r="A442" t="s">
        <v>609</v>
      </c>
      <c r="B442">
        <v>1</v>
      </c>
      <c r="C442">
        <v>21.99</v>
      </c>
      <c r="D442">
        <v>21.99</v>
      </c>
      <c r="E442" t="s">
        <v>610</v>
      </c>
      <c r="F442" t="s">
        <v>1717</v>
      </c>
      <c r="G442" t="s">
        <v>16</v>
      </c>
      <c r="H442">
        <v>2</v>
      </c>
      <c r="I442" t="s">
        <v>12</v>
      </c>
      <c r="J442" t="s">
        <v>13</v>
      </c>
      <c r="K442">
        <v>7</v>
      </c>
      <c r="O442">
        <f t="shared" si="8"/>
        <v>21.99</v>
      </c>
    </row>
    <row r="443" spans="1:15" x14ac:dyDescent="0.35">
      <c r="A443" t="s">
        <v>611</v>
      </c>
      <c r="B443">
        <v>1</v>
      </c>
      <c r="C443">
        <v>21.99</v>
      </c>
      <c r="D443">
        <v>21.99</v>
      </c>
      <c r="E443" t="s">
        <v>79</v>
      </c>
      <c r="F443" t="s">
        <v>1718</v>
      </c>
      <c r="G443" t="s">
        <v>16</v>
      </c>
      <c r="H443">
        <v>2</v>
      </c>
      <c r="I443" t="s">
        <v>24</v>
      </c>
      <c r="J443" t="s">
        <v>13</v>
      </c>
      <c r="K443">
        <v>7</v>
      </c>
      <c r="O443">
        <f t="shared" si="8"/>
        <v>21.99</v>
      </c>
    </row>
    <row r="444" spans="1:15" x14ac:dyDescent="0.35">
      <c r="A444" t="s">
        <v>612</v>
      </c>
      <c r="B444">
        <v>1</v>
      </c>
      <c r="C444">
        <v>16.989999999999998</v>
      </c>
      <c r="D444">
        <v>16.989999999999998</v>
      </c>
      <c r="E444" t="s">
        <v>84</v>
      </c>
      <c r="F444" t="s">
        <v>1719</v>
      </c>
      <c r="G444" t="s">
        <v>11</v>
      </c>
      <c r="H444">
        <v>16</v>
      </c>
      <c r="I444" t="s">
        <v>41</v>
      </c>
      <c r="J444" t="s">
        <v>25</v>
      </c>
      <c r="K444">
        <v>5</v>
      </c>
      <c r="O444">
        <f t="shared" si="8"/>
        <v>21.99</v>
      </c>
    </row>
    <row r="445" spans="1:15" x14ac:dyDescent="0.35">
      <c r="A445" t="s">
        <v>613</v>
      </c>
      <c r="B445">
        <v>2</v>
      </c>
      <c r="C445">
        <v>34.99</v>
      </c>
      <c r="D445">
        <v>60.08</v>
      </c>
      <c r="E445" t="s">
        <v>614</v>
      </c>
      <c r="F445" t="s">
        <v>1720</v>
      </c>
      <c r="G445" t="s">
        <v>16</v>
      </c>
      <c r="H445">
        <v>11</v>
      </c>
      <c r="I445" t="s">
        <v>17</v>
      </c>
      <c r="J445" t="s">
        <v>36</v>
      </c>
      <c r="K445">
        <v>12.5</v>
      </c>
      <c r="O445">
        <f t="shared" si="8"/>
        <v>37.979999999999997</v>
      </c>
    </row>
    <row r="446" spans="1:15" x14ac:dyDescent="0.35">
      <c r="A446" t="s">
        <v>615</v>
      </c>
      <c r="B446">
        <v>1</v>
      </c>
      <c r="C446">
        <v>18.989999999999998</v>
      </c>
      <c r="D446">
        <v>18.989999999999998</v>
      </c>
      <c r="E446" t="s">
        <v>616</v>
      </c>
      <c r="F446" t="s">
        <v>1721</v>
      </c>
      <c r="G446" t="s">
        <v>21</v>
      </c>
      <c r="H446">
        <v>0</v>
      </c>
      <c r="I446" t="s">
        <v>17</v>
      </c>
      <c r="J446" t="s">
        <v>42</v>
      </c>
      <c r="K446">
        <v>6</v>
      </c>
      <c r="O446">
        <f t="shared" si="8"/>
        <v>21.99</v>
      </c>
    </row>
    <row r="447" spans="1:15" x14ac:dyDescent="0.35">
      <c r="A447" t="s">
        <v>617</v>
      </c>
      <c r="B447">
        <v>1</v>
      </c>
      <c r="C447">
        <v>21.99</v>
      </c>
      <c r="D447">
        <v>21.99</v>
      </c>
      <c r="E447" t="s">
        <v>618</v>
      </c>
      <c r="F447" t="s">
        <v>1722</v>
      </c>
      <c r="G447" t="s">
        <v>21</v>
      </c>
      <c r="H447">
        <v>0</v>
      </c>
      <c r="I447" t="s">
        <v>17</v>
      </c>
      <c r="J447" t="s">
        <v>13</v>
      </c>
      <c r="K447">
        <v>7</v>
      </c>
      <c r="O447">
        <f t="shared" si="8"/>
        <v>21.99</v>
      </c>
    </row>
    <row r="448" spans="1:15" x14ac:dyDescent="0.35">
      <c r="A448" t="s">
        <v>619</v>
      </c>
      <c r="B448">
        <v>2</v>
      </c>
      <c r="C448">
        <v>16.989999999999998</v>
      </c>
      <c r="D448">
        <v>29.59</v>
      </c>
      <c r="E448" t="s">
        <v>264</v>
      </c>
      <c r="F448" t="s">
        <v>1723</v>
      </c>
      <c r="G448" t="s">
        <v>16</v>
      </c>
      <c r="H448">
        <v>18</v>
      </c>
      <c r="I448" t="s">
        <v>41</v>
      </c>
      <c r="J448" t="s">
        <v>25</v>
      </c>
      <c r="K448">
        <v>5</v>
      </c>
      <c r="O448">
        <f t="shared" si="8"/>
        <v>37.979999999999997</v>
      </c>
    </row>
    <row r="449" spans="1:15" x14ac:dyDescent="0.35">
      <c r="A449" t="s">
        <v>620</v>
      </c>
      <c r="B449">
        <v>1</v>
      </c>
      <c r="C449">
        <v>18.989999999999998</v>
      </c>
      <c r="D449">
        <v>18.989999999999998</v>
      </c>
      <c r="E449" t="s">
        <v>621</v>
      </c>
      <c r="F449" t="s">
        <v>1724</v>
      </c>
      <c r="G449" t="s">
        <v>21</v>
      </c>
      <c r="H449">
        <v>0</v>
      </c>
      <c r="I449" t="s">
        <v>24</v>
      </c>
      <c r="J449" t="s">
        <v>42</v>
      </c>
      <c r="K449">
        <v>6</v>
      </c>
      <c r="O449">
        <f t="shared" si="8"/>
        <v>21.99</v>
      </c>
    </row>
    <row r="450" spans="1:15" x14ac:dyDescent="0.35">
      <c r="A450" t="s">
        <v>622</v>
      </c>
      <c r="B450">
        <v>1</v>
      </c>
      <c r="C450">
        <v>27.99</v>
      </c>
      <c r="D450">
        <v>27.99</v>
      </c>
      <c r="E450" t="s">
        <v>623</v>
      </c>
      <c r="F450" t="s">
        <v>1725</v>
      </c>
      <c r="G450" t="s">
        <v>16</v>
      </c>
      <c r="H450">
        <v>2</v>
      </c>
      <c r="I450" t="s">
        <v>17</v>
      </c>
      <c r="J450" t="s">
        <v>31</v>
      </c>
      <c r="K450">
        <v>9</v>
      </c>
      <c r="O450">
        <f t="shared" ref="O450:O513" si="9">VLOOKUP(B:B,B:H,3,FALSE)</f>
        <v>21.99</v>
      </c>
    </row>
    <row r="451" spans="1:15" x14ac:dyDescent="0.35">
      <c r="A451" t="s">
        <v>624</v>
      </c>
      <c r="B451">
        <v>2</v>
      </c>
      <c r="C451">
        <v>30.99</v>
      </c>
      <c r="D451">
        <v>54.2</v>
      </c>
      <c r="E451" t="s">
        <v>625</v>
      </c>
      <c r="F451" t="s">
        <v>1726</v>
      </c>
      <c r="G451" t="s">
        <v>28</v>
      </c>
      <c r="H451">
        <v>0</v>
      </c>
      <c r="I451" t="s">
        <v>41</v>
      </c>
      <c r="J451" t="s">
        <v>18</v>
      </c>
      <c r="K451">
        <v>10.5</v>
      </c>
      <c r="O451">
        <f t="shared" si="9"/>
        <v>37.979999999999997</v>
      </c>
    </row>
    <row r="452" spans="1:15" x14ac:dyDescent="0.35">
      <c r="A452" t="s">
        <v>626</v>
      </c>
      <c r="B452">
        <v>1</v>
      </c>
      <c r="C452">
        <v>18.989999999999998</v>
      </c>
      <c r="D452">
        <v>18.989999999999998</v>
      </c>
      <c r="E452" t="s">
        <v>627</v>
      </c>
      <c r="F452" t="s">
        <v>1727</v>
      </c>
      <c r="G452" t="s">
        <v>16</v>
      </c>
      <c r="H452">
        <v>14</v>
      </c>
      <c r="I452" t="s">
        <v>41</v>
      </c>
      <c r="J452" t="s">
        <v>42</v>
      </c>
      <c r="K452">
        <v>6</v>
      </c>
      <c r="O452">
        <f t="shared" si="9"/>
        <v>21.99</v>
      </c>
    </row>
    <row r="453" spans="1:15" x14ac:dyDescent="0.35">
      <c r="A453" t="s">
        <v>628</v>
      </c>
      <c r="B453">
        <v>1</v>
      </c>
      <c r="C453">
        <v>18.989999999999998</v>
      </c>
      <c r="D453">
        <v>18.989999999999998</v>
      </c>
      <c r="E453" t="s">
        <v>158</v>
      </c>
      <c r="F453" t="s">
        <v>1728</v>
      </c>
      <c r="G453" t="s">
        <v>11</v>
      </c>
      <c r="H453">
        <v>13</v>
      </c>
      <c r="I453" t="s">
        <v>41</v>
      </c>
      <c r="J453" t="s">
        <v>42</v>
      </c>
      <c r="K453">
        <v>6</v>
      </c>
      <c r="O453">
        <f t="shared" si="9"/>
        <v>21.99</v>
      </c>
    </row>
    <row r="454" spans="1:15" x14ac:dyDescent="0.35">
      <c r="A454" t="s">
        <v>629</v>
      </c>
      <c r="B454">
        <v>3</v>
      </c>
      <c r="C454">
        <v>21.99</v>
      </c>
      <c r="D454">
        <v>52.48</v>
      </c>
      <c r="E454" t="s">
        <v>630</v>
      </c>
      <c r="F454" t="s">
        <v>1717</v>
      </c>
      <c r="G454" t="s">
        <v>16</v>
      </c>
      <c r="H454">
        <v>3</v>
      </c>
      <c r="I454" t="s">
        <v>17</v>
      </c>
      <c r="J454" t="s">
        <v>13</v>
      </c>
      <c r="K454">
        <v>7</v>
      </c>
      <c r="O454">
        <f t="shared" si="9"/>
        <v>84.73</v>
      </c>
    </row>
    <row r="455" spans="1:15" x14ac:dyDescent="0.35">
      <c r="A455" t="s">
        <v>631</v>
      </c>
      <c r="B455">
        <v>1</v>
      </c>
      <c r="C455">
        <v>16.989999999999998</v>
      </c>
      <c r="D455">
        <v>16.989999999999998</v>
      </c>
      <c r="E455" t="s">
        <v>632</v>
      </c>
      <c r="F455" t="s">
        <v>1718</v>
      </c>
      <c r="G455" t="s">
        <v>21</v>
      </c>
      <c r="H455">
        <v>0</v>
      </c>
      <c r="I455" t="s">
        <v>12</v>
      </c>
      <c r="J455" t="s">
        <v>25</v>
      </c>
      <c r="K455">
        <v>5</v>
      </c>
      <c r="O455">
        <f t="shared" si="9"/>
        <v>21.99</v>
      </c>
    </row>
    <row r="456" spans="1:15" x14ac:dyDescent="0.35">
      <c r="A456" t="s">
        <v>633</v>
      </c>
      <c r="B456">
        <v>1</v>
      </c>
      <c r="C456">
        <v>16.989999999999998</v>
      </c>
      <c r="D456">
        <v>16.989999999999998</v>
      </c>
      <c r="E456" t="s">
        <v>634</v>
      </c>
      <c r="F456" t="s">
        <v>1719</v>
      </c>
      <c r="G456" t="s">
        <v>16</v>
      </c>
      <c r="H456">
        <v>16</v>
      </c>
      <c r="I456" t="s">
        <v>41</v>
      </c>
      <c r="J456" t="s">
        <v>25</v>
      </c>
      <c r="K456">
        <v>5</v>
      </c>
      <c r="O456">
        <f t="shared" si="9"/>
        <v>21.99</v>
      </c>
    </row>
    <row r="457" spans="1:15" x14ac:dyDescent="0.35">
      <c r="A457" t="s">
        <v>635</v>
      </c>
      <c r="B457">
        <v>1</v>
      </c>
      <c r="C457">
        <v>34.99</v>
      </c>
      <c r="D457">
        <v>34.99</v>
      </c>
      <c r="E457" t="s">
        <v>636</v>
      </c>
      <c r="F457" t="s">
        <v>1720</v>
      </c>
      <c r="G457" t="s">
        <v>16</v>
      </c>
      <c r="H457">
        <v>7</v>
      </c>
      <c r="I457" t="s">
        <v>24</v>
      </c>
      <c r="J457" t="s">
        <v>36</v>
      </c>
      <c r="K457">
        <v>12.5</v>
      </c>
      <c r="O457">
        <f t="shared" si="9"/>
        <v>21.99</v>
      </c>
    </row>
    <row r="458" spans="1:15" x14ac:dyDescent="0.35">
      <c r="A458" t="s">
        <v>637</v>
      </c>
      <c r="B458">
        <v>1</v>
      </c>
      <c r="C458">
        <v>16.989999999999998</v>
      </c>
      <c r="D458">
        <v>16.989999999999998</v>
      </c>
      <c r="E458" t="s">
        <v>96</v>
      </c>
      <c r="F458" t="s">
        <v>1721</v>
      </c>
      <c r="G458" t="s">
        <v>16</v>
      </c>
      <c r="H458">
        <v>17</v>
      </c>
      <c r="I458" t="s">
        <v>17</v>
      </c>
      <c r="J458" t="s">
        <v>25</v>
      </c>
      <c r="K458">
        <v>5</v>
      </c>
      <c r="O458">
        <f t="shared" si="9"/>
        <v>21.99</v>
      </c>
    </row>
    <row r="459" spans="1:15" x14ac:dyDescent="0.35">
      <c r="A459" t="s">
        <v>638</v>
      </c>
      <c r="B459">
        <v>1</v>
      </c>
      <c r="C459">
        <v>34.99</v>
      </c>
      <c r="D459">
        <v>34.99</v>
      </c>
      <c r="E459" t="s">
        <v>639</v>
      </c>
      <c r="F459" t="s">
        <v>1722</v>
      </c>
      <c r="G459" t="s">
        <v>21</v>
      </c>
      <c r="H459">
        <v>0</v>
      </c>
      <c r="I459" t="s">
        <v>41</v>
      </c>
      <c r="J459" t="s">
        <v>36</v>
      </c>
      <c r="K459">
        <v>12.5</v>
      </c>
      <c r="O459">
        <f t="shared" si="9"/>
        <v>21.99</v>
      </c>
    </row>
    <row r="460" spans="1:15" x14ac:dyDescent="0.35">
      <c r="A460" t="s">
        <v>640</v>
      </c>
      <c r="B460">
        <v>1</v>
      </c>
      <c r="C460">
        <v>30.99</v>
      </c>
      <c r="D460">
        <v>30.99</v>
      </c>
      <c r="E460" t="s">
        <v>465</v>
      </c>
      <c r="F460" t="s">
        <v>1723</v>
      </c>
      <c r="G460" t="s">
        <v>16</v>
      </c>
      <c r="H460">
        <v>3</v>
      </c>
      <c r="I460" t="s">
        <v>41</v>
      </c>
      <c r="J460" t="s">
        <v>18</v>
      </c>
      <c r="K460">
        <v>10.5</v>
      </c>
      <c r="O460">
        <f t="shared" si="9"/>
        <v>21.99</v>
      </c>
    </row>
    <row r="461" spans="1:15" x14ac:dyDescent="0.35">
      <c r="A461" t="s">
        <v>641</v>
      </c>
      <c r="B461">
        <v>1</v>
      </c>
      <c r="C461">
        <v>16.989999999999998</v>
      </c>
      <c r="D461">
        <v>16.989999999999998</v>
      </c>
      <c r="E461" t="s">
        <v>642</v>
      </c>
      <c r="F461" t="s">
        <v>1724</v>
      </c>
      <c r="G461" t="s">
        <v>87</v>
      </c>
      <c r="H461">
        <v>0</v>
      </c>
      <c r="I461" t="s">
        <v>41</v>
      </c>
      <c r="J461" t="s">
        <v>25</v>
      </c>
      <c r="K461">
        <v>5</v>
      </c>
      <c r="O461">
        <f t="shared" si="9"/>
        <v>21.99</v>
      </c>
    </row>
    <row r="462" spans="1:15" x14ac:dyDescent="0.35">
      <c r="A462" t="s">
        <v>643</v>
      </c>
      <c r="B462">
        <v>1</v>
      </c>
      <c r="C462">
        <v>34.99</v>
      </c>
      <c r="D462">
        <v>34.99</v>
      </c>
      <c r="E462" t="s">
        <v>644</v>
      </c>
      <c r="F462" t="s">
        <v>1725</v>
      </c>
      <c r="G462" t="s">
        <v>16</v>
      </c>
      <c r="H462">
        <v>8</v>
      </c>
      <c r="I462" t="s">
        <v>17</v>
      </c>
      <c r="J462" t="s">
        <v>36</v>
      </c>
      <c r="K462">
        <v>12.5</v>
      </c>
      <c r="O462">
        <f t="shared" si="9"/>
        <v>21.99</v>
      </c>
    </row>
    <row r="463" spans="1:15" x14ac:dyDescent="0.35">
      <c r="A463" t="s">
        <v>645</v>
      </c>
      <c r="B463">
        <v>1</v>
      </c>
      <c r="C463">
        <v>34.99</v>
      </c>
      <c r="D463">
        <v>34.99</v>
      </c>
      <c r="E463" t="s">
        <v>582</v>
      </c>
      <c r="F463" t="s">
        <v>1726</v>
      </c>
      <c r="G463" t="s">
        <v>16</v>
      </c>
      <c r="H463">
        <v>5</v>
      </c>
      <c r="I463" t="s">
        <v>17</v>
      </c>
      <c r="J463" t="s">
        <v>36</v>
      </c>
      <c r="K463">
        <v>12.5</v>
      </c>
      <c r="O463">
        <f t="shared" si="9"/>
        <v>21.99</v>
      </c>
    </row>
    <row r="464" spans="1:15" x14ac:dyDescent="0.35">
      <c r="A464" t="s">
        <v>646</v>
      </c>
      <c r="B464">
        <v>1</v>
      </c>
      <c r="C464">
        <v>34.99</v>
      </c>
      <c r="D464">
        <v>34.99</v>
      </c>
      <c r="E464" t="s">
        <v>54</v>
      </c>
      <c r="F464" t="s">
        <v>1727</v>
      </c>
      <c r="G464" t="s">
        <v>16</v>
      </c>
      <c r="H464">
        <v>8</v>
      </c>
      <c r="I464" t="s">
        <v>12</v>
      </c>
      <c r="J464" t="s">
        <v>36</v>
      </c>
      <c r="K464">
        <v>12.5</v>
      </c>
      <c r="O464">
        <f t="shared" si="9"/>
        <v>21.99</v>
      </c>
    </row>
    <row r="465" spans="1:15" x14ac:dyDescent="0.35">
      <c r="A465" t="s">
        <v>647</v>
      </c>
      <c r="B465">
        <v>1</v>
      </c>
      <c r="C465">
        <v>30.99</v>
      </c>
      <c r="D465">
        <v>30.99</v>
      </c>
      <c r="E465" t="s">
        <v>648</v>
      </c>
      <c r="F465" t="s">
        <v>1728</v>
      </c>
      <c r="G465" t="s">
        <v>16</v>
      </c>
      <c r="H465">
        <v>3</v>
      </c>
      <c r="I465" t="s">
        <v>24</v>
      </c>
      <c r="J465" t="s">
        <v>18</v>
      </c>
      <c r="K465">
        <v>10.5</v>
      </c>
      <c r="O465">
        <f t="shared" si="9"/>
        <v>21.99</v>
      </c>
    </row>
    <row r="466" spans="1:15" x14ac:dyDescent="0.35">
      <c r="A466" t="s">
        <v>649</v>
      </c>
      <c r="B466">
        <v>2</v>
      </c>
      <c r="C466">
        <v>18.989999999999998</v>
      </c>
      <c r="D466">
        <v>32.61</v>
      </c>
      <c r="E466" t="s">
        <v>427</v>
      </c>
      <c r="F466" t="s">
        <v>1717</v>
      </c>
      <c r="G466" t="s">
        <v>16</v>
      </c>
      <c r="H466">
        <v>18</v>
      </c>
      <c r="I466" t="s">
        <v>41</v>
      </c>
      <c r="J466" t="s">
        <v>42</v>
      </c>
      <c r="K466">
        <v>6</v>
      </c>
      <c r="O466">
        <f t="shared" si="9"/>
        <v>37.979999999999997</v>
      </c>
    </row>
    <row r="467" spans="1:15" x14ac:dyDescent="0.35">
      <c r="A467" t="s">
        <v>650</v>
      </c>
      <c r="B467">
        <v>1</v>
      </c>
      <c r="C467">
        <v>34.99</v>
      </c>
      <c r="D467">
        <v>34.99</v>
      </c>
      <c r="E467" t="s">
        <v>651</v>
      </c>
      <c r="F467" t="s">
        <v>1718</v>
      </c>
      <c r="G467" t="s">
        <v>16</v>
      </c>
      <c r="H467">
        <v>6</v>
      </c>
      <c r="I467" t="s">
        <v>41</v>
      </c>
      <c r="J467" t="s">
        <v>36</v>
      </c>
      <c r="K467">
        <v>12.5</v>
      </c>
      <c r="O467">
        <f t="shared" si="9"/>
        <v>21.99</v>
      </c>
    </row>
    <row r="468" spans="1:15" x14ac:dyDescent="0.35">
      <c r="A468" t="s">
        <v>652</v>
      </c>
      <c r="B468">
        <v>3</v>
      </c>
      <c r="C468">
        <v>34.99</v>
      </c>
      <c r="D468">
        <v>83.83</v>
      </c>
      <c r="E468" t="s">
        <v>156</v>
      </c>
      <c r="F468" t="s">
        <v>1719</v>
      </c>
      <c r="G468" t="s">
        <v>21</v>
      </c>
      <c r="H468">
        <v>0</v>
      </c>
      <c r="I468" t="s">
        <v>41</v>
      </c>
      <c r="J468" t="s">
        <v>36</v>
      </c>
      <c r="K468">
        <v>12.5</v>
      </c>
      <c r="O468">
        <f t="shared" si="9"/>
        <v>84.73</v>
      </c>
    </row>
    <row r="469" spans="1:15" x14ac:dyDescent="0.35">
      <c r="A469" t="s">
        <v>653</v>
      </c>
      <c r="B469">
        <v>3</v>
      </c>
      <c r="C469">
        <v>21.99</v>
      </c>
      <c r="D469">
        <v>51.88</v>
      </c>
      <c r="E469" t="s">
        <v>166</v>
      </c>
      <c r="F469" t="s">
        <v>1720</v>
      </c>
      <c r="G469" t="s">
        <v>16</v>
      </c>
      <c r="H469">
        <v>3</v>
      </c>
      <c r="I469" t="s">
        <v>12</v>
      </c>
      <c r="J469" t="s">
        <v>13</v>
      </c>
      <c r="K469">
        <v>7</v>
      </c>
      <c r="O469">
        <f t="shared" si="9"/>
        <v>84.73</v>
      </c>
    </row>
    <row r="470" spans="1:15" x14ac:dyDescent="0.35">
      <c r="A470" t="s">
        <v>654</v>
      </c>
      <c r="B470">
        <v>2</v>
      </c>
      <c r="C470">
        <v>27.99</v>
      </c>
      <c r="D470">
        <v>48.65</v>
      </c>
      <c r="E470" t="s">
        <v>655</v>
      </c>
      <c r="F470" t="s">
        <v>1721</v>
      </c>
      <c r="G470" t="s">
        <v>28</v>
      </c>
      <c r="H470">
        <v>0</v>
      </c>
      <c r="I470" t="s">
        <v>17</v>
      </c>
      <c r="J470" t="s">
        <v>31</v>
      </c>
      <c r="K470">
        <v>9</v>
      </c>
      <c r="O470">
        <f t="shared" si="9"/>
        <v>37.979999999999997</v>
      </c>
    </row>
    <row r="471" spans="1:15" x14ac:dyDescent="0.35">
      <c r="A471" t="s">
        <v>656</v>
      </c>
      <c r="B471">
        <v>1</v>
      </c>
      <c r="C471">
        <v>18.989999999999998</v>
      </c>
      <c r="D471">
        <v>18.989999999999998</v>
      </c>
      <c r="E471" t="s">
        <v>657</v>
      </c>
      <c r="F471" t="s">
        <v>1722</v>
      </c>
      <c r="G471" t="s">
        <v>16</v>
      </c>
      <c r="H471">
        <v>10</v>
      </c>
      <c r="I471" t="s">
        <v>17</v>
      </c>
      <c r="J471" t="s">
        <v>42</v>
      </c>
      <c r="K471">
        <v>6</v>
      </c>
      <c r="O471">
        <f t="shared" si="9"/>
        <v>21.99</v>
      </c>
    </row>
    <row r="472" spans="1:15" x14ac:dyDescent="0.35">
      <c r="A472" t="s">
        <v>658</v>
      </c>
      <c r="B472">
        <v>3</v>
      </c>
      <c r="C472">
        <v>18.989999999999998</v>
      </c>
      <c r="D472">
        <v>45.77</v>
      </c>
      <c r="E472" t="s">
        <v>82</v>
      </c>
      <c r="F472" t="s">
        <v>1723</v>
      </c>
      <c r="G472" t="s">
        <v>16</v>
      </c>
      <c r="H472">
        <v>12</v>
      </c>
      <c r="I472" t="s">
        <v>17</v>
      </c>
      <c r="J472" t="s">
        <v>42</v>
      </c>
      <c r="K472">
        <v>6</v>
      </c>
      <c r="O472">
        <f t="shared" si="9"/>
        <v>84.73</v>
      </c>
    </row>
    <row r="473" spans="1:15" x14ac:dyDescent="0.35">
      <c r="A473" t="s">
        <v>659</v>
      </c>
      <c r="B473">
        <v>1</v>
      </c>
      <c r="C473">
        <v>21.99</v>
      </c>
      <c r="D473">
        <v>21.99</v>
      </c>
      <c r="E473" t="s">
        <v>660</v>
      </c>
      <c r="F473" t="s">
        <v>1724</v>
      </c>
      <c r="G473" t="s">
        <v>16</v>
      </c>
      <c r="H473">
        <v>2</v>
      </c>
      <c r="I473" t="s">
        <v>17</v>
      </c>
      <c r="J473" t="s">
        <v>13</v>
      </c>
      <c r="K473">
        <v>7</v>
      </c>
      <c r="O473">
        <f t="shared" si="9"/>
        <v>21.99</v>
      </c>
    </row>
    <row r="474" spans="1:15" x14ac:dyDescent="0.35">
      <c r="A474" t="s">
        <v>661</v>
      </c>
      <c r="B474">
        <v>1</v>
      </c>
      <c r="C474">
        <v>34.99</v>
      </c>
      <c r="D474">
        <v>34.99</v>
      </c>
      <c r="E474" t="s">
        <v>524</v>
      </c>
      <c r="F474" t="s">
        <v>1725</v>
      </c>
      <c r="G474" t="s">
        <v>16</v>
      </c>
      <c r="H474">
        <v>5</v>
      </c>
      <c r="I474" t="s">
        <v>24</v>
      </c>
      <c r="J474" t="s">
        <v>36</v>
      </c>
      <c r="K474">
        <v>12.5</v>
      </c>
      <c r="O474">
        <f t="shared" si="9"/>
        <v>21.99</v>
      </c>
    </row>
    <row r="475" spans="1:15" x14ac:dyDescent="0.35">
      <c r="A475" t="s">
        <v>662</v>
      </c>
      <c r="B475">
        <v>1</v>
      </c>
      <c r="C475">
        <v>27.99</v>
      </c>
      <c r="D475">
        <v>27.99</v>
      </c>
      <c r="E475" t="s">
        <v>439</v>
      </c>
      <c r="F475" t="s">
        <v>1726</v>
      </c>
      <c r="G475" t="s">
        <v>16</v>
      </c>
      <c r="H475">
        <v>3</v>
      </c>
      <c r="I475" t="s">
        <v>24</v>
      </c>
      <c r="J475" t="s">
        <v>31</v>
      </c>
      <c r="K475">
        <v>9</v>
      </c>
      <c r="O475">
        <f t="shared" si="9"/>
        <v>21.99</v>
      </c>
    </row>
    <row r="476" spans="1:15" x14ac:dyDescent="0.35">
      <c r="A476" t="s">
        <v>663</v>
      </c>
      <c r="B476">
        <v>2</v>
      </c>
      <c r="C476">
        <v>21.99</v>
      </c>
      <c r="D476">
        <v>38</v>
      </c>
      <c r="E476" t="s">
        <v>664</v>
      </c>
      <c r="F476" t="s">
        <v>1727</v>
      </c>
      <c r="G476" t="s">
        <v>16</v>
      </c>
      <c r="H476">
        <v>3</v>
      </c>
      <c r="I476" t="s">
        <v>24</v>
      </c>
      <c r="J476" t="s">
        <v>13</v>
      </c>
      <c r="K476">
        <v>7</v>
      </c>
      <c r="O476">
        <f t="shared" si="9"/>
        <v>37.979999999999997</v>
      </c>
    </row>
    <row r="477" spans="1:15" x14ac:dyDescent="0.35">
      <c r="A477" t="s">
        <v>665</v>
      </c>
      <c r="B477">
        <v>1</v>
      </c>
      <c r="C477">
        <v>27.99</v>
      </c>
      <c r="D477">
        <v>27.99</v>
      </c>
      <c r="E477" t="s">
        <v>666</v>
      </c>
      <c r="F477" t="s">
        <v>1728</v>
      </c>
      <c r="G477" t="s">
        <v>21</v>
      </c>
      <c r="H477">
        <v>0</v>
      </c>
      <c r="I477" t="s">
        <v>24</v>
      </c>
      <c r="J477" t="s">
        <v>31</v>
      </c>
      <c r="K477">
        <v>9</v>
      </c>
      <c r="O477">
        <f t="shared" si="9"/>
        <v>21.99</v>
      </c>
    </row>
    <row r="478" spans="1:15" x14ac:dyDescent="0.35">
      <c r="A478" t="s">
        <v>667</v>
      </c>
      <c r="B478">
        <v>1</v>
      </c>
      <c r="C478">
        <v>30.99</v>
      </c>
      <c r="D478">
        <v>30.99</v>
      </c>
      <c r="E478" t="s">
        <v>668</v>
      </c>
      <c r="F478" t="s">
        <v>1717</v>
      </c>
      <c r="G478" t="s">
        <v>16</v>
      </c>
      <c r="H478">
        <v>2</v>
      </c>
      <c r="I478" t="s">
        <v>24</v>
      </c>
      <c r="J478" t="s">
        <v>18</v>
      </c>
      <c r="K478">
        <v>10.5</v>
      </c>
      <c r="O478">
        <f t="shared" si="9"/>
        <v>21.99</v>
      </c>
    </row>
    <row r="479" spans="1:15" x14ac:dyDescent="0.35">
      <c r="A479" t="s">
        <v>669</v>
      </c>
      <c r="B479">
        <v>1</v>
      </c>
      <c r="C479">
        <v>21.99</v>
      </c>
      <c r="D479">
        <v>21.99</v>
      </c>
      <c r="E479" t="s">
        <v>670</v>
      </c>
      <c r="F479" t="s">
        <v>1718</v>
      </c>
      <c r="G479" t="s">
        <v>28</v>
      </c>
      <c r="H479">
        <v>0</v>
      </c>
      <c r="I479" t="s">
        <v>12</v>
      </c>
      <c r="J479" t="s">
        <v>13</v>
      </c>
      <c r="K479">
        <v>7</v>
      </c>
      <c r="O479">
        <f t="shared" si="9"/>
        <v>21.99</v>
      </c>
    </row>
    <row r="480" spans="1:15" x14ac:dyDescent="0.35">
      <c r="A480" t="s">
        <v>671</v>
      </c>
      <c r="B480">
        <v>3</v>
      </c>
      <c r="C480">
        <v>30.99</v>
      </c>
      <c r="D480">
        <v>74.959999999999994</v>
      </c>
      <c r="E480" t="s">
        <v>672</v>
      </c>
      <c r="F480" t="s">
        <v>1719</v>
      </c>
      <c r="G480" t="s">
        <v>16</v>
      </c>
      <c r="H480">
        <v>3</v>
      </c>
      <c r="I480" t="s">
        <v>24</v>
      </c>
      <c r="J480" t="s">
        <v>18</v>
      </c>
      <c r="K480">
        <v>10.5</v>
      </c>
      <c r="O480">
        <f t="shared" si="9"/>
        <v>84.73</v>
      </c>
    </row>
    <row r="481" spans="1:15" x14ac:dyDescent="0.35">
      <c r="A481" t="s">
        <v>673</v>
      </c>
      <c r="B481">
        <v>1</v>
      </c>
      <c r="C481">
        <v>18.989999999999998</v>
      </c>
      <c r="D481">
        <v>18.989999999999998</v>
      </c>
      <c r="E481" t="s">
        <v>674</v>
      </c>
      <c r="F481" t="s">
        <v>1720</v>
      </c>
      <c r="G481" t="s">
        <v>87</v>
      </c>
      <c r="H481">
        <v>0</v>
      </c>
      <c r="I481" t="s">
        <v>41</v>
      </c>
      <c r="J481" t="s">
        <v>42</v>
      </c>
      <c r="K481">
        <v>6</v>
      </c>
      <c r="O481">
        <f t="shared" si="9"/>
        <v>21.99</v>
      </c>
    </row>
    <row r="482" spans="1:15" x14ac:dyDescent="0.35">
      <c r="A482" t="s">
        <v>675</v>
      </c>
      <c r="B482">
        <v>1</v>
      </c>
      <c r="C482">
        <v>27.99</v>
      </c>
      <c r="D482">
        <v>27.99</v>
      </c>
      <c r="E482" t="s">
        <v>587</v>
      </c>
      <c r="F482" t="s">
        <v>1721</v>
      </c>
      <c r="G482" t="s">
        <v>16</v>
      </c>
      <c r="H482">
        <v>2</v>
      </c>
      <c r="I482" t="s">
        <v>17</v>
      </c>
      <c r="J482" t="s">
        <v>31</v>
      </c>
      <c r="K482">
        <v>9</v>
      </c>
      <c r="O482">
        <f t="shared" si="9"/>
        <v>21.99</v>
      </c>
    </row>
    <row r="483" spans="1:15" x14ac:dyDescent="0.35">
      <c r="A483" t="s">
        <v>676</v>
      </c>
      <c r="B483">
        <v>2</v>
      </c>
      <c r="C483">
        <v>16.989999999999998</v>
      </c>
      <c r="D483">
        <v>29.07</v>
      </c>
      <c r="E483" t="s">
        <v>457</v>
      </c>
      <c r="F483" t="s">
        <v>1722</v>
      </c>
      <c r="G483" t="s">
        <v>16</v>
      </c>
      <c r="H483">
        <v>19</v>
      </c>
      <c r="I483" t="s">
        <v>41</v>
      </c>
      <c r="J483" t="s">
        <v>25</v>
      </c>
      <c r="K483">
        <v>5</v>
      </c>
      <c r="O483">
        <f t="shared" si="9"/>
        <v>37.979999999999997</v>
      </c>
    </row>
    <row r="484" spans="1:15" x14ac:dyDescent="0.35">
      <c r="A484" t="s">
        <v>677</v>
      </c>
      <c r="B484">
        <v>3</v>
      </c>
      <c r="C484">
        <v>30.99</v>
      </c>
      <c r="D484">
        <v>74.83</v>
      </c>
      <c r="E484" t="s">
        <v>479</v>
      </c>
      <c r="F484" t="s">
        <v>1723</v>
      </c>
      <c r="G484" t="s">
        <v>16</v>
      </c>
      <c r="H484">
        <v>2</v>
      </c>
      <c r="I484" t="s">
        <v>12</v>
      </c>
      <c r="J484" t="s">
        <v>18</v>
      </c>
      <c r="K484">
        <v>10.5</v>
      </c>
      <c r="O484">
        <f t="shared" si="9"/>
        <v>84.73</v>
      </c>
    </row>
    <row r="485" spans="1:15" x14ac:dyDescent="0.35">
      <c r="A485" t="s">
        <v>678</v>
      </c>
      <c r="B485">
        <v>1</v>
      </c>
      <c r="C485">
        <v>27.99</v>
      </c>
      <c r="D485">
        <v>27.99</v>
      </c>
      <c r="E485" t="s">
        <v>648</v>
      </c>
      <c r="F485" t="s">
        <v>1724</v>
      </c>
      <c r="G485" t="s">
        <v>16</v>
      </c>
      <c r="H485">
        <v>7</v>
      </c>
      <c r="I485" t="s">
        <v>12</v>
      </c>
      <c r="J485" t="s">
        <v>31</v>
      </c>
      <c r="K485">
        <v>9</v>
      </c>
      <c r="O485">
        <f t="shared" si="9"/>
        <v>21.99</v>
      </c>
    </row>
    <row r="486" spans="1:15" x14ac:dyDescent="0.35">
      <c r="A486" t="s">
        <v>679</v>
      </c>
      <c r="B486">
        <v>1</v>
      </c>
      <c r="C486">
        <v>27.99</v>
      </c>
      <c r="D486">
        <v>27.99</v>
      </c>
      <c r="E486" t="s">
        <v>307</v>
      </c>
      <c r="F486" t="s">
        <v>1725</v>
      </c>
      <c r="G486" t="s">
        <v>21</v>
      </c>
      <c r="H486">
        <v>0</v>
      </c>
      <c r="I486" t="s">
        <v>12</v>
      </c>
      <c r="J486" t="s">
        <v>31</v>
      </c>
      <c r="K486">
        <v>9</v>
      </c>
      <c r="O486">
        <f t="shared" si="9"/>
        <v>21.99</v>
      </c>
    </row>
    <row r="487" spans="1:15" x14ac:dyDescent="0.35">
      <c r="A487" t="s">
        <v>680</v>
      </c>
      <c r="B487">
        <v>1</v>
      </c>
      <c r="C487">
        <v>30.99</v>
      </c>
      <c r="D487">
        <v>30.99</v>
      </c>
      <c r="E487" t="s">
        <v>681</v>
      </c>
      <c r="F487" t="s">
        <v>1726</v>
      </c>
      <c r="G487" t="s">
        <v>16</v>
      </c>
      <c r="H487">
        <v>3</v>
      </c>
      <c r="I487" t="s">
        <v>17</v>
      </c>
      <c r="J487" t="s">
        <v>18</v>
      </c>
      <c r="K487">
        <v>10.5</v>
      </c>
      <c r="O487">
        <f t="shared" si="9"/>
        <v>21.99</v>
      </c>
    </row>
    <row r="488" spans="1:15" x14ac:dyDescent="0.35">
      <c r="A488" t="s">
        <v>682</v>
      </c>
      <c r="B488">
        <v>1</v>
      </c>
      <c r="C488">
        <v>18.989999999999998</v>
      </c>
      <c r="D488">
        <v>18.989999999999998</v>
      </c>
      <c r="E488" t="s">
        <v>683</v>
      </c>
      <c r="F488" t="s">
        <v>1727</v>
      </c>
      <c r="G488" t="s">
        <v>21</v>
      </c>
      <c r="H488">
        <v>0</v>
      </c>
      <c r="I488" t="s">
        <v>17</v>
      </c>
      <c r="J488" t="s">
        <v>42</v>
      </c>
      <c r="K488">
        <v>6</v>
      </c>
      <c r="O488">
        <f t="shared" si="9"/>
        <v>21.99</v>
      </c>
    </row>
    <row r="489" spans="1:15" x14ac:dyDescent="0.35">
      <c r="A489" t="s">
        <v>684</v>
      </c>
      <c r="B489">
        <v>1</v>
      </c>
      <c r="C489">
        <v>34.99</v>
      </c>
      <c r="D489">
        <v>34.99</v>
      </c>
      <c r="E489" t="s">
        <v>465</v>
      </c>
      <c r="F489" t="s">
        <v>1728</v>
      </c>
      <c r="G489" t="s">
        <v>16</v>
      </c>
      <c r="H489">
        <v>6</v>
      </c>
      <c r="I489" t="s">
        <v>17</v>
      </c>
      <c r="J489" t="s">
        <v>36</v>
      </c>
      <c r="K489">
        <v>12.5</v>
      </c>
      <c r="O489">
        <f t="shared" si="9"/>
        <v>21.99</v>
      </c>
    </row>
    <row r="490" spans="1:15" x14ac:dyDescent="0.35">
      <c r="A490" t="s">
        <v>685</v>
      </c>
      <c r="B490">
        <v>1</v>
      </c>
      <c r="C490">
        <v>16.989999999999998</v>
      </c>
      <c r="D490">
        <v>16.989999999999998</v>
      </c>
      <c r="E490" t="s">
        <v>110</v>
      </c>
      <c r="F490" t="s">
        <v>1717</v>
      </c>
      <c r="G490" t="s">
        <v>16</v>
      </c>
      <c r="H490">
        <v>25</v>
      </c>
      <c r="I490" t="s">
        <v>12</v>
      </c>
      <c r="J490" t="s">
        <v>25</v>
      </c>
      <c r="K490">
        <v>5</v>
      </c>
      <c r="O490">
        <f t="shared" si="9"/>
        <v>21.99</v>
      </c>
    </row>
    <row r="491" spans="1:15" x14ac:dyDescent="0.35">
      <c r="A491" t="s">
        <v>686</v>
      </c>
      <c r="B491">
        <v>2</v>
      </c>
      <c r="C491">
        <v>18.989999999999998</v>
      </c>
      <c r="D491">
        <v>32.479999999999997</v>
      </c>
      <c r="E491" s="6">
        <v>46226</v>
      </c>
      <c r="F491" t="s">
        <v>1718</v>
      </c>
      <c r="G491" t="s">
        <v>16</v>
      </c>
      <c r="H491">
        <v>12</v>
      </c>
      <c r="I491" t="s">
        <v>17</v>
      </c>
      <c r="J491" t="s">
        <v>42</v>
      </c>
      <c r="K491">
        <v>6</v>
      </c>
      <c r="O491">
        <f t="shared" si="9"/>
        <v>37.979999999999997</v>
      </c>
    </row>
    <row r="492" spans="1:15" x14ac:dyDescent="0.35">
      <c r="A492" t="s">
        <v>687</v>
      </c>
      <c r="B492">
        <v>1</v>
      </c>
      <c r="C492">
        <v>18.989999999999998</v>
      </c>
      <c r="D492">
        <v>18.989999999999998</v>
      </c>
      <c r="E492" t="s">
        <v>688</v>
      </c>
      <c r="F492" t="s">
        <v>1719</v>
      </c>
      <c r="G492" t="s">
        <v>21</v>
      </c>
      <c r="H492">
        <v>0</v>
      </c>
      <c r="I492" t="s">
        <v>41</v>
      </c>
      <c r="J492" t="s">
        <v>42</v>
      </c>
      <c r="K492">
        <v>6</v>
      </c>
      <c r="O492">
        <f t="shared" si="9"/>
        <v>21.99</v>
      </c>
    </row>
    <row r="493" spans="1:15" x14ac:dyDescent="0.35">
      <c r="A493" t="s">
        <v>689</v>
      </c>
      <c r="B493">
        <v>1</v>
      </c>
      <c r="C493">
        <v>27.99</v>
      </c>
      <c r="D493">
        <v>27.99</v>
      </c>
      <c r="E493" t="s">
        <v>567</v>
      </c>
      <c r="F493" t="s">
        <v>1720</v>
      </c>
      <c r="G493" t="s">
        <v>11</v>
      </c>
      <c r="H493">
        <v>2</v>
      </c>
      <c r="I493" t="s">
        <v>24</v>
      </c>
      <c r="J493" t="s">
        <v>31</v>
      </c>
      <c r="K493">
        <v>9</v>
      </c>
      <c r="O493">
        <f t="shared" si="9"/>
        <v>21.99</v>
      </c>
    </row>
    <row r="494" spans="1:15" x14ac:dyDescent="0.35">
      <c r="A494" t="s">
        <v>690</v>
      </c>
      <c r="B494">
        <v>1</v>
      </c>
      <c r="C494">
        <v>18.989999999999998</v>
      </c>
      <c r="D494">
        <v>18.989999999999998</v>
      </c>
      <c r="E494" t="s">
        <v>670</v>
      </c>
      <c r="F494" t="s">
        <v>1721</v>
      </c>
      <c r="G494" t="s">
        <v>21</v>
      </c>
      <c r="H494">
        <v>0</v>
      </c>
      <c r="I494" t="s">
        <v>12</v>
      </c>
      <c r="J494" t="s">
        <v>42</v>
      </c>
      <c r="K494">
        <v>6</v>
      </c>
      <c r="O494">
        <f t="shared" si="9"/>
        <v>21.99</v>
      </c>
    </row>
    <row r="495" spans="1:15" x14ac:dyDescent="0.35">
      <c r="A495" t="s">
        <v>691</v>
      </c>
      <c r="B495">
        <v>3</v>
      </c>
      <c r="C495">
        <v>18.989999999999998</v>
      </c>
      <c r="D495">
        <v>44.87</v>
      </c>
      <c r="E495" t="s">
        <v>692</v>
      </c>
      <c r="F495" t="s">
        <v>1722</v>
      </c>
      <c r="G495" t="s">
        <v>21</v>
      </c>
      <c r="H495">
        <v>0</v>
      </c>
      <c r="I495" t="s">
        <v>12</v>
      </c>
      <c r="J495" t="s">
        <v>42</v>
      </c>
      <c r="K495">
        <v>6</v>
      </c>
      <c r="O495">
        <f t="shared" si="9"/>
        <v>84.73</v>
      </c>
    </row>
    <row r="496" spans="1:15" x14ac:dyDescent="0.35">
      <c r="A496" t="s">
        <v>693</v>
      </c>
      <c r="B496">
        <v>2</v>
      </c>
      <c r="C496">
        <v>16.989999999999998</v>
      </c>
      <c r="D496">
        <v>29.53</v>
      </c>
      <c r="E496" t="s">
        <v>694</v>
      </c>
      <c r="F496" t="s">
        <v>1723</v>
      </c>
      <c r="G496" t="s">
        <v>16</v>
      </c>
      <c r="H496">
        <v>20</v>
      </c>
      <c r="I496" t="s">
        <v>41</v>
      </c>
      <c r="J496" t="s">
        <v>25</v>
      </c>
      <c r="K496">
        <v>5</v>
      </c>
      <c r="O496">
        <f t="shared" si="9"/>
        <v>37.979999999999997</v>
      </c>
    </row>
    <row r="497" spans="1:15" x14ac:dyDescent="0.35">
      <c r="A497" t="s">
        <v>695</v>
      </c>
      <c r="B497">
        <v>1</v>
      </c>
      <c r="C497">
        <v>18.989999999999998</v>
      </c>
      <c r="D497">
        <v>18.989999999999998</v>
      </c>
      <c r="E497" t="s">
        <v>176</v>
      </c>
      <c r="F497" t="s">
        <v>1724</v>
      </c>
      <c r="G497" t="s">
        <v>16</v>
      </c>
      <c r="H497">
        <v>11</v>
      </c>
      <c r="I497" t="s">
        <v>17</v>
      </c>
      <c r="J497" t="s">
        <v>42</v>
      </c>
      <c r="K497">
        <v>6</v>
      </c>
      <c r="O497">
        <f t="shared" si="9"/>
        <v>21.99</v>
      </c>
    </row>
    <row r="498" spans="1:15" x14ac:dyDescent="0.35">
      <c r="A498" t="s">
        <v>696</v>
      </c>
      <c r="B498">
        <v>3</v>
      </c>
      <c r="C498">
        <v>21.99</v>
      </c>
      <c r="D498">
        <v>53.27</v>
      </c>
      <c r="E498" t="s">
        <v>132</v>
      </c>
      <c r="F498" t="s">
        <v>1725</v>
      </c>
      <c r="G498" t="s">
        <v>16</v>
      </c>
      <c r="H498">
        <v>3</v>
      </c>
      <c r="I498" t="s">
        <v>41</v>
      </c>
      <c r="J498" t="s">
        <v>13</v>
      </c>
      <c r="K498">
        <v>7</v>
      </c>
      <c r="O498">
        <f t="shared" si="9"/>
        <v>84.73</v>
      </c>
    </row>
    <row r="499" spans="1:15" x14ac:dyDescent="0.35">
      <c r="A499" t="s">
        <v>697</v>
      </c>
      <c r="B499">
        <v>1</v>
      </c>
      <c r="C499">
        <v>30.99</v>
      </c>
      <c r="D499">
        <v>30.99</v>
      </c>
      <c r="E499" t="s">
        <v>86</v>
      </c>
      <c r="F499" t="s">
        <v>1726</v>
      </c>
      <c r="G499" t="s">
        <v>28</v>
      </c>
      <c r="H499">
        <v>0</v>
      </c>
      <c r="I499" t="s">
        <v>24</v>
      </c>
      <c r="J499" t="s">
        <v>18</v>
      </c>
      <c r="K499">
        <v>10.5</v>
      </c>
      <c r="O499">
        <f t="shared" si="9"/>
        <v>21.99</v>
      </c>
    </row>
    <row r="500" spans="1:15" x14ac:dyDescent="0.35">
      <c r="A500" t="s">
        <v>698</v>
      </c>
      <c r="B500">
        <v>1</v>
      </c>
      <c r="C500">
        <v>18.989999999999998</v>
      </c>
      <c r="D500">
        <v>18.989999999999998</v>
      </c>
      <c r="E500" t="s">
        <v>699</v>
      </c>
      <c r="F500" t="s">
        <v>1727</v>
      </c>
      <c r="G500" t="s">
        <v>21</v>
      </c>
      <c r="H500">
        <v>0</v>
      </c>
      <c r="I500" t="s">
        <v>41</v>
      </c>
      <c r="J500" t="s">
        <v>42</v>
      </c>
      <c r="K500">
        <v>6</v>
      </c>
      <c r="O500">
        <f t="shared" si="9"/>
        <v>21.99</v>
      </c>
    </row>
    <row r="501" spans="1:15" x14ac:dyDescent="0.35">
      <c r="A501" t="s">
        <v>700</v>
      </c>
      <c r="B501">
        <v>1</v>
      </c>
      <c r="C501">
        <v>30.99</v>
      </c>
      <c r="D501">
        <v>30.99</v>
      </c>
      <c r="E501" t="s">
        <v>701</v>
      </c>
      <c r="F501" t="s">
        <v>1728</v>
      </c>
      <c r="G501" t="s">
        <v>87</v>
      </c>
      <c r="H501">
        <v>0</v>
      </c>
      <c r="I501" t="s">
        <v>17</v>
      </c>
      <c r="J501" t="s">
        <v>18</v>
      </c>
      <c r="K501">
        <v>10.5</v>
      </c>
      <c r="O501">
        <f t="shared" si="9"/>
        <v>21.99</v>
      </c>
    </row>
    <row r="502" spans="1:15" x14ac:dyDescent="0.35">
      <c r="A502" t="s">
        <v>702</v>
      </c>
      <c r="B502">
        <v>1</v>
      </c>
      <c r="C502">
        <v>21.99</v>
      </c>
      <c r="D502">
        <v>21.99</v>
      </c>
      <c r="E502" t="s">
        <v>703</v>
      </c>
      <c r="F502" t="s">
        <v>1717</v>
      </c>
      <c r="G502" t="s">
        <v>16</v>
      </c>
      <c r="H502">
        <v>3</v>
      </c>
      <c r="I502" t="s">
        <v>12</v>
      </c>
      <c r="J502" t="s">
        <v>13</v>
      </c>
      <c r="K502">
        <v>7</v>
      </c>
      <c r="O502">
        <f t="shared" si="9"/>
        <v>21.99</v>
      </c>
    </row>
    <row r="503" spans="1:15" x14ac:dyDescent="0.35">
      <c r="A503" t="s">
        <v>704</v>
      </c>
      <c r="B503">
        <v>1</v>
      </c>
      <c r="C503">
        <v>27.99</v>
      </c>
      <c r="D503">
        <v>27.99</v>
      </c>
      <c r="E503" t="s">
        <v>531</v>
      </c>
      <c r="F503" t="s">
        <v>1718</v>
      </c>
      <c r="G503" t="s">
        <v>16</v>
      </c>
      <c r="H503">
        <v>2</v>
      </c>
      <c r="I503" t="s">
        <v>12</v>
      </c>
      <c r="J503" t="s">
        <v>31</v>
      </c>
      <c r="K503">
        <v>9</v>
      </c>
      <c r="O503">
        <f t="shared" si="9"/>
        <v>21.99</v>
      </c>
    </row>
    <row r="504" spans="1:15" x14ac:dyDescent="0.35">
      <c r="A504" t="s">
        <v>705</v>
      </c>
      <c r="B504">
        <v>1</v>
      </c>
      <c r="C504">
        <v>21.99</v>
      </c>
      <c r="D504">
        <v>21.99</v>
      </c>
      <c r="E504" t="s">
        <v>706</v>
      </c>
      <c r="F504" t="s">
        <v>1719</v>
      </c>
      <c r="G504" t="s">
        <v>21</v>
      </c>
      <c r="H504">
        <v>0</v>
      </c>
      <c r="I504" t="s">
        <v>12</v>
      </c>
      <c r="J504" t="s">
        <v>13</v>
      </c>
      <c r="K504">
        <v>7</v>
      </c>
      <c r="O504">
        <f t="shared" si="9"/>
        <v>21.99</v>
      </c>
    </row>
    <row r="505" spans="1:15" x14ac:dyDescent="0.35">
      <c r="A505" t="s">
        <v>707</v>
      </c>
      <c r="B505">
        <v>1</v>
      </c>
      <c r="C505">
        <v>18.989999999999998</v>
      </c>
      <c r="D505">
        <v>18.989999999999998</v>
      </c>
      <c r="E505" t="s">
        <v>459</v>
      </c>
      <c r="F505" t="s">
        <v>1720</v>
      </c>
      <c r="G505" t="s">
        <v>16</v>
      </c>
      <c r="H505">
        <v>12</v>
      </c>
      <c r="I505" t="s">
        <v>17</v>
      </c>
      <c r="J505" t="s">
        <v>42</v>
      </c>
      <c r="K505">
        <v>6</v>
      </c>
      <c r="O505">
        <f t="shared" si="9"/>
        <v>21.99</v>
      </c>
    </row>
    <row r="506" spans="1:15" x14ac:dyDescent="0.35">
      <c r="A506" t="s">
        <v>708</v>
      </c>
      <c r="B506">
        <v>3</v>
      </c>
      <c r="C506">
        <v>27.99</v>
      </c>
      <c r="D506">
        <v>66.67</v>
      </c>
      <c r="E506" t="s">
        <v>709</v>
      </c>
      <c r="F506" t="s">
        <v>1721</v>
      </c>
      <c r="G506" t="s">
        <v>16</v>
      </c>
      <c r="H506">
        <v>3</v>
      </c>
      <c r="I506" t="s">
        <v>41</v>
      </c>
      <c r="J506" t="s">
        <v>31</v>
      </c>
      <c r="K506">
        <v>9</v>
      </c>
      <c r="O506">
        <f t="shared" si="9"/>
        <v>84.73</v>
      </c>
    </row>
    <row r="507" spans="1:15" x14ac:dyDescent="0.35">
      <c r="A507" t="s">
        <v>710</v>
      </c>
      <c r="B507">
        <v>2</v>
      </c>
      <c r="C507">
        <v>16.989999999999998</v>
      </c>
      <c r="D507">
        <v>29.3</v>
      </c>
      <c r="E507" t="s">
        <v>711</v>
      </c>
      <c r="F507" t="s">
        <v>1722</v>
      </c>
      <c r="G507" t="s">
        <v>16</v>
      </c>
      <c r="H507">
        <v>18</v>
      </c>
      <c r="I507" t="s">
        <v>12</v>
      </c>
      <c r="J507" t="s">
        <v>25</v>
      </c>
      <c r="K507">
        <v>5</v>
      </c>
      <c r="O507">
        <f t="shared" si="9"/>
        <v>37.979999999999997</v>
      </c>
    </row>
    <row r="508" spans="1:15" x14ac:dyDescent="0.35">
      <c r="A508" t="s">
        <v>712</v>
      </c>
      <c r="B508">
        <v>2</v>
      </c>
      <c r="C508">
        <v>34.99</v>
      </c>
      <c r="D508">
        <v>60.06</v>
      </c>
      <c r="E508" t="s">
        <v>126</v>
      </c>
      <c r="F508" t="s">
        <v>1723</v>
      </c>
      <c r="G508" t="s">
        <v>21</v>
      </c>
      <c r="H508">
        <v>0</v>
      </c>
      <c r="I508" t="s">
        <v>17</v>
      </c>
      <c r="J508" t="s">
        <v>36</v>
      </c>
      <c r="K508">
        <v>12.5</v>
      </c>
      <c r="O508">
        <f t="shared" si="9"/>
        <v>37.979999999999997</v>
      </c>
    </row>
    <row r="509" spans="1:15" x14ac:dyDescent="0.35">
      <c r="A509" t="s">
        <v>713</v>
      </c>
      <c r="B509">
        <v>1</v>
      </c>
      <c r="C509">
        <v>16.989999999999998</v>
      </c>
      <c r="D509">
        <v>16.989999999999998</v>
      </c>
      <c r="E509" t="s">
        <v>706</v>
      </c>
      <c r="F509" t="s">
        <v>1724</v>
      </c>
      <c r="G509" t="s">
        <v>16</v>
      </c>
      <c r="H509">
        <v>15</v>
      </c>
      <c r="I509" t="s">
        <v>41</v>
      </c>
      <c r="J509" t="s">
        <v>25</v>
      </c>
      <c r="K509">
        <v>5</v>
      </c>
      <c r="O509">
        <f t="shared" si="9"/>
        <v>21.99</v>
      </c>
    </row>
    <row r="510" spans="1:15" x14ac:dyDescent="0.35">
      <c r="A510" t="s">
        <v>714</v>
      </c>
      <c r="B510">
        <v>1</v>
      </c>
      <c r="C510">
        <v>34.99</v>
      </c>
      <c r="D510">
        <v>34.99</v>
      </c>
      <c r="E510" t="s">
        <v>70</v>
      </c>
      <c r="F510" t="s">
        <v>1725</v>
      </c>
      <c r="G510" t="s">
        <v>11</v>
      </c>
      <c r="H510">
        <v>7</v>
      </c>
      <c r="I510" t="s">
        <v>12</v>
      </c>
      <c r="J510" t="s">
        <v>36</v>
      </c>
      <c r="K510">
        <v>12.5</v>
      </c>
      <c r="O510">
        <f t="shared" si="9"/>
        <v>21.99</v>
      </c>
    </row>
    <row r="511" spans="1:15" x14ac:dyDescent="0.35">
      <c r="A511" t="s">
        <v>715</v>
      </c>
      <c r="B511">
        <v>3</v>
      </c>
      <c r="C511">
        <v>34.99</v>
      </c>
      <c r="D511">
        <v>84.73</v>
      </c>
      <c r="E511" t="s">
        <v>623</v>
      </c>
      <c r="F511" t="s">
        <v>1726</v>
      </c>
      <c r="G511" t="s">
        <v>16</v>
      </c>
      <c r="H511">
        <v>5</v>
      </c>
      <c r="I511" t="s">
        <v>12</v>
      </c>
      <c r="J511" t="s">
        <v>36</v>
      </c>
      <c r="K511">
        <v>12.5</v>
      </c>
      <c r="O511">
        <f t="shared" si="9"/>
        <v>84.73</v>
      </c>
    </row>
    <row r="512" spans="1:15" x14ac:dyDescent="0.35">
      <c r="A512" t="s">
        <v>716</v>
      </c>
      <c r="B512">
        <v>3</v>
      </c>
      <c r="C512">
        <v>34.99</v>
      </c>
      <c r="D512">
        <v>84.13</v>
      </c>
      <c r="E512" t="s">
        <v>54</v>
      </c>
      <c r="F512" t="s">
        <v>1727</v>
      </c>
      <c r="G512" t="s">
        <v>16</v>
      </c>
      <c r="H512">
        <v>8</v>
      </c>
      <c r="I512" t="s">
        <v>17</v>
      </c>
      <c r="J512" t="s">
        <v>36</v>
      </c>
      <c r="K512">
        <v>12.5</v>
      </c>
      <c r="O512">
        <f t="shared" si="9"/>
        <v>84.73</v>
      </c>
    </row>
    <row r="513" spans="1:15" x14ac:dyDescent="0.35">
      <c r="A513" t="s">
        <v>717</v>
      </c>
      <c r="B513">
        <v>1</v>
      </c>
      <c r="C513">
        <v>18.989999999999998</v>
      </c>
      <c r="D513">
        <v>18.989999999999998</v>
      </c>
      <c r="E513" t="s">
        <v>639</v>
      </c>
      <c r="F513" t="s">
        <v>1728</v>
      </c>
      <c r="G513" t="s">
        <v>16</v>
      </c>
      <c r="H513">
        <v>11</v>
      </c>
      <c r="I513" t="s">
        <v>12</v>
      </c>
      <c r="J513" t="s">
        <v>42</v>
      </c>
      <c r="K513">
        <v>6</v>
      </c>
      <c r="O513">
        <f t="shared" si="9"/>
        <v>21.99</v>
      </c>
    </row>
    <row r="514" spans="1:15" x14ac:dyDescent="0.35">
      <c r="A514" t="s">
        <v>718</v>
      </c>
      <c r="B514">
        <v>1</v>
      </c>
      <c r="C514">
        <v>30.99</v>
      </c>
      <c r="D514">
        <v>30.99</v>
      </c>
      <c r="E514" t="s">
        <v>504</v>
      </c>
      <c r="F514" t="s">
        <v>1717</v>
      </c>
      <c r="G514" t="s">
        <v>11</v>
      </c>
      <c r="H514">
        <v>5</v>
      </c>
      <c r="I514" t="s">
        <v>12</v>
      </c>
      <c r="J514" t="s">
        <v>18</v>
      </c>
      <c r="K514">
        <v>10.5</v>
      </c>
      <c r="O514">
        <f t="shared" ref="O514:O577" si="10">VLOOKUP(B:B,B:H,3,FALSE)</f>
        <v>21.99</v>
      </c>
    </row>
    <row r="515" spans="1:15" x14ac:dyDescent="0.35">
      <c r="A515" t="s">
        <v>719</v>
      </c>
      <c r="B515">
        <v>1</v>
      </c>
      <c r="C515">
        <v>16.989999999999998</v>
      </c>
      <c r="D515">
        <v>16.989999999999998</v>
      </c>
      <c r="E515" t="s">
        <v>720</v>
      </c>
      <c r="F515" t="s">
        <v>1718</v>
      </c>
      <c r="G515" t="s">
        <v>16</v>
      </c>
      <c r="H515">
        <v>15</v>
      </c>
      <c r="I515" t="s">
        <v>24</v>
      </c>
      <c r="J515" t="s">
        <v>25</v>
      </c>
      <c r="K515">
        <v>5</v>
      </c>
      <c r="O515">
        <f t="shared" si="10"/>
        <v>21.99</v>
      </c>
    </row>
    <row r="516" spans="1:15" x14ac:dyDescent="0.35">
      <c r="A516" t="s">
        <v>721</v>
      </c>
      <c r="B516">
        <v>1</v>
      </c>
      <c r="C516">
        <v>16.989999999999998</v>
      </c>
      <c r="D516">
        <v>16.989999999999998</v>
      </c>
      <c r="E516" t="s">
        <v>722</v>
      </c>
      <c r="F516" t="s">
        <v>1719</v>
      </c>
      <c r="G516" t="s">
        <v>21</v>
      </c>
      <c r="H516">
        <v>0</v>
      </c>
      <c r="I516" t="s">
        <v>17</v>
      </c>
      <c r="J516" t="s">
        <v>25</v>
      </c>
      <c r="K516">
        <v>5</v>
      </c>
      <c r="O516">
        <f t="shared" si="10"/>
        <v>21.99</v>
      </c>
    </row>
    <row r="517" spans="1:15" x14ac:dyDescent="0.35">
      <c r="A517" t="s">
        <v>723</v>
      </c>
      <c r="B517">
        <v>1</v>
      </c>
      <c r="C517">
        <v>34.99</v>
      </c>
      <c r="D517">
        <v>34.99</v>
      </c>
      <c r="E517" t="s">
        <v>634</v>
      </c>
      <c r="F517" t="s">
        <v>1720</v>
      </c>
      <c r="G517" t="s">
        <v>21</v>
      </c>
      <c r="H517">
        <v>0</v>
      </c>
      <c r="I517" t="s">
        <v>12</v>
      </c>
      <c r="J517" t="s">
        <v>36</v>
      </c>
      <c r="K517">
        <v>12.5</v>
      </c>
      <c r="O517">
        <f t="shared" si="10"/>
        <v>21.99</v>
      </c>
    </row>
    <row r="518" spans="1:15" x14ac:dyDescent="0.35">
      <c r="A518" t="s">
        <v>724</v>
      </c>
      <c r="B518">
        <v>1</v>
      </c>
      <c r="C518">
        <v>30.99</v>
      </c>
      <c r="D518">
        <v>30.99</v>
      </c>
      <c r="E518" t="s">
        <v>725</v>
      </c>
      <c r="F518" t="s">
        <v>1721</v>
      </c>
      <c r="G518" t="s">
        <v>16</v>
      </c>
      <c r="H518">
        <v>6</v>
      </c>
      <c r="I518" t="s">
        <v>12</v>
      </c>
      <c r="J518" t="s">
        <v>18</v>
      </c>
      <c r="K518">
        <v>10.5</v>
      </c>
      <c r="O518">
        <f t="shared" si="10"/>
        <v>21.99</v>
      </c>
    </row>
    <row r="519" spans="1:15" x14ac:dyDescent="0.35">
      <c r="A519" t="s">
        <v>726</v>
      </c>
      <c r="B519">
        <v>1</v>
      </c>
      <c r="C519">
        <v>18.989999999999998</v>
      </c>
      <c r="D519">
        <v>18.989999999999998</v>
      </c>
      <c r="E519" t="s">
        <v>556</v>
      </c>
      <c r="F519" t="s">
        <v>1722</v>
      </c>
      <c r="G519" t="s">
        <v>16</v>
      </c>
      <c r="H519">
        <v>11</v>
      </c>
      <c r="I519" t="s">
        <v>12</v>
      </c>
      <c r="J519" t="s">
        <v>42</v>
      </c>
      <c r="K519">
        <v>6</v>
      </c>
      <c r="O519">
        <f t="shared" si="10"/>
        <v>21.99</v>
      </c>
    </row>
    <row r="520" spans="1:15" x14ac:dyDescent="0.35">
      <c r="A520" t="s">
        <v>727</v>
      </c>
      <c r="B520">
        <v>1</v>
      </c>
      <c r="C520">
        <v>27.99</v>
      </c>
      <c r="D520">
        <v>27.99</v>
      </c>
      <c r="E520" t="s">
        <v>66</v>
      </c>
      <c r="F520" t="s">
        <v>1723</v>
      </c>
      <c r="G520" t="s">
        <v>16</v>
      </c>
      <c r="H520">
        <v>3</v>
      </c>
      <c r="I520" t="s">
        <v>12</v>
      </c>
      <c r="J520" t="s">
        <v>31</v>
      </c>
      <c r="K520">
        <v>9</v>
      </c>
      <c r="O520">
        <f t="shared" si="10"/>
        <v>21.99</v>
      </c>
    </row>
    <row r="521" spans="1:15" x14ac:dyDescent="0.35">
      <c r="A521" t="s">
        <v>728</v>
      </c>
      <c r="B521">
        <v>3</v>
      </c>
      <c r="C521">
        <v>16.989999999999998</v>
      </c>
      <c r="D521">
        <v>40.08</v>
      </c>
      <c r="E521" t="s">
        <v>46</v>
      </c>
      <c r="F521" t="s">
        <v>1724</v>
      </c>
      <c r="G521" t="s">
        <v>16</v>
      </c>
      <c r="H521">
        <v>17</v>
      </c>
      <c r="I521" t="s">
        <v>12</v>
      </c>
      <c r="J521" t="s">
        <v>25</v>
      </c>
      <c r="K521">
        <v>5</v>
      </c>
      <c r="O521">
        <f t="shared" si="10"/>
        <v>84.73</v>
      </c>
    </row>
    <row r="522" spans="1:15" x14ac:dyDescent="0.35">
      <c r="A522" t="s">
        <v>729</v>
      </c>
      <c r="B522">
        <v>1</v>
      </c>
      <c r="C522">
        <v>21.99</v>
      </c>
      <c r="D522">
        <v>21.99</v>
      </c>
      <c r="E522" t="s">
        <v>730</v>
      </c>
      <c r="F522" t="s">
        <v>1725</v>
      </c>
      <c r="G522" t="s">
        <v>16</v>
      </c>
      <c r="H522">
        <v>2</v>
      </c>
      <c r="I522" t="s">
        <v>17</v>
      </c>
      <c r="J522" t="s">
        <v>13</v>
      </c>
      <c r="K522">
        <v>7</v>
      </c>
      <c r="O522">
        <f t="shared" si="10"/>
        <v>21.99</v>
      </c>
    </row>
    <row r="523" spans="1:15" x14ac:dyDescent="0.35">
      <c r="A523" t="s">
        <v>731</v>
      </c>
      <c r="B523">
        <v>1</v>
      </c>
      <c r="C523">
        <v>27.99</v>
      </c>
      <c r="D523">
        <v>27.99</v>
      </c>
      <c r="E523" t="s">
        <v>732</v>
      </c>
      <c r="F523" t="s">
        <v>1726</v>
      </c>
      <c r="G523" t="s">
        <v>16</v>
      </c>
      <c r="H523">
        <v>2</v>
      </c>
      <c r="I523" t="s">
        <v>24</v>
      </c>
      <c r="J523" t="s">
        <v>31</v>
      </c>
      <c r="K523">
        <v>9</v>
      </c>
      <c r="O523">
        <f t="shared" si="10"/>
        <v>21.99</v>
      </c>
    </row>
    <row r="524" spans="1:15" x14ac:dyDescent="0.35">
      <c r="A524" t="s">
        <v>733</v>
      </c>
      <c r="B524">
        <v>2</v>
      </c>
      <c r="C524">
        <v>34.99</v>
      </c>
      <c r="D524">
        <v>61.01</v>
      </c>
      <c r="E524" t="s">
        <v>734</v>
      </c>
      <c r="F524" t="s">
        <v>1727</v>
      </c>
      <c r="G524" t="s">
        <v>16</v>
      </c>
      <c r="H524">
        <v>8</v>
      </c>
      <c r="I524" t="s">
        <v>12</v>
      </c>
      <c r="J524" t="s">
        <v>36</v>
      </c>
      <c r="K524">
        <v>12.5</v>
      </c>
      <c r="O524">
        <f t="shared" si="10"/>
        <v>37.979999999999997</v>
      </c>
    </row>
    <row r="525" spans="1:15" x14ac:dyDescent="0.35">
      <c r="A525" t="s">
        <v>735</v>
      </c>
      <c r="B525">
        <v>3</v>
      </c>
      <c r="C525">
        <v>30.99</v>
      </c>
      <c r="D525">
        <v>74.849999999999994</v>
      </c>
      <c r="E525" t="s">
        <v>736</v>
      </c>
      <c r="F525" t="s">
        <v>1728</v>
      </c>
      <c r="G525" t="s">
        <v>16</v>
      </c>
      <c r="H525">
        <v>3</v>
      </c>
      <c r="I525" t="s">
        <v>24</v>
      </c>
      <c r="J525" t="s">
        <v>18</v>
      </c>
      <c r="K525">
        <v>10.5</v>
      </c>
      <c r="O525">
        <f t="shared" si="10"/>
        <v>84.73</v>
      </c>
    </row>
    <row r="526" spans="1:15" x14ac:dyDescent="0.35">
      <c r="A526" t="s">
        <v>737</v>
      </c>
      <c r="B526">
        <v>2</v>
      </c>
      <c r="C526">
        <v>16.989999999999998</v>
      </c>
      <c r="D526">
        <v>29.64</v>
      </c>
      <c r="E526" s="6">
        <v>46071</v>
      </c>
      <c r="F526" t="s">
        <v>1717</v>
      </c>
      <c r="G526" t="s">
        <v>21</v>
      </c>
      <c r="H526">
        <v>0</v>
      </c>
      <c r="I526" t="s">
        <v>41</v>
      </c>
      <c r="J526" t="s">
        <v>25</v>
      </c>
      <c r="K526">
        <v>5</v>
      </c>
      <c r="O526">
        <f t="shared" si="10"/>
        <v>37.979999999999997</v>
      </c>
    </row>
    <row r="527" spans="1:15" x14ac:dyDescent="0.35">
      <c r="A527" t="s">
        <v>738</v>
      </c>
      <c r="B527">
        <v>1</v>
      </c>
      <c r="C527">
        <v>18.989999999999998</v>
      </c>
      <c r="D527">
        <v>18.989999999999998</v>
      </c>
      <c r="E527" t="s">
        <v>739</v>
      </c>
      <c r="F527" t="s">
        <v>1718</v>
      </c>
      <c r="G527" t="s">
        <v>28</v>
      </c>
      <c r="H527">
        <v>0</v>
      </c>
      <c r="I527" t="s">
        <v>41</v>
      </c>
      <c r="J527" t="s">
        <v>42</v>
      </c>
      <c r="K527">
        <v>6</v>
      </c>
      <c r="O527">
        <f t="shared" si="10"/>
        <v>21.99</v>
      </c>
    </row>
    <row r="528" spans="1:15" x14ac:dyDescent="0.35">
      <c r="A528" t="s">
        <v>740</v>
      </c>
      <c r="B528">
        <v>1</v>
      </c>
      <c r="C528">
        <v>27.99</v>
      </c>
      <c r="D528">
        <v>27.99</v>
      </c>
      <c r="E528" t="s">
        <v>126</v>
      </c>
      <c r="F528" t="s">
        <v>1719</v>
      </c>
      <c r="G528" t="s">
        <v>16</v>
      </c>
      <c r="H528">
        <v>3</v>
      </c>
      <c r="I528" t="s">
        <v>12</v>
      </c>
      <c r="J528" t="s">
        <v>31</v>
      </c>
      <c r="K528">
        <v>9</v>
      </c>
      <c r="O528">
        <f t="shared" si="10"/>
        <v>21.99</v>
      </c>
    </row>
    <row r="529" spans="1:15" x14ac:dyDescent="0.35">
      <c r="A529" t="s">
        <v>741</v>
      </c>
      <c r="B529">
        <v>3</v>
      </c>
      <c r="C529">
        <v>34.99</v>
      </c>
      <c r="D529">
        <v>83.1</v>
      </c>
      <c r="E529" t="s">
        <v>742</v>
      </c>
      <c r="F529" t="s">
        <v>1720</v>
      </c>
      <c r="G529" t="s">
        <v>28</v>
      </c>
      <c r="H529">
        <v>0</v>
      </c>
      <c r="I529" t="s">
        <v>41</v>
      </c>
      <c r="J529" t="s">
        <v>36</v>
      </c>
      <c r="K529">
        <v>12.5</v>
      </c>
      <c r="O529">
        <f t="shared" si="10"/>
        <v>84.73</v>
      </c>
    </row>
    <row r="530" spans="1:15" x14ac:dyDescent="0.35">
      <c r="A530" t="s">
        <v>743</v>
      </c>
      <c r="B530">
        <v>2</v>
      </c>
      <c r="C530">
        <v>16.989999999999998</v>
      </c>
      <c r="D530">
        <v>29.48</v>
      </c>
      <c r="E530" t="s">
        <v>744</v>
      </c>
      <c r="F530" t="s">
        <v>1721</v>
      </c>
      <c r="G530" t="s">
        <v>16</v>
      </c>
      <c r="H530">
        <v>16</v>
      </c>
      <c r="I530" t="s">
        <v>12</v>
      </c>
      <c r="J530" t="s">
        <v>25</v>
      </c>
      <c r="K530">
        <v>5</v>
      </c>
      <c r="O530">
        <f t="shared" si="10"/>
        <v>37.979999999999997</v>
      </c>
    </row>
    <row r="531" spans="1:15" x14ac:dyDescent="0.35">
      <c r="A531" t="s">
        <v>745</v>
      </c>
      <c r="B531">
        <v>3</v>
      </c>
      <c r="C531">
        <v>21.99</v>
      </c>
      <c r="D531">
        <v>53.26</v>
      </c>
      <c r="E531" t="s">
        <v>587</v>
      </c>
      <c r="F531" t="s">
        <v>1722</v>
      </c>
      <c r="G531" t="s">
        <v>21</v>
      </c>
      <c r="H531">
        <v>0</v>
      </c>
      <c r="I531" t="s">
        <v>24</v>
      </c>
      <c r="J531" t="s">
        <v>13</v>
      </c>
      <c r="K531">
        <v>7</v>
      </c>
      <c r="O531">
        <f t="shared" si="10"/>
        <v>84.73</v>
      </c>
    </row>
    <row r="532" spans="1:15" x14ac:dyDescent="0.35">
      <c r="A532" t="s">
        <v>746</v>
      </c>
      <c r="B532">
        <v>1</v>
      </c>
      <c r="C532">
        <v>21.99</v>
      </c>
      <c r="D532">
        <v>21.99</v>
      </c>
      <c r="E532" t="s">
        <v>739</v>
      </c>
      <c r="F532" t="s">
        <v>1723</v>
      </c>
      <c r="G532" t="s">
        <v>87</v>
      </c>
      <c r="H532">
        <v>0</v>
      </c>
      <c r="I532" t="s">
        <v>12</v>
      </c>
      <c r="J532" t="s">
        <v>13</v>
      </c>
      <c r="K532">
        <v>7</v>
      </c>
      <c r="O532">
        <f t="shared" si="10"/>
        <v>21.99</v>
      </c>
    </row>
    <row r="533" spans="1:15" x14ac:dyDescent="0.35">
      <c r="A533" t="s">
        <v>747</v>
      </c>
      <c r="B533">
        <v>3</v>
      </c>
      <c r="C533">
        <v>18.989999999999998</v>
      </c>
      <c r="D533">
        <v>45.7</v>
      </c>
      <c r="E533" t="s">
        <v>606</v>
      </c>
      <c r="F533" t="s">
        <v>1724</v>
      </c>
      <c r="G533" t="s">
        <v>11</v>
      </c>
      <c r="H533">
        <v>19</v>
      </c>
      <c r="I533" t="s">
        <v>24</v>
      </c>
      <c r="J533" t="s">
        <v>42</v>
      </c>
      <c r="K533">
        <v>6</v>
      </c>
      <c r="O533">
        <f t="shared" si="10"/>
        <v>84.73</v>
      </c>
    </row>
    <row r="534" spans="1:15" x14ac:dyDescent="0.35">
      <c r="A534" t="s">
        <v>748</v>
      </c>
      <c r="B534">
        <v>1</v>
      </c>
      <c r="C534">
        <v>34.99</v>
      </c>
      <c r="D534">
        <v>34.99</v>
      </c>
      <c r="E534" t="s">
        <v>749</v>
      </c>
      <c r="F534" t="s">
        <v>1725</v>
      </c>
      <c r="G534" t="s">
        <v>21</v>
      </c>
      <c r="H534">
        <v>0</v>
      </c>
      <c r="I534" t="s">
        <v>24</v>
      </c>
      <c r="J534" t="s">
        <v>36</v>
      </c>
      <c r="K534">
        <v>12.5</v>
      </c>
      <c r="O534">
        <f t="shared" si="10"/>
        <v>21.99</v>
      </c>
    </row>
    <row r="535" spans="1:15" x14ac:dyDescent="0.35">
      <c r="A535" t="s">
        <v>750</v>
      </c>
      <c r="B535">
        <v>2</v>
      </c>
      <c r="C535">
        <v>16.989999999999998</v>
      </c>
      <c r="D535">
        <v>29.34</v>
      </c>
      <c r="E535" t="s">
        <v>164</v>
      </c>
      <c r="F535" t="s">
        <v>1726</v>
      </c>
      <c r="G535" t="s">
        <v>16</v>
      </c>
      <c r="H535">
        <v>15</v>
      </c>
      <c r="I535" t="s">
        <v>17</v>
      </c>
      <c r="J535" t="s">
        <v>25</v>
      </c>
      <c r="K535">
        <v>5</v>
      </c>
      <c r="O535">
        <f t="shared" si="10"/>
        <v>37.979999999999997</v>
      </c>
    </row>
    <row r="536" spans="1:15" x14ac:dyDescent="0.35">
      <c r="A536" t="s">
        <v>751</v>
      </c>
      <c r="B536">
        <v>2</v>
      </c>
      <c r="C536">
        <v>18.989999999999998</v>
      </c>
      <c r="D536">
        <v>32.729999999999997</v>
      </c>
      <c r="E536" t="s">
        <v>66</v>
      </c>
      <c r="F536" t="s">
        <v>1727</v>
      </c>
      <c r="G536" t="s">
        <v>21</v>
      </c>
      <c r="H536">
        <v>0</v>
      </c>
      <c r="I536" t="s">
        <v>41</v>
      </c>
      <c r="J536" t="s">
        <v>42</v>
      </c>
      <c r="K536">
        <v>6</v>
      </c>
      <c r="O536">
        <f t="shared" si="10"/>
        <v>37.979999999999997</v>
      </c>
    </row>
    <row r="537" spans="1:15" x14ac:dyDescent="0.35">
      <c r="A537" t="s">
        <v>752</v>
      </c>
      <c r="B537">
        <v>1</v>
      </c>
      <c r="C537">
        <v>34.99</v>
      </c>
      <c r="D537">
        <v>34.99</v>
      </c>
      <c r="E537" t="s">
        <v>753</v>
      </c>
      <c r="F537" t="s">
        <v>1728</v>
      </c>
      <c r="G537" t="s">
        <v>21</v>
      </c>
      <c r="H537">
        <v>0</v>
      </c>
      <c r="I537" t="s">
        <v>41</v>
      </c>
      <c r="J537" t="s">
        <v>36</v>
      </c>
      <c r="K537">
        <v>12.5</v>
      </c>
      <c r="O537">
        <f t="shared" si="10"/>
        <v>21.99</v>
      </c>
    </row>
    <row r="538" spans="1:15" x14ac:dyDescent="0.35">
      <c r="A538" t="s">
        <v>754</v>
      </c>
      <c r="B538">
        <v>3</v>
      </c>
      <c r="C538">
        <v>34.99</v>
      </c>
      <c r="D538">
        <v>83.88</v>
      </c>
      <c r="E538" t="s">
        <v>481</v>
      </c>
      <c r="F538" t="s">
        <v>1717</v>
      </c>
      <c r="G538" t="s">
        <v>21</v>
      </c>
      <c r="H538">
        <v>0</v>
      </c>
      <c r="I538" t="s">
        <v>24</v>
      </c>
      <c r="J538" t="s">
        <v>36</v>
      </c>
      <c r="K538">
        <v>12.5</v>
      </c>
      <c r="O538">
        <f t="shared" si="10"/>
        <v>84.73</v>
      </c>
    </row>
    <row r="539" spans="1:15" x14ac:dyDescent="0.35">
      <c r="A539" t="s">
        <v>755</v>
      </c>
      <c r="B539">
        <v>3</v>
      </c>
      <c r="C539">
        <v>34.99</v>
      </c>
      <c r="D539">
        <v>84.2</v>
      </c>
      <c r="E539" t="s">
        <v>551</v>
      </c>
      <c r="F539" t="s">
        <v>1718</v>
      </c>
      <c r="G539" t="s">
        <v>16</v>
      </c>
      <c r="H539">
        <v>8</v>
      </c>
      <c r="I539" t="s">
        <v>24</v>
      </c>
      <c r="J539" t="s">
        <v>36</v>
      </c>
      <c r="K539">
        <v>12.5</v>
      </c>
      <c r="O539">
        <f t="shared" si="10"/>
        <v>84.73</v>
      </c>
    </row>
    <row r="540" spans="1:15" x14ac:dyDescent="0.35">
      <c r="A540" t="s">
        <v>756</v>
      </c>
      <c r="B540">
        <v>1</v>
      </c>
      <c r="C540">
        <v>30.99</v>
      </c>
      <c r="D540">
        <v>30.99</v>
      </c>
      <c r="E540" t="s">
        <v>757</v>
      </c>
      <c r="F540" t="s">
        <v>1719</v>
      </c>
      <c r="G540" t="s">
        <v>21</v>
      </c>
      <c r="H540">
        <v>0</v>
      </c>
      <c r="I540" t="s">
        <v>17</v>
      </c>
      <c r="J540" t="s">
        <v>18</v>
      </c>
      <c r="K540">
        <v>10.5</v>
      </c>
      <c r="O540">
        <f t="shared" si="10"/>
        <v>21.99</v>
      </c>
    </row>
    <row r="541" spans="1:15" x14ac:dyDescent="0.35">
      <c r="A541" t="s">
        <v>758</v>
      </c>
      <c r="B541">
        <v>1</v>
      </c>
      <c r="C541">
        <v>16.989999999999998</v>
      </c>
      <c r="D541">
        <v>16.989999999999998</v>
      </c>
      <c r="E541" t="s">
        <v>660</v>
      </c>
      <c r="F541" t="s">
        <v>1720</v>
      </c>
      <c r="G541" t="s">
        <v>16</v>
      </c>
      <c r="H541">
        <v>20</v>
      </c>
      <c r="I541" t="s">
        <v>17</v>
      </c>
      <c r="J541" t="s">
        <v>25</v>
      </c>
      <c r="K541">
        <v>5</v>
      </c>
      <c r="O541">
        <f t="shared" si="10"/>
        <v>21.99</v>
      </c>
    </row>
    <row r="542" spans="1:15" x14ac:dyDescent="0.35">
      <c r="A542" t="s">
        <v>759</v>
      </c>
      <c r="B542">
        <v>1</v>
      </c>
      <c r="C542">
        <v>27.99</v>
      </c>
      <c r="D542">
        <v>27.99</v>
      </c>
      <c r="E542" t="s">
        <v>760</v>
      </c>
      <c r="F542" t="s">
        <v>1721</v>
      </c>
      <c r="G542" t="s">
        <v>21</v>
      </c>
      <c r="H542">
        <v>0</v>
      </c>
      <c r="I542" t="s">
        <v>24</v>
      </c>
      <c r="J542" t="s">
        <v>31</v>
      </c>
      <c r="K542">
        <v>9</v>
      </c>
      <c r="O542">
        <f t="shared" si="10"/>
        <v>21.99</v>
      </c>
    </row>
    <row r="543" spans="1:15" x14ac:dyDescent="0.35">
      <c r="A543" t="s">
        <v>761</v>
      </c>
      <c r="B543">
        <v>1</v>
      </c>
      <c r="C543">
        <v>18.989999999999998</v>
      </c>
      <c r="D543">
        <v>18.989999999999998</v>
      </c>
      <c r="E543" t="s">
        <v>762</v>
      </c>
      <c r="F543" t="s">
        <v>1722</v>
      </c>
      <c r="G543" t="s">
        <v>21</v>
      </c>
      <c r="H543">
        <v>0</v>
      </c>
      <c r="I543" t="s">
        <v>41</v>
      </c>
      <c r="J543" t="s">
        <v>42</v>
      </c>
      <c r="K543">
        <v>6</v>
      </c>
      <c r="O543">
        <f t="shared" si="10"/>
        <v>21.99</v>
      </c>
    </row>
    <row r="544" spans="1:15" x14ac:dyDescent="0.35">
      <c r="A544" t="s">
        <v>763</v>
      </c>
      <c r="B544">
        <v>1</v>
      </c>
      <c r="C544">
        <v>34.99</v>
      </c>
      <c r="D544">
        <v>34.99</v>
      </c>
      <c r="E544" t="s">
        <v>579</v>
      </c>
      <c r="F544" t="s">
        <v>1723</v>
      </c>
      <c r="G544" t="s">
        <v>21</v>
      </c>
      <c r="H544">
        <v>0</v>
      </c>
      <c r="I544" t="s">
        <v>17</v>
      </c>
      <c r="J544" t="s">
        <v>36</v>
      </c>
      <c r="K544">
        <v>12.5</v>
      </c>
      <c r="O544">
        <f t="shared" si="10"/>
        <v>21.99</v>
      </c>
    </row>
    <row r="545" spans="1:15" x14ac:dyDescent="0.35">
      <c r="A545" t="s">
        <v>764</v>
      </c>
      <c r="B545">
        <v>3</v>
      </c>
      <c r="C545">
        <v>34.99</v>
      </c>
      <c r="D545">
        <v>83.88</v>
      </c>
      <c r="E545" t="s">
        <v>765</v>
      </c>
      <c r="F545" t="s">
        <v>1724</v>
      </c>
      <c r="G545" t="s">
        <v>16</v>
      </c>
      <c r="H545">
        <v>6</v>
      </c>
      <c r="I545" t="s">
        <v>24</v>
      </c>
      <c r="J545" t="s">
        <v>36</v>
      </c>
      <c r="K545">
        <v>12.5</v>
      </c>
      <c r="O545">
        <f t="shared" si="10"/>
        <v>84.73</v>
      </c>
    </row>
    <row r="546" spans="1:15" x14ac:dyDescent="0.35">
      <c r="A546" t="s">
        <v>766</v>
      </c>
      <c r="B546">
        <v>1</v>
      </c>
      <c r="C546">
        <v>21.99</v>
      </c>
      <c r="D546">
        <v>21.99</v>
      </c>
      <c r="E546" t="s">
        <v>511</v>
      </c>
      <c r="F546" t="s">
        <v>1725</v>
      </c>
      <c r="G546" t="s">
        <v>16</v>
      </c>
      <c r="H546">
        <v>2</v>
      </c>
      <c r="I546" t="s">
        <v>24</v>
      </c>
      <c r="J546" t="s">
        <v>13</v>
      </c>
      <c r="K546">
        <v>7</v>
      </c>
      <c r="O546">
        <f t="shared" si="10"/>
        <v>21.99</v>
      </c>
    </row>
    <row r="547" spans="1:15" x14ac:dyDescent="0.35">
      <c r="A547" t="s">
        <v>767</v>
      </c>
      <c r="B547">
        <v>1</v>
      </c>
      <c r="C547">
        <v>30.99</v>
      </c>
      <c r="D547">
        <v>30.99</v>
      </c>
      <c r="E547" t="s">
        <v>768</v>
      </c>
      <c r="F547" t="s">
        <v>1726</v>
      </c>
      <c r="G547" t="s">
        <v>87</v>
      </c>
      <c r="H547">
        <v>0</v>
      </c>
      <c r="I547" t="s">
        <v>41</v>
      </c>
      <c r="J547" t="s">
        <v>18</v>
      </c>
      <c r="K547">
        <v>10.5</v>
      </c>
      <c r="O547">
        <f t="shared" si="10"/>
        <v>21.99</v>
      </c>
    </row>
    <row r="548" spans="1:15" x14ac:dyDescent="0.35">
      <c r="A548" t="s">
        <v>769</v>
      </c>
      <c r="B548">
        <v>2</v>
      </c>
      <c r="C548">
        <v>34.99</v>
      </c>
      <c r="D548">
        <v>61.06</v>
      </c>
      <c r="E548" s="6">
        <v>46322</v>
      </c>
      <c r="F548" t="s">
        <v>1727</v>
      </c>
      <c r="G548" t="s">
        <v>11</v>
      </c>
      <c r="H548">
        <v>8</v>
      </c>
      <c r="I548" t="s">
        <v>41</v>
      </c>
      <c r="J548" t="s">
        <v>36</v>
      </c>
      <c r="K548">
        <v>12.5</v>
      </c>
      <c r="O548">
        <f t="shared" si="10"/>
        <v>37.979999999999997</v>
      </c>
    </row>
    <row r="549" spans="1:15" x14ac:dyDescent="0.35">
      <c r="A549" t="s">
        <v>770</v>
      </c>
      <c r="B549">
        <v>1</v>
      </c>
      <c r="C549">
        <v>27.99</v>
      </c>
      <c r="D549">
        <v>27.99</v>
      </c>
      <c r="E549" t="s">
        <v>771</v>
      </c>
      <c r="F549" t="s">
        <v>1728</v>
      </c>
      <c r="G549" t="s">
        <v>16</v>
      </c>
      <c r="H549">
        <v>3</v>
      </c>
      <c r="I549" t="s">
        <v>12</v>
      </c>
      <c r="J549" t="s">
        <v>31</v>
      </c>
      <c r="K549">
        <v>9</v>
      </c>
      <c r="O549">
        <f t="shared" si="10"/>
        <v>21.99</v>
      </c>
    </row>
    <row r="550" spans="1:15" x14ac:dyDescent="0.35">
      <c r="A550" t="s">
        <v>772</v>
      </c>
      <c r="B550">
        <v>1</v>
      </c>
      <c r="C550">
        <v>16.989999999999998</v>
      </c>
      <c r="D550">
        <v>16.989999999999998</v>
      </c>
      <c r="E550" t="s">
        <v>773</v>
      </c>
      <c r="F550" t="s">
        <v>1717</v>
      </c>
      <c r="G550" t="s">
        <v>16</v>
      </c>
      <c r="H550">
        <v>23</v>
      </c>
      <c r="I550" t="s">
        <v>24</v>
      </c>
      <c r="J550" t="s">
        <v>25</v>
      </c>
      <c r="K550">
        <v>5</v>
      </c>
      <c r="O550">
        <f t="shared" si="10"/>
        <v>21.99</v>
      </c>
    </row>
    <row r="551" spans="1:15" x14ac:dyDescent="0.35">
      <c r="A551" t="s">
        <v>774</v>
      </c>
      <c r="B551">
        <v>2</v>
      </c>
      <c r="C551">
        <v>34.99</v>
      </c>
      <c r="D551">
        <v>60.13</v>
      </c>
      <c r="E551" t="s">
        <v>775</v>
      </c>
      <c r="F551" t="s">
        <v>1718</v>
      </c>
      <c r="G551" t="s">
        <v>16</v>
      </c>
      <c r="H551">
        <v>8</v>
      </c>
      <c r="I551" t="s">
        <v>41</v>
      </c>
      <c r="J551" t="s">
        <v>36</v>
      </c>
      <c r="K551">
        <v>12.5</v>
      </c>
      <c r="O551">
        <f t="shared" si="10"/>
        <v>37.979999999999997</v>
      </c>
    </row>
    <row r="552" spans="1:15" x14ac:dyDescent="0.35">
      <c r="A552" t="s">
        <v>776</v>
      </c>
      <c r="B552">
        <v>1</v>
      </c>
      <c r="C552">
        <v>16.989999999999998</v>
      </c>
      <c r="D552">
        <v>16.989999999999998</v>
      </c>
      <c r="E552" t="s">
        <v>416</v>
      </c>
      <c r="F552" t="s">
        <v>1719</v>
      </c>
      <c r="G552" t="s">
        <v>16</v>
      </c>
      <c r="H552">
        <v>20</v>
      </c>
      <c r="I552" t="s">
        <v>24</v>
      </c>
      <c r="J552" t="s">
        <v>25</v>
      </c>
      <c r="K552">
        <v>5</v>
      </c>
      <c r="O552">
        <f t="shared" si="10"/>
        <v>21.99</v>
      </c>
    </row>
    <row r="553" spans="1:15" x14ac:dyDescent="0.35">
      <c r="A553" t="s">
        <v>777</v>
      </c>
      <c r="B553">
        <v>1</v>
      </c>
      <c r="C553">
        <v>34.99</v>
      </c>
      <c r="D553">
        <v>34.99</v>
      </c>
      <c r="E553" t="s">
        <v>627</v>
      </c>
      <c r="F553" t="s">
        <v>1720</v>
      </c>
      <c r="G553" t="s">
        <v>16</v>
      </c>
      <c r="H553">
        <v>6</v>
      </c>
      <c r="I553" t="s">
        <v>17</v>
      </c>
      <c r="J553" t="s">
        <v>36</v>
      </c>
      <c r="K553">
        <v>12.5</v>
      </c>
      <c r="O553">
        <f t="shared" si="10"/>
        <v>21.99</v>
      </c>
    </row>
    <row r="554" spans="1:15" x14ac:dyDescent="0.35">
      <c r="A554" t="s">
        <v>778</v>
      </c>
      <c r="B554">
        <v>1</v>
      </c>
      <c r="C554">
        <v>27.99</v>
      </c>
      <c r="D554">
        <v>27.99</v>
      </c>
      <c r="E554" t="s">
        <v>453</v>
      </c>
      <c r="F554" t="s">
        <v>1721</v>
      </c>
      <c r="G554" t="s">
        <v>16</v>
      </c>
      <c r="H554">
        <v>2</v>
      </c>
      <c r="I554" t="s">
        <v>41</v>
      </c>
      <c r="J554" t="s">
        <v>31</v>
      </c>
      <c r="K554">
        <v>9</v>
      </c>
      <c r="O554">
        <f t="shared" si="10"/>
        <v>21.99</v>
      </c>
    </row>
    <row r="555" spans="1:15" x14ac:dyDescent="0.35">
      <c r="A555" t="s">
        <v>779</v>
      </c>
      <c r="B555">
        <v>1</v>
      </c>
      <c r="C555">
        <v>34.99</v>
      </c>
      <c r="D555">
        <v>34.99</v>
      </c>
      <c r="E555" t="s">
        <v>780</v>
      </c>
      <c r="F555" t="s">
        <v>1722</v>
      </c>
      <c r="G555" t="s">
        <v>11</v>
      </c>
      <c r="H555">
        <v>8</v>
      </c>
      <c r="I555" t="s">
        <v>12</v>
      </c>
      <c r="J555" t="s">
        <v>36</v>
      </c>
      <c r="K555">
        <v>12.5</v>
      </c>
      <c r="O555">
        <f t="shared" si="10"/>
        <v>21.99</v>
      </c>
    </row>
    <row r="556" spans="1:15" x14ac:dyDescent="0.35">
      <c r="A556" t="s">
        <v>781</v>
      </c>
      <c r="B556">
        <v>2</v>
      </c>
      <c r="C556">
        <v>16.989999999999998</v>
      </c>
      <c r="D556">
        <v>29.66</v>
      </c>
      <c r="E556" t="s">
        <v>575</v>
      </c>
      <c r="F556" t="s">
        <v>1723</v>
      </c>
      <c r="G556" t="s">
        <v>16</v>
      </c>
      <c r="H556">
        <v>16</v>
      </c>
      <c r="I556" t="s">
        <v>12</v>
      </c>
      <c r="J556" t="s">
        <v>25</v>
      </c>
      <c r="K556">
        <v>5</v>
      </c>
      <c r="O556">
        <f t="shared" si="10"/>
        <v>37.979999999999997</v>
      </c>
    </row>
    <row r="557" spans="1:15" x14ac:dyDescent="0.35">
      <c r="A557" t="s">
        <v>782</v>
      </c>
      <c r="B557">
        <v>1</v>
      </c>
      <c r="C557">
        <v>34.99</v>
      </c>
      <c r="D557">
        <v>34.99</v>
      </c>
      <c r="E557" t="s">
        <v>166</v>
      </c>
      <c r="F557" t="s">
        <v>1724</v>
      </c>
      <c r="G557" t="s">
        <v>16</v>
      </c>
      <c r="H557">
        <v>5</v>
      </c>
      <c r="I557" t="s">
        <v>12</v>
      </c>
      <c r="J557" t="s">
        <v>36</v>
      </c>
      <c r="K557">
        <v>12.5</v>
      </c>
      <c r="O557">
        <f t="shared" si="10"/>
        <v>21.99</v>
      </c>
    </row>
    <row r="558" spans="1:15" x14ac:dyDescent="0.35">
      <c r="A558" t="s">
        <v>783</v>
      </c>
      <c r="B558">
        <v>2</v>
      </c>
      <c r="C558">
        <v>21.99</v>
      </c>
      <c r="D558">
        <v>38.18</v>
      </c>
      <c r="E558" t="s">
        <v>784</v>
      </c>
      <c r="F558" t="s">
        <v>1725</v>
      </c>
      <c r="G558" t="s">
        <v>21</v>
      </c>
      <c r="H558">
        <v>0</v>
      </c>
      <c r="I558" t="s">
        <v>41</v>
      </c>
      <c r="J558" t="s">
        <v>13</v>
      </c>
      <c r="K558">
        <v>7</v>
      </c>
      <c r="O558">
        <f t="shared" si="10"/>
        <v>37.979999999999997</v>
      </c>
    </row>
    <row r="559" spans="1:15" x14ac:dyDescent="0.35">
      <c r="A559" t="s">
        <v>785</v>
      </c>
      <c r="B559">
        <v>1</v>
      </c>
      <c r="C559">
        <v>18.989999999999998</v>
      </c>
      <c r="D559">
        <v>18.989999999999998</v>
      </c>
      <c r="E559" t="s">
        <v>786</v>
      </c>
      <c r="F559" t="s">
        <v>1726</v>
      </c>
      <c r="G559" t="s">
        <v>87</v>
      </c>
      <c r="H559">
        <v>0</v>
      </c>
      <c r="I559" t="s">
        <v>12</v>
      </c>
      <c r="J559" t="s">
        <v>42</v>
      </c>
      <c r="K559">
        <v>6</v>
      </c>
      <c r="O559">
        <f t="shared" si="10"/>
        <v>21.99</v>
      </c>
    </row>
    <row r="560" spans="1:15" x14ac:dyDescent="0.35">
      <c r="A560" t="s">
        <v>787</v>
      </c>
      <c r="B560">
        <v>3</v>
      </c>
      <c r="C560">
        <v>34.99</v>
      </c>
      <c r="D560">
        <v>83.72</v>
      </c>
      <c r="E560" t="s">
        <v>788</v>
      </c>
      <c r="F560" t="s">
        <v>1727</v>
      </c>
      <c r="G560" t="s">
        <v>16</v>
      </c>
      <c r="H560">
        <v>5</v>
      </c>
      <c r="I560" t="s">
        <v>41</v>
      </c>
      <c r="J560" t="s">
        <v>36</v>
      </c>
      <c r="K560">
        <v>12.5</v>
      </c>
      <c r="O560">
        <f t="shared" si="10"/>
        <v>84.73</v>
      </c>
    </row>
    <row r="561" spans="1:15" x14ac:dyDescent="0.35">
      <c r="A561" t="s">
        <v>789</v>
      </c>
      <c r="B561">
        <v>1</v>
      </c>
      <c r="C561">
        <v>27.99</v>
      </c>
      <c r="D561">
        <v>27.99</v>
      </c>
      <c r="E561" t="s">
        <v>790</v>
      </c>
      <c r="F561" t="s">
        <v>1728</v>
      </c>
      <c r="G561" t="s">
        <v>16</v>
      </c>
      <c r="H561">
        <v>8</v>
      </c>
      <c r="I561" t="s">
        <v>24</v>
      </c>
      <c r="J561" t="s">
        <v>31</v>
      </c>
      <c r="K561">
        <v>9</v>
      </c>
      <c r="O561">
        <f t="shared" si="10"/>
        <v>21.99</v>
      </c>
    </row>
    <row r="562" spans="1:15" x14ac:dyDescent="0.35">
      <c r="A562" t="s">
        <v>791</v>
      </c>
      <c r="B562">
        <v>1</v>
      </c>
      <c r="C562">
        <v>21.99</v>
      </c>
      <c r="D562">
        <v>21.99</v>
      </c>
      <c r="E562" t="s">
        <v>582</v>
      </c>
      <c r="F562" t="s">
        <v>1717</v>
      </c>
      <c r="G562" t="s">
        <v>16</v>
      </c>
      <c r="H562">
        <v>2</v>
      </c>
      <c r="I562" t="s">
        <v>17</v>
      </c>
      <c r="J562" t="s">
        <v>13</v>
      </c>
      <c r="K562">
        <v>7</v>
      </c>
      <c r="O562">
        <f t="shared" si="10"/>
        <v>21.99</v>
      </c>
    </row>
    <row r="563" spans="1:15" x14ac:dyDescent="0.35">
      <c r="A563" t="s">
        <v>792</v>
      </c>
      <c r="B563">
        <v>1</v>
      </c>
      <c r="C563">
        <v>27.99</v>
      </c>
      <c r="D563">
        <v>27.99</v>
      </c>
      <c r="E563" t="s">
        <v>793</v>
      </c>
      <c r="F563" t="s">
        <v>1718</v>
      </c>
      <c r="G563" t="s">
        <v>16</v>
      </c>
      <c r="H563">
        <v>7</v>
      </c>
      <c r="I563" t="s">
        <v>41</v>
      </c>
      <c r="J563" t="s">
        <v>31</v>
      </c>
      <c r="K563">
        <v>9</v>
      </c>
      <c r="O563">
        <f t="shared" si="10"/>
        <v>21.99</v>
      </c>
    </row>
    <row r="564" spans="1:15" x14ac:dyDescent="0.35">
      <c r="A564" t="s">
        <v>794</v>
      </c>
      <c r="B564">
        <v>1</v>
      </c>
      <c r="C564">
        <v>27.99</v>
      </c>
      <c r="D564">
        <v>27.99</v>
      </c>
      <c r="E564" t="s">
        <v>795</v>
      </c>
      <c r="F564" t="s">
        <v>1719</v>
      </c>
      <c r="G564" t="s">
        <v>28</v>
      </c>
      <c r="H564">
        <v>0</v>
      </c>
      <c r="I564" t="s">
        <v>41</v>
      </c>
      <c r="J564" t="s">
        <v>31</v>
      </c>
      <c r="K564">
        <v>9</v>
      </c>
      <c r="O564">
        <f t="shared" si="10"/>
        <v>21.99</v>
      </c>
    </row>
    <row r="565" spans="1:15" x14ac:dyDescent="0.35">
      <c r="A565" t="s">
        <v>796</v>
      </c>
      <c r="B565">
        <v>1</v>
      </c>
      <c r="C565">
        <v>30.99</v>
      </c>
      <c r="D565">
        <v>30.99</v>
      </c>
      <c r="E565" t="s">
        <v>797</v>
      </c>
      <c r="F565" t="s">
        <v>1720</v>
      </c>
      <c r="G565" t="s">
        <v>21</v>
      </c>
      <c r="H565">
        <v>0</v>
      </c>
      <c r="I565" t="s">
        <v>24</v>
      </c>
      <c r="J565" t="s">
        <v>18</v>
      </c>
      <c r="K565">
        <v>10.5</v>
      </c>
      <c r="O565">
        <f t="shared" si="10"/>
        <v>21.99</v>
      </c>
    </row>
    <row r="566" spans="1:15" x14ac:dyDescent="0.35">
      <c r="A566" t="s">
        <v>798</v>
      </c>
      <c r="B566">
        <v>1</v>
      </c>
      <c r="C566">
        <v>30.99</v>
      </c>
      <c r="D566">
        <v>30.99</v>
      </c>
      <c r="E566" t="s">
        <v>575</v>
      </c>
      <c r="F566" t="s">
        <v>1721</v>
      </c>
      <c r="G566" t="s">
        <v>21</v>
      </c>
      <c r="H566">
        <v>0</v>
      </c>
      <c r="I566" t="s">
        <v>24</v>
      </c>
      <c r="J566" t="s">
        <v>18</v>
      </c>
      <c r="K566">
        <v>10.5</v>
      </c>
      <c r="O566">
        <f t="shared" si="10"/>
        <v>21.99</v>
      </c>
    </row>
    <row r="567" spans="1:15" x14ac:dyDescent="0.35">
      <c r="A567" t="s">
        <v>799</v>
      </c>
      <c r="B567">
        <v>1</v>
      </c>
      <c r="C567">
        <v>21.99</v>
      </c>
      <c r="D567">
        <v>21.99</v>
      </c>
      <c r="E567" t="s">
        <v>608</v>
      </c>
      <c r="F567" t="s">
        <v>1722</v>
      </c>
      <c r="G567" t="s">
        <v>87</v>
      </c>
      <c r="H567">
        <v>0</v>
      </c>
      <c r="I567" t="s">
        <v>12</v>
      </c>
      <c r="J567" t="s">
        <v>13</v>
      </c>
      <c r="K567">
        <v>7</v>
      </c>
      <c r="O567">
        <f t="shared" si="10"/>
        <v>21.99</v>
      </c>
    </row>
    <row r="568" spans="1:15" x14ac:dyDescent="0.35">
      <c r="A568" t="s">
        <v>800</v>
      </c>
      <c r="B568">
        <v>1</v>
      </c>
      <c r="C568">
        <v>27.99</v>
      </c>
      <c r="D568">
        <v>27.99</v>
      </c>
      <c r="E568" t="s">
        <v>801</v>
      </c>
      <c r="F568" t="s">
        <v>1723</v>
      </c>
      <c r="G568" t="s">
        <v>16</v>
      </c>
      <c r="H568">
        <v>2</v>
      </c>
      <c r="I568" t="s">
        <v>24</v>
      </c>
      <c r="J568" t="s">
        <v>31</v>
      </c>
      <c r="K568">
        <v>9</v>
      </c>
      <c r="O568">
        <f t="shared" si="10"/>
        <v>21.99</v>
      </c>
    </row>
    <row r="569" spans="1:15" x14ac:dyDescent="0.35">
      <c r="A569" t="s">
        <v>802</v>
      </c>
      <c r="B569">
        <v>3</v>
      </c>
      <c r="C569">
        <v>18.989999999999998</v>
      </c>
      <c r="D569">
        <v>45.85</v>
      </c>
      <c r="E569" t="s">
        <v>543</v>
      </c>
      <c r="F569" t="s">
        <v>1724</v>
      </c>
      <c r="G569" t="s">
        <v>16</v>
      </c>
      <c r="H569">
        <v>10</v>
      </c>
      <c r="I569" t="s">
        <v>24</v>
      </c>
      <c r="J569" t="s">
        <v>42</v>
      </c>
      <c r="K569">
        <v>6</v>
      </c>
      <c r="O569">
        <f t="shared" si="10"/>
        <v>84.73</v>
      </c>
    </row>
    <row r="570" spans="1:15" x14ac:dyDescent="0.35">
      <c r="A570" t="s">
        <v>803</v>
      </c>
      <c r="B570">
        <v>1</v>
      </c>
      <c r="C570">
        <v>18.989999999999998</v>
      </c>
      <c r="D570">
        <v>18.989999999999998</v>
      </c>
      <c r="E570" t="s">
        <v>804</v>
      </c>
      <c r="F570" t="s">
        <v>1725</v>
      </c>
      <c r="G570" t="s">
        <v>16</v>
      </c>
      <c r="H570">
        <v>10</v>
      </c>
      <c r="I570" t="s">
        <v>41</v>
      </c>
      <c r="J570" t="s">
        <v>42</v>
      </c>
      <c r="K570">
        <v>6</v>
      </c>
      <c r="O570">
        <f t="shared" si="10"/>
        <v>21.99</v>
      </c>
    </row>
    <row r="571" spans="1:15" x14ac:dyDescent="0.35">
      <c r="A571" t="s">
        <v>805</v>
      </c>
      <c r="B571">
        <v>3</v>
      </c>
      <c r="C571">
        <v>27.99</v>
      </c>
      <c r="D571">
        <v>67.849999999999994</v>
      </c>
      <c r="E571" t="s">
        <v>806</v>
      </c>
      <c r="F571" t="s">
        <v>1726</v>
      </c>
      <c r="G571" t="s">
        <v>21</v>
      </c>
      <c r="H571">
        <v>0</v>
      </c>
      <c r="I571" t="s">
        <v>17</v>
      </c>
      <c r="J571" t="s">
        <v>31</v>
      </c>
      <c r="K571">
        <v>9</v>
      </c>
      <c r="O571">
        <f t="shared" si="10"/>
        <v>84.73</v>
      </c>
    </row>
    <row r="572" spans="1:15" x14ac:dyDescent="0.35">
      <c r="A572" t="s">
        <v>807</v>
      </c>
      <c r="B572">
        <v>1</v>
      </c>
      <c r="C572">
        <v>18.989999999999998</v>
      </c>
      <c r="D572">
        <v>18.989999999999998</v>
      </c>
      <c r="E572" t="s">
        <v>808</v>
      </c>
      <c r="F572" t="s">
        <v>1727</v>
      </c>
      <c r="G572" t="s">
        <v>21</v>
      </c>
      <c r="H572">
        <v>0</v>
      </c>
      <c r="I572" t="s">
        <v>41</v>
      </c>
      <c r="J572" t="s">
        <v>42</v>
      </c>
      <c r="K572">
        <v>6</v>
      </c>
      <c r="O572">
        <f t="shared" si="10"/>
        <v>21.99</v>
      </c>
    </row>
    <row r="573" spans="1:15" x14ac:dyDescent="0.35">
      <c r="A573" t="s">
        <v>809</v>
      </c>
      <c r="B573">
        <v>1</v>
      </c>
      <c r="C573">
        <v>18.989999999999998</v>
      </c>
      <c r="D573">
        <v>18.989999999999998</v>
      </c>
      <c r="E573" t="s">
        <v>416</v>
      </c>
      <c r="F573" t="s">
        <v>1728</v>
      </c>
      <c r="G573" t="s">
        <v>21</v>
      </c>
      <c r="H573">
        <v>0</v>
      </c>
      <c r="I573" t="s">
        <v>17</v>
      </c>
      <c r="J573" t="s">
        <v>42</v>
      </c>
      <c r="K573">
        <v>6</v>
      </c>
      <c r="O573">
        <f t="shared" si="10"/>
        <v>21.99</v>
      </c>
    </row>
    <row r="574" spans="1:15" x14ac:dyDescent="0.35">
      <c r="A574" t="s">
        <v>810</v>
      </c>
      <c r="B574">
        <v>1</v>
      </c>
      <c r="C574">
        <v>16.989999999999998</v>
      </c>
      <c r="D574">
        <v>16.989999999999998</v>
      </c>
      <c r="E574" t="s">
        <v>610</v>
      </c>
      <c r="F574" t="s">
        <v>1717</v>
      </c>
      <c r="G574" t="s">
        <v>16</v>
      </c>
      <c r="H574">
        <v>15</v>
      </c>
      <c r="I574" t="s">
        <v>12</v>
      </c>
      <c r="J574" t="s">
        <v>25</v>
      </c>
      <c r="K574">
        <v>5</v>
      </c>
      <c r="O574">
        <f t="shared" si="10"/>
        <v>21.99</v>
      </c>
    </row>
    <row r="575" spans="1:15" x14ac:dyDescent="0.35">
      <c r="A575" t="s">
        <v>811</v>
      </c>
      <c r="B575">
        <v>1</v>
      </c>
      <c r="C575">
        <v>34.99</v>
      </c>
      <c r="D575">
        <v>34.99</v>
      </c>
      <c r="E575" t="s">
        <v>812</v>
      </c>
      <c r="F575" t="s">
        <v>1718</v>
      </c>
      <c r="G575" t="s">
        <v>16</v>
      </c>
      <c r="H575">
        <v>6</v>
      </c>
      <c r="I575" t="s">
        <v>41</v>
      </c>
      <c r="J575" t="s">
        <v>36</v>
      </c>
      <c r="K575">
        <v>12.5</v>
      </c>
      <c r="O575">
        <f t="shared" si="10"/>
        <v>21.99</v>
      </c>
    </row>
    <row r="576" spans="1:15" x14ac:dyDescent="0.35">
      <c r="A576" t="s">
        <v>813</v>
      </c>
      <c r="B576">
        <v>1</v>
      </c>
      <c r="C576">
        <v>27.99</v>
      </c>
      <c r="D576">
        <v>27.99</v>
      </c>
      <c r="E576" t="s">
        <v>814</v>
      </c>
      <c r="F576" t="s">
        <v>1719</v>
      </c>
      <c r="G576" t="s">
        <v>21</v>
      </c>
      <c r="H576">
        <v>0</v>
      </c>
      <c r="I576" t="s">
        <v>17</v>
      </c>
      <c r="J576" t="s">
        <v>31</v>
      </c>
      <c r="K576">
        <v>9</v>
      </c>
      <c r="O576">
        <f t="shared" si="10"/>
        <v>21.99</v>
      </c>
    </row>
    <row r="577" spans="1:15" x14ac:dyDescent="0.35">
      <c r="A577" t="s">
        <v>815</v>
      </c>
      <c r="B577">
        <v>1</v>
      </c>
      <c r="C577">
        <v>16.989999999999998</v>
      </c>
      <c r="D577">
        <v>16.989999999999998</v>
      </c>
      <c r="E577" t="s">
        <v>106</v>
      </c>
      <c r="F577" t="s">
        <v>1720</v>
      </c>
      <c r="G577" t="s">
        <v>21</v>
      </c>
      <c r="H577">
        <v>0</v>
      </c>
      <c r="I577" t="s">
        <v>41</v>
      </c>
      <c r="J577" t="s">
        <v>25</v>
      </c>
      <c r="K577">
        <v>5</v>
      </c>
      <c r="O577">
        <f t="shared" si="10"/>
        <v>21.99</v>
      </c>
    </row>
    <row r="578" spans="1:15" x14ac:dyDescent="0.35">
      <c r="A578" t="s">
        <v>816</v>
      </c>
      <c r="B578">
        <v>1</v>
      </c>
      <c r="C578">
        <v>34.99</v>
      </c>
      <c r="D578">
        <v>34.99</v>
      </c>
      <c r="E578" t="s">
        <v>459</v>
      </c>
      <c r="F578" t="s">
        <v>1721</v>
      </c>
      <c r="G578" t="s">
        <v>87</v>
      </c>
      <c r="H578">
        <v>0</v>
      </c>
      <c r="I578" t="s">
        <v>41</v>
      </c>
      <c r="J578" t="s">
        <v>36</v>
      </c>
      <c r="K578">
        <v>12.5</v>
      </c>
      <c r="O578">
        <f t="shared" ref="O578:O641" si="11">VLOOKUP(B:B,B:H,3,FALSE)</f>
        <v>21.99</v>
      </c>
    </row>
    <row r="579" spans="1:15" x14ac:dyDescent="0.35">
      <c r="A579" t="s">
        <v>817</v>
      </c>
      <c r="B579">
        <v>3</v>
      </c>
      <c r="C579">
        <v>21.99</v>
      </c>
      <c r="D579">
        <v>52.43</v>
      </c>
      <c r="E579" t="s">
        <v>818</v>
      </c>
      <c r="F579" t="s">
        <v>1722</v>
      </c>
      <c r="G579" t="s">
        <v>16</v>
      </c>
      <c r="H579">
        <v>2</v>
      </c>
      <c r="I579" t="s">
        <v>41</v>
      </c>
      <c r="J579" t="s">
        <v>13</v>
      </c>
      <c r="K579">
        <v>7</v>
      </c>
      <c r="O579">
        <f t="shared" si="11"/>
        <v>84.73</v>
      </c>
    </row>
    <row r="580" spans="1:15" x14ac:dyDescent="0.35">
      <c r="A580" t="s">
        <v>819</v>
      </c>
      <c r="B580">
        <v>2</v>
      </c>
      <c r="C580">
        <v>21.99</v>
      </c>
      <c r="D580">
        <v>38.36</v>
      </c>
      <c r="E580" t="s">
        <v>820</v>
      </c>
      <c r="F580" t="s">
        <v>1723</v>
      </c>
      <c r="G580" t="s">
        <v>21</v>
      </c>
      <c r="H580">
        <v>0</v>
      </c>
      <c r="I580" t="s">
        <v>12</v>
      </c>
      <c r="J580" t="s">
        <v>13</v>
      </c>
      <c r="K580">
        <v>7</v>
      </c>
      <c r="O580">
        <f t="shared" si="11"/>
        <v>37.979999999999997</v>
      </c>
    </row>
    <row r="581" spans="1:15" x14ac:dyDescent="0.35">
      <c r="A581" t="s">
        <v>821</v>
      </c>
      <c r="B581">
        <v>2</v>
      </c>
      <c r="C581">
        <v>27.99</v>
      </c>
      <c r="D581">
        <v>48.16</v>
      </c>
      <c r="E581" t="s">
        <v>822</v>
      </c>
      <c r="F581" t="s">
        <v>1724</v>
      </c>
      <c r="G581" t="s">
        <v>16</v>
      </c>
      <c r="H581">
        <v>2</v>
      </c>
      <c r="I581" t="s">
        <v>17</v>
      </c>
      <c r="J581" t="s">
        <v>31</v>
      </c>
      <c r="K581">
        <v>9</v>
      </c>
      <c r="O581">
        <f t="shared" si="11"/>
        <v>37.979999999999997</v>
      </c>
    </row>
    <row r="582" spans="1:15" x14ac:dyDescent="0.35">
      <c r="A582" t="s">
        <v>823</v>
      </c>
      <c r="B582">
        <v>1</v>
      </c>
      <c r="C582">
        <v>16.989999999999998</v>
      </c>
      <c r="D582">
        <v>16.989999999999998</v>
      </c>
      <c r="E582" t="s">
        <v>33</v>
      </c>
      <c r="F582" t="s">
        <v>1725</v>
      </c>
      <c r="G582" t="s">
        <v>16</v>
      </c>
      <c r="H582">
        <v>17</v>
      </c>
      <c r="I582" t="s">
        <v>17</v>
      </c>
      <c r="J582" t="s">
        <v>25</v>
      </c>
      <c r="K582">
        <v>5</v>
      </c>
      <c r="O582">
        <f t="shared" si="11"/>
        <v>21.99</v>
      </c>
    </row>
    <row r="583" spans="1:15" x14ac:dyDescent="0.35">
      <c r="A583" t="s">
        <v>824</v>
      </c>
      <c r="B583">
        <v>2</v>
      </c>
      <c r="C583">
        <v>34.99</v>
      </c>
      <c r="D583">
        <v>59.9</v>
      </c>
      <c r="E583" t="s">
        <v>524</v>
      </c>
      <c r="F583" t="s">
        <v>1726</v>
      </c>
      <c r="G583" t="s">
        <v>87</v>
      </c>
      <c r="H583">
        <v>0</v>
      </c>
      <c r="I583" t="s">
        <v>24</v>
      </c>
      <c r="J583" t="s">
        <v>36</v>
      </c>
      <c r="K583">
        <v>12.5</v>
      </c>
      <c r="O583">
        <f t="shared" si="11"/>
        <v>37.979999999999997</v>
      </c>
    </row>
    <row r="584" spans="1:15" x14ac:dyDescent="0.35">
      <c r="A584" t="s">
        <v>825</v>
      </c>
      <c r="B584">
        <v>1</v>
      </c>
      <c r="C584">
        <v>18.989999999999998</v>
      </c>
      <c r="D584">
        <v>18.989999999999998</v>
      </c>
      <c r="E584" t="s">
        <v>479</v>
      </c>
      <c r="F584" t="s">
        <v>1727</v>
      </c>
      <c r="G584" t="s">
        <v>28</v>
      </c>
      <c r="H584">
        <v>0</v>
      </c>
      <c r="I584" t="s">
        <v>17</v>
      </c>
      <c r="J584" t="s">
        <v>42</v>
      </c>
      <c r="K584">
        <v>6</v>
      </c>
      <c r="O584">
        <f t="shared" si="11"/>
        <v>21.99</v>
      </c>
    </row>
    <row r="585" spans="1:15" x14ac:dyDescent="0.35">
      <c r="A585" t="s">
        <v>826</v>
      </c>
      <c r="B585">
        <v>1</v>
      </c>
      <c r="C585">
        <v>21.99</v>
      </c>
      <c r="D585">
        <v>21.99</v>
      </c>
      <c r="E585" t="s">
        <v>162</v>
      </c>
      <c r="F585" t="s">
        <v>1728</v>
      </c>
      <c r="G585" t="s">
        <v>87</v>
      </c>
      <c r="H585">
        <v>0</v>
      </c>
      <c r="I585" t="s">
        <v>12</v>
      </c>
      <c r="J585" t="s">
        <v>13</v>
      </c>
      <c r="K585">
        <v>7</v>
      </c>
      <c r="O585">
        <f t="shared" si="11"/>
        <v>21.99</v>
      </c>
    </row>
    <row r="586" spans="1:15" x14ac:dyDescent="0.35">
      <c r="A586" t="s">
        <v>827</v>
      </c>
      <c r="B586">
        <v>3</v>
      </c>
      <c r="C586">
        <v>34.99</v>
      </c>
      <c r="D586">
        <v>84.67</v>
      </c>
      <c r="E586" t="s">
        <v>639</v>
      </c>
      <c r="F586" t="s">
        <v>1717</v>
      </c>
      <c r="G586" t="s">
        <v>16</v>
      </c>
      <c r="H586">
        <v>6</v>
      </c>
      <c r="I586" t="s">
        <v>12</v>
      </c>
      <c r="J586" t="s">
        <v>36</v>
      </c>
      <c r="K586">
        <v>12.5</v>
      </c>
      <c r="O586">
        <f t="shared" si="11"/>
        <v>84.73</v>
      </c>
    </row>
    <row r="587" spans="1:15" x14ac:dyDescent="0.35">
      <c r="A587" t="s">
        <v>828</v>
      </c>
      <c r="B587">
        <v>1</v>
      </c>
      <c r="C587">
        <v>30.99</v>
      </c>
      <c r="D587">
        <v>30.99</v>
      </c>
      <c r="E587" t="s">
        <v>829</v>
      </c>
      <c r="F587" t="s">
        <v>1718</v>
      </c>
      <c r="G587" t="s">
        <v>21</v>
      </c>
      <c r="H587">
        <v>0</v>
      </c>
      <c r="I587" t="s">
        <v>17</v>
      </c>
      <c r="J587" t="s">
        <v>18</v>
      </c>
      <c r="K587">
        <v>10.5</v>
      </c>
      <c r="O587">
        <f t="shared" si="11"/>
        <v>21.99</v>
      </c>
    </row>
    <row r="588" spans="1:15" x14ac:dyDescent="0.35">
      <c r="A588" t="s">
        <v>830</v>
      </c>
      <c r="B588">
        <v>1</v>
      </c>
      <c r="C588">
        <v>34.99</v>
      </c>
      <c r="D588">
        <v>34.99</v>
      </c>
      <c r="E588" t="s">
        <v>587</v>
      </c>
      <c r="F588" t="s">
        <v>1719</v>
      </c>
      <c r="G588" t="s">
        <v>16</v>
      </c>
      <c r="H588">
        <v>8</v>
      </c>
      <c r="I588" t="s">
        <v>17</v>
      </c>
      <c r="J588" t="s">
        <v>36</v>
      </c>
      <c r="K588">
        <v>12.5</v>
      </c>
      <c r="O588">
        <f t="shared" si="11"/>
        <v>21.99</v>
      </c>
    </row>
    <row r="589" spans="1:15" x14ac:dyDescent="0.35">
      <c r="A589" t="s">
        <v>831</v>
      </c>
      <c r="B589">
        <v>3</v>
      </c>
      <c r="C589">
        <v>18.989999999999998</v>
      </c>
      <c r="D589">
        <v>45.49</v>
      </c>
      <c r="E589" t="s">
        <v>832</v>
      </c>
      <c r="F589" t="s">
        <v>1720</v>
      </c>
      <c r="G589" t="s">
        <v>11</v>
      </c>
      <c r="H589">
        <v>14</v>
      </c>
      <c r="I589" t="s">
        <v>17</v>
      </c>
      <c r="J589" t="s">
        <v>42</v>
      </c>
      <c r="K589">
        <v>6</v>
      </c>
      <c r="O589">
        <f t="shared" si="11"/>
        <v>84.73</v>
      </c>
    </row>
    <row r="590" spans="1:15" x14ac:dyDescent="0.35">
      <c r="A590" t="s">
        <v>833</v>
      </c>
      <c r="B590">
        <v>3</v>
      </c>
      <c r="C590">
        <v>21.99</v>
      </c>
      <c r="D590">
        <v>52.41</v>
      </c>
      <c r="E590" t="s">
        <v>834</v>
      </c>
      <c r="F590" t="s">
        <v>1721</v>
      </c>
      <c r="G590" t="s">
        <v>28</v>
      </c>
      <c r="H590">
        <v>0</v>
      </c>
      <c r="I590" t="s">
        <v>17</v>
      </c>
      <c r="J590" t="s">
        <v>13</v>
      </c>
      <c r="K590">
        <v>7</v>
      </c>
      <c r="O590">
        <f t="shared" si="11"/>
        <v>84.73</v>
      </c>
    </row>
    <row r="591" spans="1:15" x14ac:dyDescent="0.35">
      <c r="A591" t="s">
        <v>835</v>
      </c>
      <c r="B591">
        <v>1</v>
      </c>
      <c r="C591">
        <v>18.989999999999998</v>
      </c>
      <c r="D591">
        <v>18.989999999999998</v>
      </c>
      <c r="E591" t="s">
        <v>836</v>
      </c>
      <c r="F591" t="s">
        <v>1722</v>
      </c>
      <c r="G591" t="s">
        <v>87</v>
      </c>
      <c r="H591">
        <v>0</v>
      </c>
      <c r="I591" t="s">
        <v>12</v>
      </c>
      <c r="J591" t="s">
        <v>42</v>
      </c>
      <c r="K591">
        <v>6</v>
      </c>
      <c r="O591">
        <f t="shared" si="11"/>
        <v>21.99</v>
      </c>
    </row>
    <row r="592" spans="1:15" x14ac:dyDescent="0.35">
      <c r="A592" t="s">
        <v>837</v>
      </c>
      <c r="B592">
        <v>2</v>
      </c>
      <c r="C592">
        <v>30.99</v>
      </c>
      <c r="D592">
        <v>53.07</v>
      </c>
      <c r="E592" t="s">
        <v>838</v>
      </c>
      <c r="F592" t="s">
        <v>1723</v>
      </c>
      <c r="G592" t="s">
        <v>16</v>
      </c>
      <c r="H592">
        <v>3</v>
      </c>
      <c r="I592" t="s">
        <v>41</v>
      </c>
      <c r="J592" t="s">
        <v>18</v>
      </c>
      <c r="K592">
        <v>10.5</v>
      </c>
      <c r="O592">
        <f t="shared" si="11"/>
        <v>37.979999999999997</v>
      </c>
    </row>
    <row r="593" spans="1:15" x14ac:dyDescent="0.35">
      <c r="A593" t="s">
        <v>839</v>
      </c>
      <c r="B593">
        <v>1</v>
      </c>
      <c r="C593">
        <v>18.989999999999998</v>
      </c>
      <c r="D593">
        <v>18.989999999999998</v>
      </c>
      <c r="E593" t="s">
        <v>632</v>
      </c>
      <c r="F593" t="s">
        <v>1724</v>
      </c>
      <c r="G593" t="s">
        <v>16</v>
      </c>
      <c r="H593">
        <v>20</v>
      </c>
      <c r="I593" t="s">
        <v>17</v>
      </c>
      <c r="J593" t="s">
        <v>42</v>
      </c>
      <c r="K593">
        <v>6</v>
      </c>
      <c r="O593">
        <f t="shared" si="11"/>
        <v>21.99</v>
      </c>
    </row>
    <row r="594" spans="1:15" x14ac:dyDescent="0.35">
      <c r="A594" t="s">
        <v>840</v>
      </c>
      <c r="B594">
        <v>3</v>
      </c>
      <c r="C594">
        <v>16.989999999999998</v>
      </c>
      <c r="D594">
        <v>40.950000000000003</v>
      </c>
      <c r="E594" t="s">
        <v>841</v>
      </c>
      <c r="F594" t="s">
        <v>1725</v>
      </c>
      <c r="G594" t="s">
        <v>21</v>
      </c>
      <c r="H594">
        <v>0</v>
      </c>
      <c r="I594" t="s">
        <v>12</v>
      </c>
      <c r="J594" t="s">
        <v>25</v>
      </c>
      <c r="K594">
        <v>5</v>
      </c>
      <c r="O594">
        <f t="shared" si="11"/>
        <v>84.73</v>
      </c>
    </row>
    <row r="595" spans="1:15" x14ac:dyDescent="0.35">
      <c r="A595" t="s">
        <v>842</v>
      </c>
      <c r="B595">
        <v>1</v>
      </c>
      <c r="C595">
        <v>21.99</v>
      </c>
      <c r="D595">
        <v>21.99</v>
      </c>
      <c r="E595" t="s">
        <v>795</v>
      </c>
      <c r="F595" t="s">
        <v>1726</v>
      </c>
      <c r="G595" t="s">
        <v>16</v>
      </c>
      <c r="H595">
        <v>3</v>
      </c>
      <c r="I595" t="s">
        <v>17</v>
      </c>
      <c r="J595" t="s">
        <v>13</v>
      </c>
      <c r="K595">
        <v>7</v>
      </c>
      <c r="O595">
        <f t="shared" si="11"/>
        <v>21.99</v>
      </c>
    </row>
    <row r="596" spans="1:15" x14ac:dyDescent="0.35">
      <c r="A596" t="s">
        <v>843</v>
      </c>
      <c r="B596">
        <v>1</v>
      </c>
      <c r="C596">
        <v>30.99</v>
      </c>
      <c r="D596">
        <v>30.99</v>
      </c>
      <c r="E596" t="s">
        <v>812</v>
      </c>
      <c r="F596" t="s">
        <v>1727</v>
      </c>
      <c r="G596" t="s">
        <v>16</v>
      </c>
      <c r="H596">
        <v>2</v>
      </c>
      <c r="I596" t="s">
        <v>17</v>
      </c>
      <c r="J596" t="s">
        <v>18</v>
      </c>
      <c r="K596">
        <v>10.5</v>
      </c>
      <c r="O596">
        <f t="shared" si="11"/>
        <v>21.99</v>
      </c>
    </row>
    <row r="597" spans="1:15" x14ac:dyDescent="0.35">
      <c r="A597" t="s">
        <v>844</v>
      </c>
      <c r="B597">
        <v>2</v>
      </c>
      <c r="C597">
        <v>16.989999999999998</v>
      </c>
      <c r="D597">
        <v>29.62</v>
      </c>
      <c r="E597" t="s">
        <v>447</v>
      </c>
      <c r="F597" t="s">
        <v>1728</v>
      </c>
      <c r="G597" t="s">
        <v>16</v>
      </c>
      <c r="H597">
        <v>16</v>
      </c>
      <c r="I597" t="s">
        <v>12</v>
      </c>
      <c r="J597" t="s">
        <v>25</v>
      </c>
      <c r="K597">
        <v>5</v>
      </c>
      <c r="O597">
        <f t="shared" si="11"/>
        <v>37.979999999999997</v>
      </c>
    </row>
    <row r="598" spans="1:15" x14ac:dyDescent="0.35">
      <c r="A598" t="s">
        <v>845</v>
      </c>
      <c r="B598">
        <v>1</v>
      </c>
      <c r="C598">
        <v>30.99</v>
      </c>
      <c r="D598">
        <v>30.99</v>
      </c>
      <c r="E598" t="s">
        <v>636</v>
      </c>
      <c r="F598" t="s">
        <v>1717</v>
      </c>
      <c r="G598" t="s">
        <v>16</v>
      </c>
      <c r="H598">
        <v>3</v>
      </c>
      <c r="I598" t="s">
        <v>24</v>
      </c>
      <c r="J598" t="s">
        <v>18</v>
      </c>
      <c r="K598">
        <v>10.5</v>
      </c>
      <c r="O598">
        <f t="shared" si="11"/>
        <v>21.99</v>
      </c>
    </row>
    <row r="599" spans="1:15" x14ac:dyDescent="0.35">
      <c r="A599" t="s">
        <v>846</v>
      </c>
      <c r="B599">
        <v>1</v>
      </c>
      <c r="C599">
        <v>18.989999999999998</v>
      </c>
      <c r="D599">
        <v>18.989999999999998</v>
      </c>
      <c r="E599" t="s">
        <v>847</v>
      </c>
      <c r="F599" t="s">
        <v>1718</v>
      </c>
      <c r="G599" t="s">
        <v>16</v>
      </c>
      <c r="H599">
        <v>14</v>
      </c>
      <c r="I599" t="s">
        <v>41</v>
      </c>
      <c r="J599" t="s">
        <v>42</v>
      </c>
      <c r="K599">
        <v>6</v>
      </c>
      <c r="O599">
        <f t="shared" si="11"/>
        <v>21.99</v>
      </c>
    </row>
    <row r="600" spans="1:15" x14ac:dyDescent="0.35">
      <c r="A600" t="s">
        <v>848</v>
      </c>
      <c r="B600">
        <v>1</v>
      </c>
      <c r="C600">
        <v>16.989999999999998</v>
      </c>
      <c r="D600">
        <v>16.989999999999998</v>
      </c>
      <c r="E600" t="s">
        <v>522</v>
      </c>
      <c r="F600" t="s">
        <v>1719</v>
      </c>
      <c r="G600" t="s">
        <v>16</v>
      </c>
      <c r="H600">
        <v>16</v>
      </c>
      <c r="I600" t="s">
        <v>41</v>
      </c>
      <c r="J600" t="s">
        <v>25</v>
      </c>
      <c r="K600">
        <v>5</v>
      </c>
      <c r="O600">
        <f t="shared" si="11"/>
        <v>21.99</v>
      </c>
    </row>
    <row r="601" spans="1:15" x14ac:dyDescent="0.35">
      <c r="A601" t="s">
        <v>849</v>
      </c>
      <c r="B601">
        <v>1</v>
      </c>
      <c r="C601">
        <v>30.99</v>
      </c>
      <c r="D601">
        <v>30.99</v>
      </c>
      <c r="E601" t="s">
        <v>229</v>
      </c>
      <c r="F601" t="s">
        <v>1720</v>
      </c>
      <c r="G601" t="s">
        <v>16</v>
      </c>
      <c r="H601">
        <v>3</v>
      </c>
      <c r="I601" t="s">
        <v>17</v>
      </c>
      <c r="J601" t="s">
        <v>18</v>
      </c>
      <c r="K601">
        <v>10.5</v>
      </c>
      <c r="O601">
        <f t="shared" si="11"/>
        <v>21.99</v>
      </c>
    </row>
    <row r="602" spans="1:15" x14ac:dyDescent="0.35">
      <c r="A602" t="s">
        <v>850</v>
      </c>
      <c r="B602">
        <v>1</v>
      </c>
      <c r="C602">
        <v>34.99</v>
      </c>
      <c r="D602">
        <v>34.99</v>
      </c>
      <c r="E602" t="s">
        <v>801</v>
      </c>
      <c r="F602" t="s">
        <v>1721</v>
      </c>
      <c r="G602" t="s">
        <v>16</v>
      </c>
      <c r="H602">
        <v>8</v>
      </c>
      <c r="I602" t="s">
        <v>17</v>
      </c>
      <c r="J602" t="s">
        <v>36</v>
      </c>
      <c r="K602">
        <v>12.5</v>
      </c>
      <c r="O602">
        <f t="shared" si="11"/>
        <v>21.99</v>
      </c>
    </row>
    <row r="603" spans="1:15" x14ac:dyDescent="0.35">
      <c r="A603" t="s">
        <v>851</v>
      </c>
      <c r="B603">
        <v>1</v>
      </c>
      <c r="C603">
        <v>34.99</v>
      </c>
      <c r="D603">
        <v>34.99</v>
      </c>
      <c r="E603" t="s">
        <v>307</v>
      </c>
      <c r="F603" t="s">
        <v>1722</v>
      </c>
      <c r="G603" t="s">
        <v>28</v>
      </c>
      <c r="H603">
        <v>0</v>
      </c>
      <c r="I603" t="s">
        <v>12</v>
      </c>
      <c r="J603" t="s">
        <v>36</v>
      </c>
      <c r="K603">
        <v>12.5</v>
      </c>
      <c r="O603">
        <f t="shared" si="11"/>
        <v>21.99</v>
      </c>
    </row>
    <row r="604" spans="1:15" x14ac:dyDescent="0.35">
      <c r="A604" t="s">
        <v>852</v>
      </c>
      <c r="B604">
        <v>1</v>
      </c>
      <c r="C604">
        <v>18.989999999999998</v>
      </c>
      <c r="D604">
        <v>18.989999999999998</v>
      </c>
      <c r="E604" t="s">
        <v>445</v>
      </c>
      <c r="F604" t="s">
        <v>1723</v>
      </c>
      <c r="G604" t="s">
        <v>11</v>
      </c>
      <c r="H604">
        <v>12</v>
      </c>
      <c r="I604" t="s">
        <v>41</v>
      </c>
      <c r="J604" t="s">
        <v>42</v>
      </c>
      <c r="K604">
        <v>6</v>
      </c>
      <c r="O604">
        <f t="shared" si="11"/>
        <v>21.99</v>
      </c>
    </row>
    <row r="605" spans="1:15" x14ac:dyDescent="0.35">
      <c r="A605" t="s">
        <v>853</v>
      </c>
      <c r="B605">
        <v>3</v>
      </c>
      <c r="C605">
        <v>34.99</v>
      </c>
      <c r="D605">
        <v>83.12</v>
      </c>
      <c r="E605" t="s">
        <v>854</v>
      </c>
      <c r="F605" t="s">
        <v>1724</v>
      </c>
      <c r="G605" t="s">
        <v>28</v>
      </c>
      <c r="H605">
        <v>0</v>
      </c>
      <c r="I605" t="s">
        <v>12</v>
      </c>
      <c r="J605" t="s">
        <v>36</v>
      </c>
      <c r="K605">
        <v>12.5</v>
      </c>
      <c r="O605">
        <f t="shared" si="11"/>
        <v>84.73</v>
      </c>
    </row>
    <row r="606" spans="1:15" x14ac:dyDescent="0.35">
      <c r="A606" t="s">
        <v>855</v>
      </c>
      <c r="B606">
        <v>1</v>
      </c>
      <c r="C606">
        <v>27.99</v>
      </c>
      <c r="D606">
        <v>27.99</v>
      </c>
      <c r="E606" t="s">
        <v>431</v>
      </c>
      <c r="F606" t="s">
        <v>1725</v>
      </c>
      <c r="G606" t="s">
        <v>21</v>
      </c>
      <c r="H606">
        <v>0</v>
      </c>
      <c r="I606" t="s">
        <v>41</v>
      </c>
      <c r="J606" t="s">
        <v>31</v>
      </c>
      <c r="K606">
        <v>9</v>
      </c>
      <c r="O606">
        <f t="shared" si="11"/>
        <v>21.99</v>
      </c>
    </row>
    <row r="607" spans="1:15" x14ac:dyDescent="0.35">
      <c r="A607" t="s">
        <v>856</v>
      </c>
      <c r="B607">
        <v>2</v>
      </c>
      <c r="C607">
        <v>34.99</v>
      </c>
      <c r="D607">
        <v>60.35</v>
      </c>
      <c r="E607" t="s">
        <v>857</v>
      </c>
      <c r="F607" t="s">
        <v>1726</v>
      </c>
      <c r="G607" t="s">
        <v>11</v>
      </c>
      <c r="H607">
        <v>6</v>
      </c>
      <c r="I607" t="s">
        <v>24</v>
      </c>
      <c r="J607" t="s">
        <v>36</v>
      </c>
      <c r="K607">
        <v>12.5</v>
      </c>
      <c r="O607">
        <f t="shared" si="11"/>
        <v>37.979999999999997</v>
      </c>
    </row>
    <row r="608" spans="1:15" x14ac:dyDescent="0.35">
      <c r="A608" t="s">
        <v>858</v>
      </c>
      <c r="B608">
        <v>1</v>
      </c>
      <c r="C608">
        <v>16.989999999999998</v>
      </c>
      <c r="D608">
        <v>16.989999999999998</v>
      </c>
      <c r="E608" t="s">
        <v>627</v>
      </c>
      <c r="F608" t="s">
        <v>1727</v>
      </c>
      <c r="G608" t="s">
        <v>16</v>
      </c>
      <c r="H608">
        <v>18</v>
      </c>
      <c r="I608" t="s">
        <v>17</v>
      </c>
      <c r="J608" t="s">
        <v>25</v>
      </c>
      <c r="K608">
        <v>5</v>
      </c>
      <c r="O608">
        <f t="shared" si="11"/>
        <v>21.99</v>
      </c>
    </row>
    <row r="609" spans="1:15" x14ac:dyDescent="0.35">
      <c r="A609" t="s">
        <v>859</v>
      </c>
      <c r="B609">
        <v>1</v>
      </c>
      <c r="C609">
        <v>21.99</v>
      </c>
      <c r="D609">
        <v>21.99</v>
      </c>
      <c r="E609" s="6">
        <v>46323</v>
      </c>
      <c r="F609" t="s">
        <v>1728</v>
      </c>
      <c r="G609" t="s">
        <v>16</v>
      </c>
      <c r="H609">
        <v>3</v>
      </c>
      <c r="I609" t="s">
        <v>12</v>
      </c>
      <c r="J609" t="s">
        <v>13</v>
      </c>
      <c r="K609">
        <v>7</v>
      </c>
      <c r="O609">
        <f t="shared" si="11"/>
        <v>21.99</v>
      </c>
    </row>
    <row r="610" spans="1:15" x14ac:dyDescent="0.35">
      <c r="A610" t="s">
        <v>860</v>
      </c>
      <c r="B610">
        <v>2</v>
      </c>
      <c r="C610">
        <v>18.989999999999998</v>
      </c>
      <c r="D610">
        <v>33.119999999999997</v>
      </c>
      <c r="E610" t="s">
        <v>64</v>
      </c>
      <c r="F610" t="s">
        <v>1717</v>
      </c>
      <c r="G610" t="s">
        <v>16</v>
      </c>
      <c r="H610">
        <v>18</v>
      </c>
      <c r="I610" t="s">
        <v>17</v>
      </c>
      <c r="J610" t="s">
        <v>42</v>
      </c>
      <c r="K610">
        <v>6</v>
      </c>
      <c r="O610">
        <f t="shared" si="11"/>
        <v>37.979999999999997</v>
      </c>
    </row>
    <row r="611" spans="1:15" x14ac:dyDescent="0.35">
      <c r="A611" t="s">
        <v>861</v>
      </c>
      <c r="B611">
        <v>1</v>
      </c>
      <c r="C611">
        <v>27.99</v>
      </c>
      <c r="D611">
        <v>27.99</v>
      </c>
      <c r="E611" t="s">
        <v>862</v>
      </c>
      <c r="F611" t="s">
        <v>1718</v>
      </c>
      <c r="G611" t="s">
        <v>16</v>
      </c>
      <c r="H611">
        <v>3</v>
      </c>
      <c r="I611" t="s">
        <v>12</v>
      </c>
      <c r="J611" t="s">
        <v>31</v>
      </c>
      <c r="K611">
        <v>9</v>
      </c>
      <c r="O611">
        <f t="shared" si="11"/>
        <v>21.99</v>
      </c>
    </row>
    <row r="612" spans="1:15" x14ac:dyDescent="0.35">
      <c r="A612" t="s">
        <v>863</v>
      </c>
      <c r="B612">
        <v>1</v>
      </c>
      <c r="C612">
        <v>34.99</v>
      </c>
      <c r="D612">
        <v>34.99</v>
      </c>
      <c r="E612" t="s">
        <v>742</v>
      </c>
      <c r="F612" t="s">
        <v>1719</v>
      </c>
      <c r="G612" t="s">
        <v>16</v>
      </c>
      <c r="H612">
        <v>8</v>
      </c>
      <c r="I612" t="s">
        <v>24</v>
      </c>
      <c r="J612" t="s">
        <v>36</v>
      </c>
      <c r="K612">
        <v>12.5</v>
      </c>
      <c r="O612">
        <f t="shared" si="11"/>
        <v>21.99</v>
      </c>
    </row>
    <row r="613" spans="1:15" x14ac:dyDescent="0.35">
      <c r="A613" t="s">
        <v>864</v>
      </c>
      <c r="B613">
        <v>1</v>
      </c>
      <c r="C613">
        <v>27.99</v>
      </c>
      <c r="D613">
        <v>27.99</v>
      </c>
      <c r="E613" t="s">
        <v>865</v>
      </c>
      <c r="F613" t="s">
        <v>1720</v>
      </c>
      <c r="G613" t="s">
        <v>16</v>
      </c>
      <c r="H613">
        <v>3</v>
      </c>
      <c r="I613" t="s">
        <v>24</v>
      </c>
      <c r="J613" t="s">
        <v>31</v>
      </c>
      <c r="K613">
        <v>9</v>
      </c>
      <c r="O613">
        <f t="shared" si="11"/>
        <v>21.99</v>
      </c>
    </row>
    <row r="614" spans="1:15" x14ac:dyDescent="0.35">
      <c r="A614" t="s">
        <v>866</v>
      </c>
      <c r="B614">
        <v>1</v>
      </c>
      <c r="C614">
        <v>21.99</v>
      </c>
      <c r="D614">
        <v>21.99</v>
      </c>
      <c r="E614" t="s">
        <v>636</v>
      </c>
      <c r="F614" t="s">
        <v>1721</v>
      </c>
      <c r="G614" t="s">
        <v>16</v>
      </c>
      <c r="H614">
        <v>2</v>
      </c>
      <c r="I614" t="s">
        <v>24</v>
      </c>
      <c r="J614" t="s">
        <v>13</v>
      </c>
      <c r="K614">
        <v>7</v>
      </c>
      <c r="O614">
        <f t="shared" si="11"/>
        <v>21.99</v>
      </c>
    </row>
    <row r="615" spans="1:15" x14ac:dyDescent="0.35">
      <c r="A615" t="s">
        <v>867</v>
      </c>
      <c r="B615">
        <v>1</v>
      </c>
      <c r="C615">
        <v>27.99</v>
      </c>
      <c r="D615">
        <v>27.99</v>
      </c>
      <c r="E615" t="s">
        <v>868</v>
      </c>
      <c r="F615" t="s">
        <v>1722</v>
      </c>
      <c r="G615" t="s">
        <v>16</v>
      </c>
      <c r="H615">
        <v>2</v>
      </c>
      <c r="I615" t="s">
        <v>24</v>
      </c>
      <c r="J615" t="s">
        <v>31</v>
      </c>
      <c r="K615">
        <v>9</v>
      </c>
      <c r="O615">
        <f t="shared" si="11"/>
        <v>21.99</v>
      </c>
    </row>
    <row r="616" spans="1:15" x14ac:dyDescent="0.35">
      <c r="A616" t="s">
        <v>869</v>
      </c>
      <c r="B616">
        <v>3</v>
      </c>
      <c r="C616">
        <v>34.99</v>
      </c>
      <c r="D616">
        <v>82.76</v>
      </c>
      <c r="E616" s="6">
        <v>46073</v>
      </c>
      <c r="F616" t="s">
        <v>1723</v>
      </c>
      <c r="G616" t="s">
        <v>16</v>
      </c>
      <c r="H616">
        <v>8</v>
      </c>
      <c r="I616" t="s">
        <v>17</v>
      </c>
      <c r="J616" t="s">
        <v>36</v>
      </c>
      <c r="K616">
        <v>12.5</v>
      </c>
      <c r="O616">
        <f t="shared" si="11"/>
        <v>84.73</v>
      </c>
    </row>
    <row r="617" spans="1:15" x14ac:dyDescent="0.35">
      <c r="A617" t="s">
        <v>870</v>
      </c>
      <c r="B617">
        <v>1</v>
      </c>
      <c r="C617">
        <v>34.99</v>
      </c>
      <c r="D617">
        <v>34.99</v>
      </c>
      <c r="E617" t="s">
        <v>822</v>
      </c>
      <c r="F617" t="s">
        <v>1724</v>
      </c>
      <c r="G617" t="s">
        <v>16</v>
      </c>
      <c r="H617">
        <v>7</v>
      </c>
      <c r="I617" t="s">
        <v>41</v>
      </c>
      <c r="J617" t="s">
        <v>36</v>
      </c>
      <c r="K617">
        <v>12.5</v>
      </c>
      <c r="O617">
        <f t="shared" si="11"/>
        <v>21.99</v>
      </c>
    </row>
    <row r="618" spans="1:15" x14ac:dyDescent="0.35">
      <c r="A618" t="s">
        <v>871</v>
      </c>
      <c r="B618">
        <v>2</v>
      </c>
      <c r="C618">
        <v>18.989999999999998</v>
      </c>
      <c r="D618">
        <v>33.06</v>
      </c>
      <c r="E618" t="s">
        <v>618</v>
      </c>
      <c r="F618" t="s">
        <v>1725</v>
      </c>
      <c r="G618" t="s">
        <v>21</v>
      </c>
      <c r="H618">
        <v>0</v>
      </c>
      <c r="I618" t="s">
        <v>41</v>
      </c>
      <c r="J618" t="s">
        <v>42</v>
      </c>
      <c r="K618">
        <v>6</v>
      </c>
      <c r="O618">
        <f t="shared" si="11"/>
        <v>37.979999999999997</v>
      </c>
    </row>
    <row r="619" spans="1:15" x14ac:dyDescent="0.35">
      <c r="A619" t="s">
        <v>872</v>
      </c>
      <c r="B619">
        <v>1</v>
      </c>
      <c r="C619">
        <v>27.99</v>
      </c>
      <c r="D619">
        <v>27.99</v>
      </c>
      <c r="E619" t="s">
        <v>765</v>
      </c>
      <c r="F619" t="s">
        <v>1726</v>
      </c>
      <c r="G619" t="s">
        <v>16</v>
      </c>
      <c r="H619">
        <v>2</v>
      </c>
      <c r="I619" t="s">
        <v>12</v>
      </c>
      <c r="J619" t="s">
        <v>31</v>
      </c>
      <c r="K619">
        <v>9</v>
      </c>
      <c r="O619">
        <f t="shared" si="11"/>
        <v>21.99</v>
      </c>
    </row>
    <row r="620" spans="1:15" x14ac:dyDescent="0.35">
      <c r="A620" t="s">
        <v>873</v>
      </c>
      <c r="B620">
        <v>1</v>
      </c>
      <c r="C620">
        <v>16.989999999999998</v>
      </c>
      <c r="D620">
        <v>16.989999999999998</v>
      </c>
      <c r="E620" t="s">
        <v>15</v>
      </c>
      <c r="F620" t="s">
        <v>1727</v>
      </c>
      <c r="G620" t="s">
        <v>16</v>
      </c>
      <c r="H620">
        <v>20</v>
      </c>
      <c r="I620" t="s">
        <v>24</v>
      </c>
      <c r="J620" t="s">
        <v>25</v>
      </c>
      <c r="K620">
        <v>5</v>
      </c>
      <c r="O620">
        <f t="shared" si="11"/>
        <v>21.99</v>
      </c>
    </row>
    <row r="621" spans="1:15" x14ac:dyDescent="0.35">
      <c r="A621" t="s">
        <v>874</v>
      </c>
      <c r="B621">
        <v>1</v>
      </c>
      <c r="C621">
        <v>18.989999999999998</v>
      </c>
      <c r="D621">
        <v>18.989999999999998</v>
      </c>
      <c r="E621" t="s">
        <v>666</v>
      </c>
      <c r="F621" t="s">
        <v>1728</v>
      </c>
      <c r="G621" t="s">
        <v>16</v>
      </c>
      <c r="H621">
        <v>12</v>
      </c>
      <c r="I621" t="s">
        <v>24</v>
      </c>
      <c r="J621" t="s">
        <v>42</v>
      </c>
      <c r="K621">
        <v>6</v>
      </c>
      <c r="O621">
        <f t="shared" si="11"/>
        <v>21.99</v>
      </c>
    </row>
    <row r="622" spans="1:15" x14ac:dyDescent="0.35">
      <c r="A622" t="s">
        <v>875</v>
      </c>
      <c r="B622">
        <v>2</v>
      </c>
      <c r="C622">
        <v>30.99</v>
      </c>
      <c r="D622">
        <v>53.03</v>
      </c>
      <c r="E622" s="6">
        <v>46129</v>
      </c>
      <c r="F622" t="s">
        <v>1717</v>
      </c>
      <c r="G622" t="s">
        <v>21</v>
      </c>
      <c r="H622">
        <v>0</v>
      </c>
      <c r="I622" t="s">
        <v>41</v>
      </c>
      <c r="J622" t="s">
        <v>18</v>
      </c>
      <c r="K622">
        <v>10.5</v>
      </c>
      <c r="O622">
        <f t="shared" si="11"/>
        <v>37.979999999999997</v>
      </c>
    </row>
    <row r="623" spans="1:15" x14ac:dyDescent="0.35">
      <c r="A623" t="s">
        <v>876</v>
      </c>
      <c r="B623">
        <v>1</v>
      </c>
      <c r="C623">
        <v>30.99</v>
      </c>
      <c r="D623">
        <v>30.99</v>
      </c>
      <c r="E623" t="s">
        <v>877</v>
      </c>
      <c r="F623" t="s">
        <v>1718</v>
      </c>
      <c r="G623" t="s">
        <v>16</v>
      </c>
      <c r="H623">
        <v>4</v>
      </c>
      <c r="I623" t="s">
        <v>41</v>
      </c>
      <c r="J623" t="s">
        <v>18</v>
      </c>
      <c r="K623">
        <v>10.5</v>
      </c>
      <c r="O623">
        <f t="shared" si="11"/>
        <v>21.99</v>
      </c>
    </row>
    <row r="624" spans="1:15" x14ac:dyDescent="0.35">
      <c r="A624" t="s">
        <v>878</v>
      </c>
      <c r="B624">
        <v>1</v>
      </c>
      <c r="C624">
        <v>16.989999999999998</v>
      </c>
      <c r="D624">
        <v>16.989999999999998</v>
      </c>
      <c r="E624" t="s">
        <v>66</v>
      </c>
      <c r="F624" t="s">
        <v>1719</v>
      </c>
      <c r="G624" t="s">
        <v>21</v>
      </c>
      <c r="H624">
        <v>0</v>
      </c>
      <c r="I624" t="s">
        <v>41</v>
      </c>
      <c r="J624" t="s">
        <v>25</v>
      </c>
      <c r="K624">
        <v>5</v>
      </c>
      <c r="O624">
        <f t="shared" si="11"/>
        <v>21.99</v>
      </c>
    </row>
    <row r="625" spans="1:15" x14ac:dyDescent="0.35">
      <c r="A625" t="s">
        <v>879</v>
      </c>
      <c r="B625">
        <v>2</v>
      </c>
      <c r="C625">
        <v>21.99</v>
      </c>
      <c r="D625">
        <v>38.07</v>
      </c>
      <c r="E625" t="s">
        <v>795</v>
      </c>
      <c r="F625" t="s">
        <v>1720</v>
      </c>
      <c r="G625" t="s">
        <v>16</v>
      </c>
      <c r="H625">
        <v>3</v>
      </c>
      <c r="I625" t="s">
        <v>24</v>
      </c>
      <c r="J625" t="s">
        <v>13</v>
      </c>
      <c r="K625">
        <v>7</v>
      </c>
      <c r="O625">
        <f t="shared" si="11"/>
        <v>37.979999999999997</v>
      </c>
    </row>
    <row r="626" spans="1:15" x14ac:dyDescent="0.35">
      <c r="A626" t="s">
        <v>880</v>
      </c>
      <c r="B626">
        <v>3</v>
      </c>
      <c r="C626">
        <v>16.989999999999998</v>
      </c>
      <c r="D626">
        <v>40.67</v>
      </c>
      <c r="E626" t="s">
        <v>229</v>
      </c>
      <c r="F626" t="s">
        <v>1721</v>
      </c>
      <c r="G626" t="s">
        <v>28</v>
      </c>
      <c r="H626">
        <v>0</v>
      </c>
      <c r="I626" t="s">
        <v>12</v>
      </c>
      <c r="J626" t="s">
        <v>25</v>
      </c>
      <c r="K626">
        <v>5</v>
      </c>
      <c r="O626">
        <f t="shared" si="11"/>
        <v>84.73</v>
      </c>
    </row>
    <row r="627" spans="1:15" x14ac:dyDescent="0.35">
      <c r="A627" t="s">
        <v>881</v>
      </c>
      <c r="B627">
        <v>1</v>
      </c>
      <c r="C627">
        <v>34.99</v>
      </c>
      <c r="D627">
        <v>34.99</v>
      </c>
      <c r="E627" t="s">
        <v>61</v>
      </c>
      <c r="F627" t="s">
        <v>1722</v>
      </c>
      <c r="G627" t="s">
        <v>16</v>
      </c>
      <c r="H627">
        <v>6</v>
      </c>
      <c r="I627" t="s">
        <v>17</v>
      </c>
      <c r="J627" t="s">
        <v>36</v>
      </c>
      <c r="K627">
        <v>12.5</v>
      </c>
      <c r="O627">
        <f t="shared" si="11"/>
        <v>21.99</v>
      </c>
    </row>
    <row r="628" spans="1:15" x14ac:dyDescent="0.35">
      <c r="A628" t="s">
        <v>882</v>
      </c>
      <c r="B628">
        <v>1</v>
      </c>
      <c r="C628">
        <v>21.99</v>
      </c>
      <c r="D628">
        <v>21.99</v>
      </c>
      <c r="E628" t="s">
        <v>883</v>
      </c>
      <c r="F628" t="s">
        <v>1723</v>
      </c>
      <c r="G628" t="s">
        <v>28</v>
      </c>
      <c r="H628">
        <v>0</v>
      </c>
      <c r="I628" t="s">
        <v>17</v>
      </c>
      <c r="J628" t="s">
        <v>13</v>
      </c>
      <c r="K628">
        <v>7</v>
      </c>
      <c r="O628">
        <f t="shared" si="11"/>
        <v>21.99</v>
      </c>
    </row>
    <row r="629" spans="1:15" x14ac:dyDescent="0.35">
      <c r="A629" t="s">
        <v>884</v>
      </c>
      <c r="B629">
        <v>2</v>
      </c>
      <c r="C629">
        <v>18.989999999999998</v>
      </c>
      <c r="D629">
        <v>32.92</v>
      </c>
      <c r="E629" t="s">
        <v>94</v>
      </c>
      <c r="F629" t="s">
        <v>1724</v>
      </c>
      <c r="G629" t="s">
        <v>16</v>
      </c>
      <c r="H629">
        <v>13</v>
      </c>
      <c r="I629" t="s">
        <v>24</v>
      </c>
      <c r="J629" t="s">
        <v>42</v>
      </c>
      <c r="K629">
        <v>6</v>
      </c>
      <c r="O629">
        <f t="shared" si="11"/>
        <v>37.979999999999997</v>
      </c>
    </row>
    <row r="630" spans="1:15" x14ac:dyDescent="0.35">
      <c r="A630" t="s">
        <v>885</v>
      </c>
      <c r="B630">
        <v>1</v>
      </c>
      <c r="C630">
        <v>18.989999999999998</v>
      </c>
      <c r="D630">
        <v>18.989999999999998</v>
      </c>
      <c r="E630" t="s">
        <v>171</v>
      </c>
      <c r="F630" t="s">
        <v>1725</v>
      </c>
      <c r="G630" t="s">
        <v>16</v>
      </c>
      <c r="H630">
        <v>11</v>
      </c>
      <c r="I630" t="s">
        <v>41</v>
      </c>
      <c r="J630" t="s">
        <v>42</v>
      </c>
      <c r="K630">
        <v>6</v>
      </c>
      <c r="O630">
        <f t="shared" si="11"/>
        <v>21.99</v>
      </c>
    </row>
    <row r="631" spans="1:15" x14ac:dyDescent="0.35">
      <c r="A631" t="s">
        <v>886</v>
      </c>
      <c r="B631">
        <v>2</v>
      </c>
      <c r="C631">
        <v>30.99</v>
      </c>
      <c r="D631">
        <v>54.21</v>
      </c>
      <c r="E631" t="s">
        <v>44</v>
      </c>
      <c r="F631" t="s">
        <v>1726</v>
      </c>
      <c r="G631" t="s">
        <v>11</v>
      </c>
      <c r="H631">
        <v>2</v>
      </c>
      <c r="I631" t="s">
        <v>17</v>
      </c>
      <c r="J631" t="s">
        <v>18</v>
      </c>
      <c r="K631">
        <v>10.5</v>
      </c>
      <c r="O631">
        <f t="shared" si="11"/>
        <v>37.979999999999997</v>
      </c>
    </row>
    <row r="632" spans="1:15" x14ac:dyDescent="0.35">
      <c r="A632" t="s">
        <v>887</v>
      </c>
      <c r="B632">
        <v>1</v>
      </c>
      <c r="C632">
        <v>18.989999999999998</v>
      </c>
      <c r="D632">
        <v>18.989999999999998</v>
      </c>
      <c r="E632" t="s">
        <v>888</v>
      </c>
      <c r="F632" t="s">
        <v>1727</v>
      </c>
      <c r="G632" t="s">
        <v>16</v>
      </c>
      <c r="H632">
        <v>12</v>
      </c>
      <c r="I632" t="s">
        <v>17</v>
      </c>
      <c r="J632" t="s">
        <v>42</v>
      </c>
      <c r="K632">
        <v>6</v>
      </c>
      <c r="O632">
        <f t="shared" si="11"/>
        <v>21.99</v>
      </c>
    </row>
    <row r="633" spans="1:15" x14ac:dyDescent="0.35">
      <c r="A633" t="s">
        <v>889</v>
      </c>
      <c r="B633">
        <v>1</v>
      </c>
      <c r="C633">
        <v>34.99</v>
      </c>
      <c r="D633">
        <v>34.99</v>
      </c>
      <c r="E633" t="s">
        <v>890</v>
      </c>
      <c r="F633" t="s">
        <v>1728</v>
      </c>
      <c r="G633" t="s">
        <v>21</v>
      </c>
      <c r="H633">
        <v>0</v>
      </c>
      <c r="I633" t="s">
        <v>41</v>
      </c>
      <c r="J633" t="s">
        <v>36</v>
      </c>
      <c r="K633">
        <v>12.5</v>
      </c>
      <c r="O633">
        <f t="shared" si="11"/>
        <v>21.99</v>
      </c>
    </row>
    <row r="634" spans="1:15" x14ac:dyDescent="0.35">
      <c r="A634" t="s">
        <v>891</v>
      </c>
      <c r="B634">
        <v>3</v>
      </c>
      <c r="C634">
        <v>21.99</v>
      </c>
      <c r="D634">
        <v>51.96</v>
      </c>
      <c r="E634" t="s">
        <v>829</v>
      </c>
      <c r="F634" t="s">
        <v>1717</v>
      </c>
      <c r="G634" t="s">
        <v>16</v>
      </c>
      <c r="H634">
        <v>3</v>
      </c>
      <c r="I634" t="s">
        <v>17</v>
      </c>
      <c r="J634" t="s">
        <v>13</v>
      </c>
      <c r="K634">
        <v>7</v>
      </c>
      <c r="O634">
        <f t="shared" si="11"/>
        <v>84.73</v>
      </c>
    </row>
    <row r="635" spans="1:15" x14ac:dyDescent="0.35">
      <c r="A635" t="s">
        <v>892</v>
      </c>
      <c r="B635">
        <v>1</v>
      </c>
      <c r="C635">
        <v>30.99</v>
      </c>
      <c r="D635">
        <v>30.99</v>
      </c>
      <c r="E635" t="s">
        <v>893</v>
      </c>
      <c r="F635" t="s">
        <v>1718</v>
      </c>
      <c r="G635" t="s">
        <v>21</v>
      </c>
      <c r="H635">
        <v>0</v>
      </c>
      <c r="I635" t="s">
        <v>17</v>
      </c>
      <c r="J635" t="s">
        <v>18</v>
      </c>
      <c r="K635">
        <v>10.5</v>
      </c>
      <c r="O635">
        <f t="shared" si="11"/>
        <v>21.99</v>
      </c>
    </row>
    <row r="636" spans="1:15" x14ac:dyDescent="0.35">
      <c r="A636" t="s">
        <v>894</v>
      </c>
      <c r="B636">
        <v>1</v>
      </c>
      <c r="C636">
        <v>21.99</v>
      </c>
      <c r="D636">
        <v>21.99</v>
      </c>
      <c r="E636" t="s">
        <v>768</v>
      </c>
      <c r="F636" t="s">
        <v>1719</v>
      </c>
      <c r="G636" t="s">
        <v>16</v>
      </c>
      <c r="H636">
        <v>3</v>
      </c>
      <c r="I636" t="s">
        <v>12</v>
      </c>
      <c r="J636" t="s">
        <v>13</v>
      </c>
      <c r="K636">
        <v>7</v>
      </c>
      <c r="O636">
        <f t="shared" si="11"/>
        <v>21.99</v>
      </c>
    </row>
    <row r="637" spans="1:15" x14ac:dyDescent="0.35">
      <c r="A637" t="s">
        <v>895</v>
      </c>
      <c r="B637">
        <v>1</v>
      </c>
      <c r="C637">
        <v>18.989999999999998</v>
      </c>
      <c r="D637">
        <v>18.989999999999998</v>
      </c>
      <c r="E637" t="s">
        <v>72</v>
      </c>
      <c r="F637" t="s">
        <v>1720</v>
      </c>
      <c r="G637" t="s">
        <v>21</v>
      </c>
      <c r="H637">
        <v>0</v>
      </c>
      <c r="I637" t="s">
        <v>12</v>
      </c>
      <c r="J637" t="s">
        <v>42</v>
      </c>
      <c r="K637">
        <v>6</v>
      </c>
      <c r="O637">
        <f t="shared" si="11"/>
        <v>21.99</v>
      </c>
    </row>
    <row r="638" spans="1:15" x14ac:dyDescent="0.35">
      <c r="A638" t="s">
        <v>896</v>
      </c>
      <c r="B638">
        <v>1</v>
      </c>
      <c r="C638">
        <v>30.99</v>
      </c>
      <c r="D638">
        <v>30.99</v>
      </c>
      <c r="E638" t="s">
        <v>897</v>
      </c>
      <c r="F638" t="s">
        <v>1721</v>
      </c>
      <c r="G638" t="s">
        <v>16</v>
      </c>
      <c r="H638">
        <v>3</v>
      </c>
      <c r="I638" t="s">
        <v>12</v>
      </c>
      <c r="J638" t="s">
        <v>18</v>
      </c>
      <c r="K638">
        <v>10.5</v>
      </c>
      <c r="O638">
        <f t="shared" si="11"/>
        <v>21.99</v>
      </c>
    </row>
    <row r="639" spans="1:15" x14ac:dyDescent="0.35">
      <c r="A639" t="s">
        <v>898</v>
      </c>
      <c r="B639">
        <v>1</v>
      </c>
      <c r="C639">
        <v>27.99</v>
      </c>
      <c r="D639">
        <v>27.99</v>
      </c>
      <c r="E639" t="s">
        <v>558</v>
      </c>
      <c r="F639" t="s">
        <v>1722</v>
      </c>
      <c r="G639" t="s">
        <v>16</v>
      </c>
      <c r="H639">
        <v>3</v>
      </c>
      <c r="I639" t="s">
        <v>24</v>
      </c>
      <c r="J639" t="s">
        <v>31</v>
      </c>
      <c r="K639">
        <v>9</v>
      </c>
      <c r="O639">
        <f t="shared" si="11"/>
        <v>21.99</v>
      </c>
    </row>
    <row r="640" spans="1:15" x14ac:dyDescent="0.35">
      <c r="A640" t="s">
        <v>899</v>
      </c>
      <c r="B640">
        <v>3</v>
      </c>
      <c r="C640">
        <v>16.989999999999998</v>
      </c>
      <c r="D640">
        <v>41.04</v>
      </c>
      <c r="E640" t="s">
        <v>900</v>
      </c>
      <c r="F640" t="s">
        <v>1723</v>
      </c>
      <c r="G640" t="s">
        <v>16</v>
      </c>
      <c r="H640">
        <v>15</v>
      </c>
      <c r="I640" t="s">
        <v>24</v>
      </c>
      <c r="J640" t="s">
        <v>25</v>
      </c>
      <c r="K640">
        <v>5</v>
      </c>
      <c r="O640">
        <f t="shared" si="11"/>
        <v>84.73</v>
      </c>
    </row>
    <row r="641" spans="1:15" x14ac:dyDescent="0.35">
      <c r="A641" t="s">
        <v>901</v>
      </c>
      <c r="B641">
        <v>1</v>
      </c>
      <c r="C641">
        <v>30.99</v>
      </c>
      <c r="D641">
        <v>30.99</v>
      </c>
      <c r="E641" t="s">
        <v>655</v>
      </c>
      <c r="F641" t="s">
        <v>1724</v>
      </c>
      <c r="G641" t="s">
        <v>11</v>
      </c>
      <c r="H641">
        <v>2</v>
      </c>
      <c r="I641" t="s">
        <v>41</v>
      </c>
      <c r="J641" t="s">
        <v>18</v>
      </c>
      <c r="K641">
        <v>10.5</v>
      </c>
      <c r="O641">
        <f t="shared" si="11"/>
        <v>21.99</v>
      </c>
    </row>
    <row r="642" spans="1:15" x14ac:dyDescent="0.35">
      <c r="A642" t="s">
        <v>902</v>
      </c>
      <c r="B642">
        <v>3</v>
      </c>
      <c r="C642">
        <v>18.989999999999998</v>
      </c>
      <c r="D642">
        <v>44.74</v>
      </c>
      <c r="E642" t="s">
        <v>903</v>
      </c>
      <c r="F642" t="s">
        <v>1725</v>
      </c>
      <c r="G642" t="s">
        <v>16</v>
      </c>
      <c r="H642">
        <v>14</v>
      </c>
      <c r="I642" t="s">
        <v>17</v>
      </c>
      <c r="J642" t="s">
        <v>42</v>
      </c>
      <c r="K642">
        <v>6</v>
      </c>
      <c r="O642">
        <f t="shared" ref="O642:O705" si="12">VLOOKUP(B:B,B:H,3,FALSE)</f>
        <v>84.73</v>
      </c>
    </row>
    <row r="643" spans="1:15" x14ac:dyDescent="0.35">
      <c r="A643" t="s">
        <v>904</v>
      </c>
      <c r="B643">
        <v>3</v>
      </c>
      <c r="C643">
        <v>18.989999999999998</v>
      </c>
      <c r="D643">
        <v>45.51</v>
      </c>
      <c r="E643" t="s">
        <v>905</v>
      </c>
      <c r="F643" t="s">
        <v>1726</v>
      </c>
      <c r="G643" t="s">
        <v>16</v>
      </c>
      <c r="H643">
        <v>20</v>
      </c>
      <c r="I643" t="s">
        <v>41</v>
      </c>
      <c r="J643" t="s">
        <v>42</v>
      </c>
      <c r="K643">
        <v>6</v>
      </c>
      <c r="O643">
        <f t="shared" si="12"/>
        <v>84.73</v>
      </c>
    </row>
    <row r="644" spans="1:15" x14ac:dyDescent="0.35">
      <c r="A644" t="s">
        <v>906</v>
      </c>
      <c r="B644">
        <v>2</v>
      </c>
      <c r="C644">
        <v>16.989999999999998</v>
      </c>
      <c r="D644">
        <v>29.18</v>
      </c>
      <c r="E644" t="s">
        <v>907</v>
      </c>
      <c r="F644" t="s">
        <v>1727</v>
      </c>
      <c r="G644" t="s">
        <v>87</v>
      </c>
      <c r="H644">
        <v>0</v>
      </c>
      <c r="I644" t="s">
        <v>12</v>
      </c>
      <c r="J644" t="s">
        <v>25</v>
      </c>
      <c r="K644">
        <v>5</v>
      </c>
      <c r="O644">
        <f t="shared" si="12"/>
        <v>37.979999999999997</v>
      </c>
    </row>
    <row r="645" spans="1:15" x14ac:dyDescent="0.35">
      <c r="A645" t="s">
        <v>908</v>
      </c>
      <c r="B645">
        <v>1</v>
      </c>
      <c r="C645">
        <v>30.99</v>
      </c>
      <c r="D645">
        <v>30.99</v>
      </c>
      <c r="E645" t="s">
        <v>909</v>
      </c>
      <c r="F645" t="s">
        <v>1728</v>
      </c>
      <c r="G645" t="s">
        <v>87</v>
      </c>
      <c r="H645">
        <v>0</v>
      </c>
      <c r="I645" t="s">
        <v>12</v>
      </c>
      <c r="J645" t="s">
        <v>18</v>
      </c>
      <c r="K645">
        <v>10.5</v>
      </c>
      <c r="O645">
        <f t="shared" si="12"/>
        <v>21.99</v>
      </c>
    </row>
    <row r="646" spans="1:15" x14ac:dyDescent="0.35">
      <c r="A646" t="s">
        <v>910</v>
      </c>
      <c r="B646">
        <v>1</v>
      </c>
      <c r="C646">
        <v>18.989999999999998</v>
      </c>
      <c r="D646">
        <v>18.989999999999998</v>
      </c>
      <c r="E646" t="s">
        <v>461</v>
      </c>
      <c r="F646" t="s">
        <v>1717</v>
      </c>
      <c r="G646" t="s">
        <v>87</v>
      </c>
      <c r="H646">
        <v>0</v>
      </c>
      <c r="I646" t="s">
        <v>12</v>
      </c>
      <c r="J646" t="s">
        <v>42</v>
      </c>
      <c r="K646">
        <v>6</v>
      </c>
      <c r="O646">
        <f t="shared" si="12"/>
        <v>21.99</v>
      </c>
    </row>
    <row r="647" spans="1:15" x14ac:dyDescent="0.35">
      <c r="A647" t="s">
        <v>911</v>
      </c>
      <c r="B647">
        <v>2</v>
      </c>
      <c r="C647">
        <v>18.989999999999998</v>
      </c>
      <c r="D647">
        <v>32.71</v>
      </c>
      <c r="E647" s="6">
        <v>46345</v>
      </c>
      <c r="F647" t="s">
        <v>1718</v>
      </c>
      <c r="G647" t="s">
        <v>16</v>
      </c>
      <c r="H647">
        <v>10</v>
      </c>
      <c r="I647" t="s">
        <v>24</v>
      </c>
      <c r="J647" t="s">
        <v>42</v>
      </c>
      <c r="K647">
        <v>6</v>
      </c>
      <c r="O647">
        <f t="shared" si="12"/>
        <v>37.979999999999997</v>
      </c>
    </row>
    <row r="648" spans="1:15" x14ac:dyDescent="0.35">
      <c r="A648" t="s">
        <v>912</v>
      </c>
      <c r="B648">
        <v>1</v>
      </c>
      <c r="C648">
        <v>21.99</v>
      </c>
      <c r="D648">
        <v>21.99</v>
      </c>
      <c r="E648" t="s">
        <v>890</v>
      </c>
      <c r="F648" t="s">
        <v>1719</v>
      </c>
      <c r="G648" t="s">
        <v>16</v>
      </c>
      <c r="H648">
        <v>2</v>
      </c>
      <c r="I648" t="s">
        <v>17</v>
      </c>
      <c r="J648" t="s">
        <v>13</v>
      </c>
      <c r="K648">
        <v>7</v>
      </c>
      <c r="O648">
        <f t="shared" si="12"/>
        <v>21.99</v>
      </c>
    </row>
    <row r="649" spans="1:15" x14ac:dyDescent="0.35">
      <c r="A649" t="s">
        <v>913</v>
      </c>
      <c r="B649">
        <v>3</v>
      </c>
      <c r="C649">
        <v>16.989999999999998</v>
      </c>
      <c r="D649">
        <v>40.15</v>
      </c>
      <c r="E649" t="s">
        <v>683</v>
      </c>
      <c r="F649" t="s">
        <v>1720</v>
      </c>
      <c r="G649" t="s">
        <v>16</v>
      </c>
      <c r="H649">
        <v>19</v>
      </c>
      <c r="I649" t="s">
        <v>17</v>
      </c>
      <c r="J649" t="s">
        <v>25</v>
      </c>
      <c r="K649">
        <v>5</v>
      </c>
      <c r="O649">
        <f t="shared" si="12"/>
        <v>84.73</v>
      </c>
    </row>
    <row r="650" spans="1:15" x14ac:dyDescent="0.35">
      <c r="A650" t="s">
        <v>914</v>
      </c>
      <c r="B650">
        <v>3</v>
      </c>
      <c r="C650">
        <v>30.99</v>
      </c>
      <c r="D650">
        <v>73.5</v>
      </c>
      <c r="E650" t="s">
        <v>575</v>
      </c>
      <c r="F650" t="s">
        <v>1721</v>
      </c>
      <c r="G650" t="s">
        <v>16</v>
      </c>
      <c r="H650">
        <v>2</v>
      </c>
      <c r="I650" t="s">
        <v>24</v>
      </c>
      <c r="J650" t="s">
        <v>18</v>
      </c>
      <c r="K650">
        <v>10.5</v>
      </c>
      <c r="O650">
        <f t="shared" si="12"/>
        <v>84.73</v>
      </c>
    </row>
    <row r="651" spans="1:15" x14ac:dyDescent="0.35">
      <c r="A651" t="s">
        <v>915</v>
      </c>
      <c r="B651">
        <v>1</v>
      </c>
      <c r="C651">
        <v>21.99</v>
      </c>
      <c r="D651">
        <v>21.99</v>
      </c>
      <c r="E651" t="s">
        <v>169</v>
      </c>
      <c r="F651" t="s">
        <v>1722</v>
      </c>
      <c r="G651" t="s">
        <v>16</v>
      </c>
      <c r="H651">
        <v>2</v>
      </c>
      <c r="I651" t="s">
        <v>12</v>
      </c>
      <c r="J651" t="s">
        <v>13</v>
      </c>
      <c r="K651">
        <v>7</v>
      </c>
      <c r="O651">
        <f t="shared" si="12"/>
        <v>21.99</v>
      </c>
    </row>
    <row r="652" spans="1:15" x14ac:dyDescent="0.35">
      <c r="A652" t="s">
        <v>916</v>
      </c>
      <c r="B652">
        <v>1</v>
      </c>
      <c r="C652">
        <v>21.99</v>
      </c>
      <c r="D652">
        <v>21.99</v>
      </c>
      <c r="E652" t="s">
        <v>917</v>
      </c>
      <c r="F652" t="s">
        <v>1723</v>
      </c>
      <c r="G652" t="s">
        <v>21</v>
      </c>
      <c r="H652">
        <v>0</v>
      </c>
      <c r="I652" t="s">
        <v>12</v>
      </c>
      <c r="J652" t="s">
        <v>13</v>
      </c>
      <c r="K652">
        <v>7</v>
      </c>
      <c r="O652">
        <f t="shared" si="12"/>
        <v>21.99</v>
      </c>
    </row>
    <row r="653" spans="1:15" x14ac:dyDescent="0.35">
      <c r="A653" t="s">
        <v>918</v>
      </c>
      <c r="B653">
        <v>1</v>
      </c>
      <c r="C653">
        <v>34.99</v>
      </c>
      <c r="D653">
        <v>34.99</v>
      </c>
      <c r="E653" t="s">
        <v>919</v>
      </c>
      <c r="F653" t="s">
        <v>1724</v>
      </c>
      <c r="G653" t="s">
        <v>16</v>
      </c>
      <c r="H653">
        <v>7</v>
      </c>
      <c r="I653" t="s">
        <v>41</v>
      </c>
      <c r="J653" t="s">
        <v>36</v>
      </c>
      <c r="K653">
        <v>12.5</v>
      </c>
      <c r="O653">
        <f t="shared" si="12"/>
        <v>21.99</v>
      </c>
    </row>
    <row r="654" spans="1:15" x14ac:dyDescent="0.35">
      <c r="A654" t="s">
        <v>920</v>
      </c>
      <c r="B654">
        <v>2</v>
      </c>
      <c r="C654">
        <v>30.99</v>
      </c>
      <c r="D654">
        <v>53.45</v>
      </c>
      <c r="E654" t="s">
        <v>921</v>
      </c>
      <c r="F654" t="s">
        <v>1725</v>
      </c>
      <c r="G654" t="s">
        <v>11</v>
      </c>
      <c r="H654">
        <v>2</v>
      </c>
      <c r="I654" t="s">
        <v>12</v>
      </c>
      <c r="J654" t="s">
        <v>18</v>
      </c>
      <c r="K654">
        <v>10.5</v>
      </c>
      <c r="O654">
        <f t="shared" si="12"/>
        <v>37.979999999999997</v>
      </c>
    </row>
    <row r="655" spans="1:15" x14ac:dyDescent="0.35">
      <c r="A655" t="s">
        <v>922</v>
      </c>
      <c r="B655">
        <v>1</v>
      </c>
      <c r="C655">
        <v>18.989999999999998</v>
      </c>
      <c r="D655">
        <v>18.989999999999998</v>
      </c>
      <c r="E655" t="s">
        <v>923</v>
      </c>
      <c r="F655" t="s">
        <v>1726</v>
      </c>
      <c r="G655" t="s">
        <v>87</v>
      </c>
      <c r="H655">
        <v>0</v>
      </c>
      <c r="I655" t="s">
        <v>41</v>
      </c>
      <c r="J655" t="s">
        <v>42</v>
      </c>
      <c r="K655">
        <v>6</v>
      </c>
      <c r="O655">
        <f t="shared" si="12"/>
        <v>21.99</v>
      </c>
    </row>
    <row r="656" spans="1:15" x14ac:dyDescent="0.35">
      <c r="A656" t="s">
        <v>924</v>
      </c>
      <c r="B656">
        <v>1</v>
      </c>
      <c r="C656">
        <v>30.99</v>
      </c>
      <c r="D656">
        <v>30.99</v>
      </c>
      <c r="E656" t="s">
        <v>925</v>
      </c>
      <c r="F656" t="s">
        <v>1727</v>
      </c>
      <c r="G656" t="s">
        <v>16</v>
      </c>
      <c r="H656">
        <v>3</v>
      </c>
      <c r="I656" t="s">
        <v>24</v>
      </c>
      <c r="J656" t="s">
        <v>18</v>
      </c>
      <c r="K656">
        <v>10.5</v>
      </c>
      <c r="O656">
        <f t="shared" si="12"/>
        <v>21.99</v>
      </c>
    </row>
    <row r="657" spans="1:15" x14ac:dyDescent="0.35">
      <c r="A657" t="s">
        <v>926</v>
      </c>
      <c r="B657">
        <v>1</v>
      </c>
      <c r="C657">
        <v>21.99</v>
      </c>
      <c r="D657">
        <v>21.99</v>
      </c>
      <c r="E657" t="s">
        <v>701</v>
      </c>
      <c r="F657" t="s">
        <v>1728</v>
      </c>
      <c r="G657" t="s">
        <v>16</v>
      </c>
      <c r="H657">
        <v>2</v>
      </c>
      <c r="I657" t="s">
        <v>17</v>
      </c>
      <c r="J657" t="s">
        <v>13</v>
      </c>
      <c r="K657">
        <v>7</v>
      </c>
      <c r="O657">
        <f t="shared" si="12"/>
        <v>21.99</v>
      </c>
    </row>
    <row r="658" spans="1:15" x14ac:dyDescent="0.35">
      <c r="A658" t="s">
        <v>927</v>
      </c>
      <c r="B658">
        <v>3</v>
      </c>
      <c r="C658">
        <v>18.989999999999998</v>
      </c>
      <c r="D658">
        <v>45.58</v>
      </c>
      <c r="E658" t="s">
        <v>701</v>
      </c>
      <c r="F658" t="s">
        <v>1717</v>
      </c>
      <c r="G658" t="s">
        <v>87</v>
      </c>
      <c r="H658">
        <v>0</v>
      </c>
      <c r="I658" t="s">
        <v>17</v>
      </c>
      <c r="J658" t="s">
        <v>42</v>
      </c>
      <c r="K658">
        <v>6</v>
      </c>
      <c r="O658">
        <f t="shared" si="12"/>
        <v>84.73</v>
      </c>
    </row>
    <row r="659" spans="1:15" x14ac:dyDescent="0.35">
      <c r="A659" t="s">
        <v>928</v>
      </c>
      <c r="B659">
        <v>1</v>
      </c>
      <c r="C659">
        <v>21.99</v>
      </c>
      <c r="D659">
        <v>21.99</v>
      </c>
      <c r="E659" t="s">
        <v>780</v>
      </c>
      <c r="F659" t="s">
        <v>1718</v>
      </c>
      <c r="G659" t="s">
        <v>16</v>
      </c>
      <c r="H659">
        <v>3</v>
      </c>
      <c r="I659" t="s">
        <v>17</v>
      </c>
      <c r="J659" t="s">
        <v>13</v>
      </c>
      <c r="K659">
        <v>7</v>
      </c>
      <c r="O659">
        <f t="shared" si="12"/>
        <v>21.99</v>
      </c>
    </row>
    <row r="660" spans="1:15" x14ac:dyDescent="0.35">
      <c r="A660" t="s">
        <v>929</v>
      </c>
      <c r="B660">
        <v>2</v>
      </c>
      <c r="C660">
        <v>27.99</v>
      </c>
      <c r="D660">
        <v>48.72</v>
      </c>
      <c r="E660" t="s">
        <v>820</v>
      </c>
      <c r="F660" t="s">
        <v>1719</v>
      </c>
      <c r="G660" t="s">
        <v>21</v>
      </c>
      <c r="H660">
        <v>0</v>
      </c>
      <c r="I660" t="s">
        <v>24</v>
      </c>
      <c r="J660" t="s">
        <v>31</v>
      </c>
      <c r="K660">
        <v>9</v>
      </c>
      <c r="O660">
        <f t="shared" si="12"/>
        <v>37.979999999999997</v>
      </c>
    </row>
    <row r="661" spans="1:15" x14ac:dyDescent="0.35">
      <c r="A661" t="s">
        <v>930</v>
      </c>
      <c r="B661">
        <v>1</v>
      </c>
      <c r="C661">
        <v>27.99</v>
      </c>
      <c r="D661">
        <v>27.99</v>
      </c>
      <c r="E661" t="s">
        <v>931</v>
      </c>
      <c r="F661" t="s">
        <v>1720</v>
      </c>
      <c r="G661" t="s">
        <v>21</v>
      </c>
      <c r="H661">
        <v>0</v>
      </c>
      <c r="I661" t="s">
        <v>17</v>
      </c>
      <c r="J661" t="s">
        <v>31</v>
      </c>
      <c r="K661">
        <v>9</v>
      </c>
      <c r="O661">
        <f t="shared" si="12"/>
        <v>21.99</v>
      </c>
    </row>
    <row r="662" spans="1:15" x14ac:dyDescent="0.35">
      <c r="A662" t="s">
        <v>932</v>
      </c>
      <c r="B662">
        <v>1</v>
      </c>
      <c r="C662">
        <v>18.989999999999998</v>
      </c>
      <c r="D662">
        <v>18.989999999999998</v>
      </c>
      <c r="E662" t="s">
        <v>699</v>
      </c>
      <c r="F662" t="s">
        <v>1721</v>
      </c>
      <c r="G662" t="s">
        <v>16</v>
      </c>
      <c r="H662">
        <v>15</v>
      </c>
      <c r="I662" t="s">
        <v>41</v>
      </c>
      <c r="J662" t="s">
        <v>42</v>
      </c>
      <c r="K662">
        <v>6</v>
      </c>
      <c r="O662">
        <f t="shared" si="12"/>
        <v>21.99</v>
      </c>
    </row>
    <row r="663" spans="1:15" x14ac:dyDescent="0.35">
      <c r="A663" t="s">
        <v>933</v>
      </c>
      <c r="B663">
        <v>1</v>
      </c>
      <c r="C663">
        <v>21.99</v>
      </c>
      <c r="D663">
        <v>21.99</v>
      </c>
      <c r="E663" t="s">
        <v>841</v>
      </c>
      <c r="F663" t="s">
        <v>1722</v>
      </c>
      <c r="G663" t="s">
        <v>21</v>
      </c>
      <c r="H663">
        <v>0</v>
      </c>
      <c r="I663" t="s">
        <v>24</v>
      </c>
      <c r="J663" t="s">
        <v>13</v>
      </c>
      <c r="K663">
        <v>7</v>
      </c>
      <c r="O663">
        <f t="shared" si="12"/>
        <v>21.99</v>
      </c>
    </row>
    <row r="664" spans="1:15" x14ac:dyDescent="0.35">
      <c r="A664" t="s">
        <v>934</v>
      </c>
      <c r="B664">
        <v>1</v>
      </c>
      <c r="C664">
        <v>34.99</v>
      </c>
      <c r="D664">
        <v>34.99</v>
      </c>
      <c r="E664" t="s">
        <v>788</v>
      </c>
      <c r="F664" t="s">
        <v>1723</v>
      </c>
      <c r="G664" t="s">
        <v>87</v>
      </c>
      <c r="H664">
        <v>0</v>
      </c>
      <c r="I664" t="s">
        <v>24</v>
      </c>
      <c r="J664" t="s">
        <v>36</v>
      </c>
      <c r="K664">
        <v>12.5</v>
      </c>
      <c r="O664">
        <f t="shared" si="12"/>
        <v>21.99</v>
      </c>
    </row>
    <row r="665" spans="1:15" x14ac:dyDescent="0.35">
      <c r="A665" t="s">
        <v>935</v>
      </c>
      <c r="B665">
        <v>2</v>
      </c>
      <c r="C665">
        <v>16.989999999999998</v>
      </c>
      <c r="D665">
        <v>29.42</v>
      </c>
      <c r="E665" t="s">
        <v>547</v>
      </c>
      <c r="F665" t="s">
        <v>1724</v>
      </c>
      <c r="G665" t="s">
        <v>16</v>
      </c>
      <c r="H665">
        <v>17</v>
      </c>
      <c r="I665" t="s">
        <v>41</v>
      </c>
      <c r="J665" t="s">
        <v>25</v>
      </c>
      <c r="K665">
        <v>5</v>
      </c>
      <c r="O665">
        <f t="shared" si="12"/>
        <v>37.979999999999997</v>
      </c>
    </row>
    <row r="666" spans="1:15" x14ac:dyDescent="0.35">
      <c r="A666" t="s">
        <v>936</v>
      </c>
      <c r="B666">
        <v>1</v>
      </c>
      <c r="C666">
        <v>30.99</v>
      </c>
      <c r="D666">
        <v>30.99</v>
      </c>
      <c r="E666" t="s">
        <v>893</v>
      </c>
      <c r="F666" t="s">
        <v>1725</v>
      </c>
      <c r="G666" t="s">
        <v>21</v>
      </c>
      <c r="H666">
        <v>0</v>
      </c>
      <c r="I666" t="s">
        <v>41</v>
      </c>
      <c r="J666" t="s">
        <v>18</v>
      </c>
      <c r="K666">
        <v>10.5</v>
      </c>
      <c r="O666">
        <f t="shared" si="12"/>
        <v>21.99</v>
      </c>
    </row>
    <row r="667" spans="1:15" x14ac:dyDescent="0.35">
      <c r="A667" t="s">
        <v>937</v>
      </c>
      <c r="B667">
        <v>2</v>
      </c>
      <c r="C667">
        <v>34.99</v>
      </c>
      <c r="D667">
        <v>60.76</v>
      </c>
      <c r="E667" t="s">
        <v>433</v>
      </c>
      <c r="F667" t="s">
        <v>1726</v>
      </c>
      <c r="G667" t="s">
        <v>21</v>
      </c>
      <c r="H667">
        <v>0</v>
      </c>
      <c r="I667" t="s">
        <v>17</v>
      </c>
      <c r="J667" t="s">
        <v>36</v>
      </c>
      <c r="K667">
        <v>12.5</v>
      </c>
      <c r="O667">
        <f t="shared" si="12"/>
        <v>37.979999999999997</v>
      </c>
    </row>
    <row r="668" spans="1:15" x14ac:dyDescent="0.35">
      <c r="A668" t="s">
        <v>938</v>
      </c>
      <c r="B668">
        <v>1</v>
      </c>
      <c r="C668">
        <v>21.99</v>
      </c>
      <c r="D668">
        <v>21.99</v>
      </c>
      <c r="E668" t="s">
        <v>453</v>
      </c>
      <c r="F668" t="s">
        <v>1727</v>
      </c>
      <c r="G668" t="s">
        <v>11</v>
      </c>
      <c r="H668">
        <v>2</v>
      </c>
      <c r="I668" t="s">
        <v>17</v>
      </c>
      <c r="J668" t="s">
        <v>13</v>
      </c>
      <c r="K668">
        <v>7</v>
      </c>
      <c r="O668">
        <f t="shared" si="12"/>
        <v>21.99</v>
      </c>
    </row>
    <row r="669" spans="1:15" x14ac:dyDescent="0.35">
      <c r="A669" t="s">
        <v>939</v>
      </c>
      <c r="B669">
        <v>2</v>
      </c>
      <c r="C669">
        <v>18.989999999999998</v>
      </c>
      <c r="D669">
        <v>32.86</v>
      </c>
      <c r="E669" t="s">
        <v>634</v>
      </c>
      <c r="F669" t="s">
        <v>1728</v>
      </c>
      <c r="G669" t="s">
        <v>16</v>
      </c>
      <c r="H669">
        <v>16</v>
      </c>
      <c r="I669" t="s">
        <v>41</v>
      </c>
      <c r="J669" t="s">
        <v>42</v>
      </c>
      <c r="K669">
        <v>6</v>
      </c>
      <c r="O669">
        <f t="shared" si="12"/>
        <v>37.979999999999997</v>
      </c>
    </row>
    <row r="670" spans="1:15" x14ac:dyDescent="0.35">
      <c r="A670" t="s">
        <v>940</v>
      </c>
      <c r="B670">
        <v>3</v>
      </c>
      <c r="C670">
        <v>27.99</v>
      </c>
      <c r="D670">
        <v>66.989999999999995</v>
      </c>
      <c r="E670" t="s">
        <v>941</v>
      </c>
      <c r="F670" t="s">
        <v>1717</v>
      </c>
      <c r="G670" t="s">
        <v>87</v>
      </c>
      <c r="H670">
        <v>0</v>
      </c>
      <c r="I670" t="s">
        <v>24</v>
      </c>
      <c r="J670" t="s">
        <v>31</v>
      </c>
      <c r="K670">
        <v>9</v>
      </c>
      <c r="O670">
        <f t="shared" si="12"/>
        <v>84.73</v>
      </c>
    </row>
    <row r="671" spans="1:15" x14ac:dyDescent="0.35">
      <c r="A671" t="s">
        <v>942</v>
      </c>
      <c r="B671">
        <v>3</v>
      </c>
      <c r="C671">
        <v>30.99</v>
      </c>
      <c r="D671">
        <v>74.650000000000006</v>
      </c>
      <c r="E671" t="s">
        <v>943</v>
      </c>
      <c r="F671" t="s">
        <v>1718</v>
      </c>
      <c r="G671" t="s">
        <v>16</v>
      </c>
      <c r="H671">
        <v>3</v>
      </c>
      <c r="I671" t="s">
        <v>12</v>
      </c>
      <c r="J671" t="s">
        <v>18</v>
      </c>
      <c r="K671">
        <v>10.5</v>
      </c>
      <c r="O671">
        <f t="shared" si="12"/>
        <v>84.73</v>
      </c>
    </row>
    <row r="672" spans="1:15" x14ac:dyDescent="0.35">
      <c r="A672" t="s">
        <v>944</v>
      </c>
      <c r="B672">
        <v>1</v>
      </c>
      <c r="C672">
        <v>16.989999999999998</v>
      </c>
      <c r="D672">
        <v>16.989999999999998</v>
      </c>
      <c r="E672" t="s">
        <v>116</v>
      </c>
      <c r="F672" t="s">
        <v>1719</v>
      </c>
      <c r="G672" t="s">
        <v>21</v>
      </c>
      <c r="H672">
        <v>0</v>
      </c>
      <c r="I672" t="s">
        <v>12</v>
      </c>
      <c r="J672" t="s">
        <v>25</v>
      </c>
      <c r="K672">
        <v>5</v>
      </c>
      <c r="O672">
        <f t="shared" si="12"/>
        <v>21.99</v>
      </c>
    </row>
    <row r="673" spans="1:15" x14ac:dyDescent="0.35">
      <c r="A673" t="s">
        <v>945</v>
      </c>
      <c r="B673">
        <v>1</v>
      </c>
      <c r="C673">
        <v>18.989999999999998</v>
      </c>
      <c r="D673">
        <v>18.989999999999998</v>
      </c>
      <c r="E673" t="s">
        <v>162</v>
      </c>
      <c r="F673" t="s">
        <v>1720</v>
      </c>
      <c r="G673" t="s">
        <v>21</v>
      </c>
      <c r="H673">
        <v>0</v>
      </c>
      <c r="I673" t="s">
        <v>12</v>
      </c>
      <c r="J673" t="s">
        <v>42</v>
      </c>
      <c r="K673">
        <v>6</v>
      </c>
      <c r="O673">
        <f t="shared" si="12"/>
        <v>21.99</v>
      </c>
    </row>
    <row r="674" spans="1:15" x14ac:dyDescent="0.35">
      <c r="A674" t="s">
        <v>946</v>
      </c>
      <c r="B674">
        <v>1</v>
      </c>
      <c r="C674">
        <v>34.99</v>
      </c>
      <c r="D674">
        <v>34.99</v>
      </c>
      <c r="E674" t="s">
        <v>947</v>
      </c>
      <c r="F674" t="s">
        <v>1721</v>
      </c>
      <c r="G674" t="s">
        <v>87</v>
      </c>
      <c r="H674">
        <v>0</v>
      </c>
      <c r="I674" t="s">
        <v>17</v>
      </c>
      <c r="J674" t="s">
        <v>36</v>
      </c>
      <c r="K674">
        <v>12.5</v>
      </c>
      <c r="O674">
        <f t="shared" si="12"/>
        <v>21.99</v>
      </c>
    </row>
    <row r="675" spans="1:15" x14ac:dyDescent="0.35">
      <c r="A675" t="s">
        <v>948</v>
      </c>
      <c r="B675">
        <v>1</v>
      </c>
      <c r="C675">
        <v>27.99</v>
      </c>
      <c r="D675">
        <v>27.99</v>
      </c>
      <c r="E675" t="s">
        <v>27</v>
      </c>
      <c r="F675" t="s">
        <v>1722</v>
      </c>
      <c r="G675" t="s">
        <v>16</v>
      </c>
      <c r="H675">
        <v>2</v>
      </c>
      <c r="I675" t="s">
        <v>12</v>
      </c>
      <c r="J675" t="s">
        <v>31</v>
      </c>
      <c r="K675">
        <v>9</v>
      </c>
      <c r="O675">
        <f t="shared" si="12"/>
        <v>21.99</v>
      </c>
    </row>
    <row r="676" spans="1:15" x14ac:dyDescent="0.35">
      <c r="A676" t="s">
        <v>949</v>
      </c>
      <c r="B676">
        <v>1</v>
      </c>
      <c r="C676">
        <v>34.99</v>
      </c>
      <c r="D676">
        <v>34.99</v>
      </c>
      <c r="E676" t="s">
        <v>950</v>
      </c>
      <c r="F676" t="s">
        <v>1723</v>
      </c>
      <c r="G676" t="s">
        <v>87</v>
      </c>
      <c r="H676">
        <v>0</v>
      </c>
      <c r="I676" t="s">
        <v>12</v>
      </c>
      <c r="J676" t="s">
        <v>36</v>
      </c>
      <c r="K676">
        <v>12.5</v>
      </c>
      <c r="O676">
        <f t="shared" si="12"/>
        <v>21.99</v>
      </c>
    </row>
    <row r="677" spans="1:15" x14ac:dyDescent="0.35">
      <c r="A677" t="s">
        <v>951</v>
      </c>
      <c r="B677">
        <v>3</v>
      </c>
      <c r="C677">
        <v>18.989999999999998</v>
      </c>
      <c r="D677">
        <v>44.9</v>
      </c>
      <c r="E677" t="s">
        <v>655</v>
      </c>
      <c r="F677" t="s">
        <v>1724</v>
      </c>
      <c r="G677" t="s">
        <v>87</v>
      </c>
      <c r="H677">
        <v>0</v>
      </c>
      <c r="I677" t="s">
        <v>17</v>
      </c>
      <c r="J677" t="s">
        <v>42</v>
      </c>
      <c r="K677">
        <v>6</v>
      </c>
      <c r="O677">
        <f t="shared" si="12"/>
        <v>84.73</v>
      </c>
    </row>
    <row r="678" spans="1:15" x14ac:dyDescent="0.35">
      <c r="A678" t="s">
        <v>952</v>
      </c>
      <c r="B678">
        <v>1</v>
      </c>
      <c r="C678">
        <v>30.99</v>
      </c>
      <c r="D678">
        <v>30.99</v>
      </c>
      <c r="E678" t="s">
        <v>445</v>
      </c>
      <c r="F678" t="s">
        <v>1725</v>
      </c>
      <c r="G678" t="s">
        <v>21</v>
      </c>
      <c r="H678">
        <v>0</v>
      </c>
      <c r="I678" t="s">
        <v>12</v>
      </c>
      <c r="J678" t="s">
        <v>18</v>
      </c>
      <c r="K678">
        <v>10.5</v>
      </c>
      <c r="O678">
        <f t="shared" si="12"/>
        <v>21.99</v>
      </c>
    </row>
    <row r="679" spans="1:15" x14ac:dyDescent="0.35">
      <c r="A679" t="s">
        <v>953</v>
      </c>
      <c r="B679">
        <v>2</v>
      </c>
      <c r="C679">
        <v>21.99</v>
      </c>
      <c r="D679">
        <v>37.69</v>
      </c>
      <c r="E679" t="s">
        <v>570</v>
      </c>
      <c r="F679" t="s">
        <v>1726</v>
      </c>
      <c r="G679" t="s">
        <v>21</v>
      </c>
      <c r="H679">
        <v>0</v>
      </c>
      <c r="I679" t="s">
        <v>24</v>
      </c>
      <c r="J679" t="s">
        <v>13</v>
      </c>
      <c r="K679">
        <v>7</v>
      </c>
      <c r="O679">
        <f t="shared" si="12"/>
        <v>37.979999999999997</v>
      </c>
    </row>
    <row r="680" spans="1:15" x14ac:dyDescent="0.35">
      <c r="A680" t="s">
        <v>954</v>
      </c>
      <c r="B680">
        <v>1</v>
      </c>
      <c r="C680">
        <v>16.989999999999998</v>
      </c>
      <c r="D680">
        <v>16.989999999999998</v>
      </c>
      <c r="E680" t="s">
        <v>955</v>
      </c>
      <c r="F680" t="s">
        <v>1727</v>
      </c>
      <c r="G680" t="s">
        <v>28</v>
      </c>
      <c r="H680">
        <v>0</v>
      </c>
      <c r="I680" t="s">
        <v>41</v>
      </c>
      <c r="J680" t="s">
        <v>25</v>
      </c>
      <c r="K680">
        <v>5</v>
      </c>
      <c r="O680">
        <f t="shared" si="12"/>
        <v>21.99</v>
      </c>
    </row>
    <row r="681" spans="1:15" x14ac:dyDescent="0.35">
      <c r="A681" t="s">
        <v>956</v>
      </c>
      <c r="B681">
        <v>3</v>
      </c>
      <c r="C681">
        <v>21.99</v>
      </c>
      <c r="D681">
        <v>51.92</v>
      </c>
      <c r="E681" t="s">
        <v>536</v>
      </c>
      <c r="F681" t="s">
        <v>1728</v>
      </c>
      <c r="G681" t="s">
        <v>87</v>
      </c>
      <c r="H681">
        <v>0</v>
      </c>
      <c r="I681" t="s">
        <v>17</v>
      </c>
      <c r="J681" t="s">
        <v>13</v>
      </c>
      <c r="K681">
        <v>7</v>
      </c>
      <c r="O681">
        <f t="shared" si="12"/>
        <v>84.73</v>
      </c>
    </row>
    <row r="682" spans="1:15" x14ac:dyDescent="0.35">
      <c r="A682" t="s">
        <v>957</v>
      </c>
      <c r="B682">
        <v>3</v>
      </c>
      <c r="C682">
        <v>18.989999999999998</v>
      </c>
      <c r="D682">
        <v>45.8</v>
      </c>
      <c r="E682" t="s">
        <v>958</v>
      </c>
      <c r="F682" t="s">
        <v>1717</v>
      </c>
      <c r="G682" t="s">
        <v>21</v>
      </c>
      <c r="H682">
        <v>0</v>
      </c>
      <c r="I682" t="s">
        <v>41</v>
      </c>
      <c r="J682" t="s">
        <v>42</v>
      </c>
      <c r="K682">
        <v>6</v>
      </c>
      <c r="O682">
        <f t="shared" si="12"/>
        <v>84.73</v>
      </c>
    </row>
    <row r="683" spans="1:15" x14ac:dyDescent="0.35">
      <c r="A683" t="s">
        <v>959</v>
      </c>
      <c r="B683">
        <v>1</v>
      </c>
      <c r="C683">
        <v>27.99</v>
      </c>
      <c r="D683">
        <v>27.99</v>
      </c>
      <c r="E683" t="s">
        <v>692</v>
      </c>
      <c r="F683" t="s">
        <v>1718</v>
      </c>
      <c r="G683" t="s">
        <v>16</v>
      </c>
      <c r="H683">
        <v>3</v>
      </c>
      <c r="I683" t="s">
        <v>17</v>
      </c>
      <c r="J683" t="s">
        <v>31</v>
      </c>
      <c r="K683">
        <v>9</v>
      </c>
      <c r="O683">
        <f t="shared" si="12"/>
        <v>21.99</v>
      </c>
    </row>
    <row r="684" spans="1:15" x14ac:dyDescent="0.35">
      <c r="A684" t="s">
        <v>960</v>
      </c>
      <c r="B684">
        <v>1</v>
      </c>
      <c r="C684">
        <v>18.989999999999998</v>
      </c>
      <c r="D684">
        <v>18.989999999999998</v>
      </c>
      <c r="E684" t="s">
        <v>122</v>
      </c>
      <c r="F684" t="s">
        <v>1719</v>
      </c>
      <c r="G684" t="s">
        <v>16</v>
      </c>
      <c r="H684">
        <v>13</v>
      </c>
      <c r="I684" t="s">
        <v>17</v>
      </c>
      <c r="J684" t="s">
        <v>42</v>
      </c>
      <c r="K684">
        <v>6</v>
      </c>
      <c r="O684">
        <f t="shared" si="12"/>
        <v>21.99</v>
      </c>
    </row>
    <row r="685" spans="1:15" x14ac:dyDescent="0.35">
      <c r="A685" t="s">
        <v>961</v>
      </c>
      <c r="B685">
        <v>1</v>
      </c>
      <c r="C685">
        <v>21.99</v>
      </c>
      <c r="D685">
        <v>21.99</v>
      </c>
      <c r="E685" t="s">
        <v>627</v>
      </c>
      <c r="F685" t="s">
        <v>1720</v>
      </c>
      <c r="G685" t="s">
        <v>21</v>
      </c>
      <c r="H685">
        <v>0</v>
      </c>
      <c r="I685" t="s">
        <v>41</v>
      </c>
      <c r="J685" t="s">
        <v>13</v>
      </c>
      <c r="K685">
        <v>7</v>
      </c>
      <c r="O685">
        <f t="shared" si="12"/>
        <v>21.99</v>
      </c>
    </row>
    <row r="686" spans="1:15" x14ac:dyDescent="0.35">
      <c r="A686" t="s">
        <v>962</v>
      </c>
      <c r="B686">
        <v>1</v>
      </c>
      <c r="C686">
        <v>34.99</v>
      </c>
      <c r="D686">
        <v>34.99</v>
      </c>
      <c r="E686" t="s">
        <v>30</v>
      </c>
      <c r="F686" t="s">
        <v>1721</v>
      </c>
      <c r="G686" t="s">
        <v>16</v>
      </c>
      <c r="H686">
        <v>8</v>
      </c>
      <c r="I686" t="s">
        <v>12</v>
      </c>
      <c r="J686" t="s">
        <v>36</v>
      </c>
      <c r="K686">
        <v>12.5</v>
      </c>
      <c r="O686">
        <f t="shared" si="12"/>
        <v>21.99</v>
      </c>
    </row>
    <row r="687" spans="1:15" x14ac:dyDescent="0.35">
      <c r="A687" t="s">
        <v>963</v>
      </c>
      <c r="B687">
        <v>1</v>
      </c>
      <c r="C687">
        <v>27.99</v>
      </c>
      <c r="D687">
        <v>27.99</v>
      </c>
      <c r="E687" t="s">
        <v>812</v>
      </c>
      <c r="F687" t="s">
        <v>1722</v>
      </c>
      <c r="G687" t="s">
        <v>28</v>
      </c>
      <c r="H687">
        <v>0</v>
      </c>
      <c r="I687" t="s">
        <v>41</v>
      </c>
      <c r="J687" t="s">
        <v>31</v>
      </c>
      <c r="K687">
        <v>9</v>
      </c>
      <c r="O687">
        <f t="shared" si="12"/>
        <v>21.99</v>
      </c>
    </row>
    <row r="688" spans="1:15" x14ac:dyDescent="0.35">
      <c r="A688" t="s">
        <v>964</v>
      </c>
      <c r="B688">
        <v>2</v>
      </c>
      <c r="C688">
        <v>27.99</v>
      </c>
      <c r="D688">
        <v>47.87</v>
      </c>
      <c r="E688" t="s">
        <v>240</v>
      </c>
      <c r="F688" t="s">
        <v>1723</v>
      </c>
      <c r="G688" t="s">
        <v>16</v>
      </c>
      <c r="H688">
        <v>2</v>
      </c>
      <c r="I688" t="s">
        <v>24</v>
      </c>
      <c r="J688" t="s">
        <v>31</v>
      </c>
      <c r="K688">
        <v>9</v>
      </c>
      <c r="O688">
        <f t="shared" si="12"/>
        <v>37.979999999999997</v>
      </c>
    </row>
    <row r="689" spans="1:15" x14ac:dyDescent="0.35">
      <c r="A689" t="s">
        <v>965</v>
      </c>
      <c r="B689">
        <v>1</v>
      </c>
      <c r="C689">
        <v>30.99</v>
      </c>
      <c r="D689">
        <v>30.99</v>
      </c>
      <c r="E689" t="s">
        <v>966</v>
      </c>
      <c r="F689" t="s">
        <v>1724</v>
      </c>
      <c r="G689" t="s">
        <v>11</v>
      </c>
      <c r="H689">
        <v>3</v>
      </c>
      <c r="I689" t="s">
        <v>41</v>
      </c>
      <c r="J689" t="s">
        <v>18</v>
      </c>
      <c r="K689">
        <v>10.5</v>
      </c>
      <c r="O689">
        <f t="shared" si="12"/>
        <v>21.99</v>
      </c>
    </row>
    <row r="690" spans="1:15" x14ac:dyDescent="0.35">
      <c r="A690" t="s">
        <v>967</v>
      </c>
      <c r="B690">
        <v>1</v>
      </c>
      <c r="C690">
        <v>30.99</v>
      </c>
      <c r="D690">
        <v>30.99</v>
      </c>
      <c r="E690" t="s">
        <v>790</v>
      </c>
      <c r="F690" t="s">
        <v>1725</v>
      </c>
      <c r="G690" t="s">
        <v>16</v>
      </c>
      <c r="H690">
        <v>3</v>
      </c>
      <c r="I690" t="s">
        <v>24</v>
      </c>
      <c r="J690" t="s">
        <v>18</v>
      </c>
      <c r="K690">
        <v>10.5</v>
      </c>
      <c r="O690">
        <f t="shared" si="12"/>
        <v>21.99</v>
      </c>
    </row>
    <row r="691" spans="1:15" x14ac:dyDescent="0.35">
      <c r="A691" t="s">
        <v>968</v>
      </c>
      <c r="B691">
        <v>1</v>
      </c>
      <c r="C691">
        <v>16.989999999999998</v>
      </c>
      <c r="D691">
        <v>16.989999999999998</v>
      </c>
      <c r="E691" t="s">
        <v>739</v>
      </c>
      <c r="F691" t="s">
        <v>1726</v>
      </c>
      <c r="G691" t="s">
        <v>87</v>
      </c>
      <c r="H691">
        <v>0</v>
      </c>
      <c r="I691" t="s">
        <v>24</v>
      </c>
      <c r="J691" t="s">
        <v>25</v>
      </c>
      <c r="K691">
        <v>5</v>
      </c>
      <c r="O691">
        <f t="shared" si="12"/>
        <v>21.99</v>
      </c>
    </row>
    <row r="692" spans="1:15" x14ac:dyDescent="0.35">
      <c r="A692" t="s">
        <v>969</v>
      </c>
      <c r="B692">
        <v>1</v>
      </c>
      <c r="C692">
        <v>16.989999999999998</v>
      </c>
      <c r="D692">
        <v>16.989999999999998</v>
      </c>
      <c r="E692" t="s">
        <v>725</v>
      </c>
      <c r="F692" t="s">
        <v>1727</v>
      </c>
      <c r="G692" t="s">
        <v>16</v>
      </c>
      <c r="H692">
        <v>18</v>
      </c>
      <c r="I692" t="s">
        <v>24</v>
      </c>
      <c r="J692" t="s">
        <v>25</v>
      </c>
      <c r="K692">
        <v>5</v>
      </c>
      <c r="O692">
        <f t="shared" si="12"/>
        <v>21.99</v>
      </c>
    </row>
    <row r="693" spans="1:15" x14ac:dyDescent="0.35">
      <c r="A693" t="s">
        <v>970</v>
      </c>
      <c r="B693">
        <v>1</v>
      </c>
      <c r="C693">
        <v>34.99</v>
      </c>
      <c r="D693">
        <v>34.99</v>
      </c>
      <c r="E693" t="s">
        <v>847</v>
      </c>
      <c r="F693" t="s">
        <v>1728</v>
      </c>
      <c r="G693" t="s">
        <v>16</v>
      </c>
      <c r="H693">
        <v>8</v>
      </c>
      <c r="I693" t="s">
        <v>41</v>
      </c>
      <c r="J693" t="s">
        <v>36</v>
      </c>
      <c r="K693">
        <v>12.5</v>
      </c>
      <c r="O693">
        <f t="shared" si="12"/>
        <v>21.99</v>
      </c>
    </row>
    <row r="694" spans="1:15" x14ac:dyDescent="0.35">
      <c r="A694" t="s">
        <v>971</v>
      </c>
      <c r="B694">
        <v>1</v>
      </c>
      <c r="C694">
        <v>16.989999999999998</v>
      </c>
      <c r="D694">
        <v>16.989999999999998</v>
      </c>
      <c r="E694" t="s">
        <v>23</v>
      </c>
      <c r="F694" t="s">
        <v>1717</v>
      </c>
      <c r="G694" t="s">
        <v>16</v>
      </c>
      <c r="H694">
        <v>20</v>
      </c>
      <c r="I694" t="s">
        <v>41</v>
      </c>
      <c r="J694" t="s">
        <v>25</v>
      </c>
      <c r="K694">
        <v>5</v>
      </c>
      <c r="O694">
        <f t="shared" si="12"/>
        <v>21.99</v>
      </c>
    </row>
    <row r="695" spans="1:15" x14ac:dyDescent="0.35">
      <c r="A695" t="s">
        <v>972</v>
      </c>
      <c r="B695">
        <v>1</v>
      </c>
      <c r="C695">
        <v>21.99</v>
      </c>
      <c r="D695">
        <v>21.99</v>
      </c>
      <c r="E695" t="s">
        <v>692</v>
      </c>
      <c r="F695" t="s">
        <v>1718</v>
      </c>
      <c r="G695" t="s">
        <v>16</v>
      </c>
      <c r="H695">
        <v>3</v>
      </c>
      <c r="I695" t="s">
        <v>24</v>
      </c>
      <c r="J695" t="s">
        <v>13</v>
      </c>
      <c r="K695">
        <v>7</v>
      </c>
      <c r="O695">
        <f t="shared" si="12"/>
        <v>21.99</v>
      </c>
    </row>
    <row r="696" spans="1:15" x14ac:dyDescent="0.35">
      <c r="A696" t="s">
        <v>973</v>
      </c>
      <c r="B696">
        <v>1</v>
      </c>
      <c r="C696">
        <v>21.99</v>
      </c>
      <c r="D696">
        <v>21.99</v>
      </c>
      <c r="E696" t="s">
        <v>148</v>
      </c>
      <c r="F696" t="s">
        <v>1719</v>
      </c>
      <c r="G696" t="s">
        <v>16</v>
      </c>
      <c r="H696">
        <v>2</v>
      </c>
      <c r="I696" t="s">
        <v>41</v>
      </c>
      <c r="J696" t="s">
        <v>13</v>
      </c>
      <c r="K696">
        <v>7</v>
      </c>
      <c r="O696">
        <f t="shared" si="12"/>
        <v>21.99</v>
      </c>
    </row>
    <row r="697" spans="1:15" x14ac:dyDescent="0.35">
      <c r="A697" t="s">
        <v>974</v>
      </c>
      <c r="B697">
        <v>3</v>
      </c>
      <c r="C697">
        <v>30.99</v>
      </c>
      <c r="D697">
        <v>74.790000000000006</v>
      </c>
      <c r="E697" t="s">
        <v>240</v>
      </c>
      <c r="F697" t="s">
        <v>1720</v>
      </c>
      <c r="G697" t="s">
        <v>11</v>
      </c>
      <c r="H697">
        <v>2</v>
      </c>
      <c r="I697" t="s">
        <v>24</v>
      </c>
      <c r="J697" t="s">
        <v>18</v>
      </c>
      <c r="K697">
        <v>10.5</v>
      </c>
      <c r="O697">
        <f t="shared" si="12"/>
        <v>84.73</v>
      </c>
    </row>
    <row r="698" spans="1:15" x14ac:dyDescent="0.35">
      <c r="A698" t="s">
        <v>975</v>
      </c>
      <c r="B698">
        <v>2</v>
      </c>
      <c r="C698">
        <v>18.989999999999998</v>
      </c>
      <c r="D698">
        <v>33.11</v>
      </c>
      <c r="E698" t="s">
        <v>447</v>
      </c>
      <c r="F698" t="s">
        <v>1721</v>
      </c>
      <c r="G698" t="s">
        <v>21</v>
      </c>
      <c r="H698">
        <v>0</v>
      </c>
      <c r="I698" t="s">
        <v>24</v>
      </c>
      <c r="J698" t="s">
        <v>42</v>
      </c>
      <c r="K698">
        <v>6</v>
      </c>
      <c r="O698">
        <f t="shared" si="12"/>
        <v>37.979999999999997</v>
      </c>
    </row>
    <row r="699" spans="1:15" x14ac:dyDescent="0.35">
      <c r="A699" t="s">
        <v>976</v>
      </c>
      <c r="B699">
        <v>3</v>
      </c>
      <c r="C699">
        <v>30.99</v>
      </c>
      <c r="D699">
        <v>73.569999999999993</v>
      </c>
      <c r="E699" t="s">
        <v>977</v>
      </c>
      <c r="F699" t="s">
        <v>1722</v>
      </c>
      <c r="G699" t="s">
        <v>21</v>
      </c>
      <c r="H699">
        <v>0</v>
      </c>
      <c r="I699" t="s">
        <v>41</v>
      </c>
      <c r="J699" t="s">
        <v>18</v>
      </c>
      <c r="K699">
        <v>10.5</v>
      </c>
      <c r="O699">
        <f t="shared" si="12"/>
        <v>84.73</v>
      </c>
    </row>
    <row r="700" spans="1:15" x14ac:dyDescent="0.35">
      <c r="A700" t="s">
        <v>978</v>
      </c>
      <c r="B700">
        <v>3</v>
      </c>
      <c r="C700">
        <v>30.99</v>
      </c>
      <c r="D700">
        <v>74.11</v>
      </c>
      <c r="E700" t="s">
        <v>556</v>
      </c>
      <c r="F700" t="s">
        <v>1723</v>
      </c>
      <c r="G700" t="s">
        <v>16</v>
      </c>
      <c r="H700">
        <v>3</v>
      </c>
      <c r="I700" t="s">
        <v>12</v>
      </c>
      <c r="J700" t="s">
        <v>18</v>
      </c>
      <c r="K700">
        <v>10.5</v>
      </c>
      <c r="O700">
        <f t="shared" si="12"/>
        <v>84.73</v>
      </c>
    </row>
    <row r="701" spans="1:15" x14ac:dyDescent="0.35">
      <c r="A701" t="s">
        <v>979</v>
      </c>
      <c r="B701">
        <v>3</v>
      </c>
      <c r="C701">
        <v>34.99</v>
      </c>
      <c r="D701">
        <v>82.97</v>
      </c>
      <c r="E701" t="s">
        <v>547</v>
      </c>
      <c r="F701" t="s">
        <v>1724</v>
      </c>
      <c r="G701" t="s">
        <v>16</v>
      </c>
      <c r="H701">
        <v>5</v>
      </c>
      <c r="I701" t="s">
        <v>17</v>
      </c>
      <c r="J701" t="s">
        <v>36</v>
      </c>
      <c r="K701">
        <v>12.5</v>
      </c>
      <c r="O701">
        <f t="shared" si="12"/>
        <v>84.73</v>
      </c>
    </row>
    <row r="702" spans="1:15" x14ac:dyDescent="0.35">
      <c r="A702" t="s">
        <v>980</v>
      </c>
      <c r="B702">
        <v>3</v>
      </c>
      <c r="C702">
        <v>34.99</v>
      </c>
      <c r="D702">
        <v>82.43</v>
      </c>
      <c r="E702" t="s">
        <v>981</v>
      </c>
      <c r="F702" t="s">
        <v>1725</v>
      </c>
      <c r="G702" t="s">
        <v>87</v>
      </c>
      <c r="H702">
        <v>0</v>
      </c>
      <c r="I702" t="s">
        <v>41</v>
      </c>
      <c r="J702" t="s">
        <v>36</v>
      </c>
      <c r="K702">
        <v>12.5</v>
      </c>
      <c r="O702">
        <f t="shared" si="12"/>
        <v>84.73</v>
      </c>
    </row>
    <row r="703" spans="1:15" x14ac:dyDescent="0.35">
      <c r="A703" t="s">
        <v>982</v>
      </c>
      <c r="B703">
        <v>2</v>
      </c>
      <c r="C703">
        <v>30.99</v>
      </c>
      <c r="D703">
        <v>53.58</v>
      </c>
      <c r="E703" t="s">
        <v>108</v>
      </c>
      <c r="F703" t="s">
        <v>1726</v>
      </c>
      <c r="G703" t="s">
        <v>16</v>
      </c>
      <c r="H703">
        <v>3</v>
      </c>
      <c r="I703" t="s">
        <v>24</v>
      </c>
      <c r="J703" t="s">
        <v>18</v>
      </c>
      <c r="K703">
        <v>10.5</v>
      </c>
      <c r="O703">
        <f t="shared" si="12"/>
        <v>37.979999999999997</v>
      </c>
    </row>
    <row r="704" spans="1:15" x14ac:dyDescent="0.35">
      <c r="A704" t="s">
        <v>983</v>
      </c>
      <c r="B704">
        <v>1</v>
      </c>
      <c r="C704">
        <v>18.989999999999998</v>
      </c>
      <c r="D704">
        <v>18.989999999999998</v>
      </c>
      <c r="E704" t="s">
        <v>888</v>
      </c>
      <c r="F704" t="s">
        <v>1727</v>
      </c>
      <c r="G704" t="s">
        <v>87</v>
      </c>
      <c r="H704">
        <v>0</v>
      </c>
      <c r="I704" t="s">
        <v>24</v>
      </c>
      <c r="J704" t="s">
        <v>42</v>
      </c>
      <c r="K704">
        <v>6</v>
      </c>
      <c r="O704">
        <f t="shared" si="12"/>
        <v>21.99</v>
      </c>
    </row>
    <row r="705" spans="1:15" x14ac:dyDescent="0.35">
      <c r="A705" t="s">
        <v>984</v>
      </c>
      <c r="B705">
        <v>1</v>
      </c>
      <c r="C705">
        <v>30.99</v>
      </c>
      <c r="D705">
        <v>30.99</v>
      </c>
      <c r="E705" t="s">
        <v>632</v>
      </c>
      <c r="F705" t="s">
        <v>1728</v>
      </c>
      <c r="G705" t="s">
        <v>11</v>
      </c>
      <c r="H705">
        <v>3</v>
      </c>
      <c r="I705" t="s">
        <v>41</v>
      </c>
      <c r="J705" t="s">
        <v>18</v>
      </c>
      <c r="K705">
        <v>10.5</v>
      </c>
      <c r="O705">
        <f t="shared" si="12"/>
        <v>21.99</v>
      </c>
    </row>
    <row r="706" spans="1:15" x14ac:dyDescent="0.35">
      <c r="A706" t="s">
        <v>985</v>
      </c>
      <c r="B706">
        <v>1</v>
      </c>
      <c r="C706">
        <v>16.989999999999998</v>
      </c>
      <c r="D706">
        <v>16.989999999999998</v>
      </c>
      <c r="E706" t="s">
        <v>773</v>
      </c>
      <c r="F706" t="s">
        <v>1717</v>
      </c>
      <c r="G706" t="s">
        <v>28</v>
      </c>
      <c r="H706">
        <v>0</v>
      </c>
      <c r="I706" t="s">
        <v>17</v>
      </c>
      <c r="J706" t="s">
        <v>25</v>
      </c>
      <c r="K706">
        <v>5</v>
      </c>
      <c r="O706">
        <f t="shared" ref="O706:O769" si="13">VLOOKUP(B:B,B:H,3,FALSE)</f>
        <v>21.99</v>
      </c>
    </row>
    <row r="707" spans="1:15" x14ac:dyDescent="0.35">
      <c r="A707" t="s">
        <v>986</v>
      </c>
      <c r="B707">
        <v>1</v>
      </c>
      <c r="C707">
        <v>30.99</v>
      </c>
      <c r="D707">
        <v>30.99</v>
      </c>
      <c r="E707" t="s">
        <v>790</v>
      </c>
      <c r="F707" t="s">
        <v>1718</v>
      </c>
      <c r="G707" t="s">
        <v>21</v>
      </c>
      <c r="H707">
        <v>0</v>
      </c>
      <c r="I707" t="s">
        <v>24</v>
      </c>
      <c r="J707" t="s">
        <v>18</v>
      </c>
      <c r="K707">
        <v>10.5</v>
      </c>
      <c r="O707">
        <f t="shared" si="13"/>
        <v>21.99</v>
      </c>
    </row>
    <row r="708" spans="1:15" x14ac:dyDescent="0.35">
      <c r="A708" t="s">
        <v>987</v>
      </c>
      <c r="B708">
        <v>3</v>
      </c>
      <c r="C708">
        <v>27.99</v>
      </c>
      <c r="D708">
        <v>66.290000000000006</v>
      </c>
      <c r="E708" t="s">
        <v>44</v>
      </c>
      <c r="F708" t="s">
        <v>1719</v>
      </c>
      <c r="G708" t="s">
        <v>21</v>
      </c>
      <c r="H708">
        <v>0</v>
      </c>
      <c r="I708" t="s">
        <v>24</v>
      </c>
      <c r="J708" t="s">
        <v>31</v>
      </c>
      <c r="K708">
        <v>9</v>
      </c>
      <c r="O708">
        <f t="shared" si="13"/>
        <v>84.73</v>
      </c>
    </row>
    <row r="709" spans="1:15" x14ac:dyDescent="0.35">
      <c r="A709" t="s">
        <v>988</v>
      </c>
      <c r="B709">
        <v>2</v>
      </c>
      <c r="C709">
        <v>34.99</v>
      </c>
      <c r="D709">
        <v>60.43</v>
      </c>
      <c r="E709" t="s">
        <v>722</v>
      </c>
      <c r="F709" t="s">
        <v>1720</v>
      </c>
      <c r="G709" t="s">
        <v>16</v>
      </c>
      <c r="H709">
        <v>5</v>
      </c>
      <c r="I709" t="s">
        <v>24</v>
      </c>
      <c r="J709" t="s">
        <v>36</v>
      </c>
      <c r="K709">
        <v>12.5</v>
      </c>
      <c r="O709">
        <f t="shared" si="13"/>
        <v>37.979999999999997</v>
      </c>
    </row>
    <row r="710" spans="1:15" x14ac:dyDescent="0.35">
      <c r="A710" t="s">
        <v>989</v>
      </c>
      <c r="B710">
        <v>3</v>
      </c>
      <c r="C710">
        <v>27.99</v>
      </c>
      <c r="D710">
        <v>66.930000000000007</v>
      </c>
      <c r="E710" t="s">
        <v>118</v>
      </c>
      <c r="F710" t="s">
        <v>1721</v>
      </c>
      <c r="G710" t="s">
        <v>28</v>
      </c>
      <c r="H710">
        <v>0</v>
      </c>
      <c r="I710" t="s">
        <v>12</v>
      </c>
      <c r="J710" t="s">
        <v>31</v>
      </c>
      <c r="K710">
        <v>9</v>
      </c>
      <c r="O710">
        <f t="shared" si="13"/>
        <v>84.73</v>
      </c>
    </row>
    <row r="711" spans="1:15" x14ac:dyDescent="0.35">
      <c r="A711" t="s">
        <v>990</v>
      </c>
      <c r="B711">
        <v>1</v>
      </c>
      <c r="C711">
        <v>21.99</v>
      </c>
      <c r="D711">
        <v>21.99</v>
      </c>
      <c r="E711" t="s">
        <v>806</v>
      </c>
      <c r="F711" t="s">
        <v>1722</v>
      </c>
      <c r="G711" t="s">
        <v>16</v>
      </c>
      <c r="H711">
        <v>3</v>
      </c>
      <c r="I711" t="s">
        <v>17</v>
      </c>
      <c r="J711" t="s">
        <v>13</v>
      </c>
      <c r="K711">
        <v>7</v>
      </c>
      <c r="O711">
        <f t="shared" si="13"/>
        <v>21.99</v>
      </c>
    </row>
    <row r="712" spans="1:15" x14ac:dyDescent="0.35">
      <c r="A712" t="s">
        <v>991</v>
      </c>
      <c r="B712">
        <v>1</v>
      </c>
      <c r="C712">
        <v>27.99</v>
      </c>
      <c r="D712">
        <v>27.99</v>
      </c>
      <c r="E712" t="s">
        <v>992</v>
      </c>
      <c r="F712" t="s">
        <v>1723</v>
      </c>
      <c r="G712" t="s">
        <v>21</v>
      </c>
      <c r="H712">
        <v>0</v>
      </c>
      <c r="I712" t="s">
        <v>41</v>
      </c>
      <c r="J712" t="s">
        <v>31</v>
      </c>
      <c r="K712">
        <v>9</v>
      </c>
      <c r="O712">
        <f t="shared" si="13"/>
        <v>21.99</v>
      </c>
    </row>
    <row r="713" spans="1:15" x14ac:dyDescent="0.35">
      <c r="A713" t="s">
        <v>993</v>
      </c>
      <c r="B713">
        <v>3</v>
      </c>
      <c r="C713">
        <v>18.989999999999998</v>
      </c>
      <c r="D713">
        <v>45.88</v>
      </c>
      <c r="E713" t="s">
        <v>838</v>
      </c>
      <c r="F713" t="s">
        <v>1724</v>
      </c>
      <c r="G713" t="s">
        <v>16</v>
      </c>
      <c r="H713">
        <v>10</v>
      </c>
      <c r="I713" t="s">
        <v>41</v>
      </c>
      <c r="J713" t="s">
        <v>42</v>
      </c>
      <c r="K713">
        <v>6</v>
      </c>
      <c r="O713">
        <f t="shared" si="13"/>
        <v>84.73</v>
      </c>
    </row>
    <row r="714" spans="1:15" x14ac:dyDescent="0.35">
      <c r="A714" t="s">
        <v>994</v>
      </c>
      <c r="B714">
        <v>1</v>
      </c>
      <c r="C714">
        <v>18.989999999999998</v>
      </c>
      <c r="D714">
        <v>18.989999999999998</v>
      </c>
      <c r="E714" t="s">
        <v>608</v>
      </c>
      <c r="F714" t="s">
        <v>1725</v>
      </c>
      <c r="G714" t="s">
        <v>16</v>
      </c>
      <c r="H714">
        <v>11</v>
      </c>
      <c r="I714" t="s">
        <v>41</v>
      </c>
      <c r="J714" t="s">
        <v>42</v>
      </c>
      <c r="K714">
        <v>6</v>
      </c>
      <c r="O714">
        <f t="shared" si="13"/>
        <v>21.99</v>
      </c>
    </row>
    <row r="715" spans="1:15" x14ac:dyDescent="0.35">
      <c r="A715" t="s">
        <v>995</v>
      </c>
      <c r="B715">
        <v>1</v>
      </c>
      <c r="C715">
        <v>30.99</v>
      </c>
      <c r="D715">
        <v>30.99</v>
      </c>
      <c r="E715" t="s">
        <v>600</v>
      </c>
      <c r="F715" t="s">
        <v>1726</v>
      </c>
      <c r="G715" t="s">
        <v>21</v>
      </c>
      <c r="H715">
        <v>0</v>
      </c>
      <c r="I715" t="s">
        <v>24</v>
      </c>
      <c r="J715" t="s">
        <v>18</v>
      </c>
      <c r="K715">
        <v>10.5</v>
      </c>
      <c r="O715">
        <f t="shared" si="13"/>
        <v>21.99</v>
      </c>
    </row>
    <row r="716" spans="1:15" x14ac:dyDescent="0.35">
      <c r="A716" t="s">
        <v>996</v>
      </c>
      <c r="B716">
        <v>1</v>
      </c>
      <c r="C716">
        <v>27.99</v>
      </c>
      <c r="D716">
        <v>27.99</v>
      </c>
      <c r="E716" t="s">
        <v>162</v>
      </c>
      <c r="F716" t="s">
        <v>1727</v>
      </c>
      <c r="G716" t="s">
        <v>16</v>
      </c>
      <c r="H716">
        <v>3</v>
      </c>
      <c r="I716" t="s">
        <v>12</v>
      </c>
      <c r="J716" t="s">
        <v>31</v>
      </c>
      <c r="K716">
        <v>9</v>
      </c>
      <c r="O716">
        <f t="shared" si="13"/>
        <v>21.99</v>
      </c>
    </row>
    <row r="717" spans="1:15" x14ac:dyDescent="0.35">
      <c r="A717" t="s">
        <v>997</v>
      </c>
      <c r="B717">
        <v>1</v>
      </c>
      <c r="C717">
        <v>21.99</v>
      </c>
      <c r="D717">
        <v>21.99</v>
      </c>
      <c r="E717" t="s">
        <v>742</v>
      </c>
      <c r="F717" t="s">
        <v>1728</v>
      </c>
      <c r="G717" t="s">
        <v>16</v>
      </c>
      <c r="H717">
        <v>2</v>
      </c>
      <c r="I717" t="s">
        <v>12</v>
      </c>
      <c r="J717" t="s">
        <v>13</v>
      </c>
      <c r="K717">
        <v>7</v>
      </c>
      <c r="O717">
        <f t="shared" si="13"/>
        <v>21.99</v>
      </c>
    </row>
    <row r="718" spans="1:15" x14ac:dyDescent="0.35">
      <c r="A718" t="s">
        <v>998</v>
      </c>
      <c r="B718">
        <v>1</v>
      </c>
      <c r="C718">
        <v>21.99</v>
      </c>
      <c r="D718">
        <v>21.99</v>
      </c>
      <c r="E718" t="s">
        <v>836</v>
      </c>
      <c r="F718" t="s">
        <v>1717</v>
      </c>
      <c r="G718" t="s">
        <v>87</v>
      </c>
      <c r="H718">
        <v>0</v>
      </c>
      <c r="I718" t="s">
        <v>17</v>
      </c>
      <c r="J718" t="s">
        <v>13</v>
      </c>
      <c r="K718">
        <v>7</v>
      </c>
      <c r="O718">
        <f t="shared" si="13"/>
        <v>21.99</v>
      </c>
    </row>
    <row r="719" spans="1:15" x14ac:dyDescent="0.35">
      <c r="A719" t="s">
        <v>999</v>
      </c>
      <c r="B719">
        <v>1</v>
      </c>
      <c r="C719">
        <v>27.99</v>
      </c>
      <c r="D719">
        <v>27.99</v>
      </c>
      <c r="E719" t="s">
        <v>582</v>
      </c>
      <c r="F719" t="s">
        <v>1718</v>
      </c>
      <c r="G719" t="s">
        <v>87</v>
      </c>
      <c r="H719">
        <v>0</v>
      </c>
      <c r="I719" t="s">
        <v>41</v>
      </c>
      <c r="J719" t="s">
        <v>31</v>
      </c>
      <c r="K719">
        <v>9</v>
      </c>
      <c r="O719">
        <f t="shared" si="13"/>
        <v>21.99</v>
      </c>
    </row>
    <row r="720" spans="1:15" x14ac:dyDescent="0.35">
      <c r="A720" t="s">
        <v>1000</v>
      </c>
      <c r="B720">
        <v>1</v>
      </c>
      <c r="C720">
        <v>16.989999999999998</v>
      </c>
      <c r="D720">
        <v>16.989999999999998</v>
      </c>
      <c r="E720" t="s">
        <v>474</v>
      </c>
      <c r="F720" t="s">
        <v>1719</v>
      </c>
      <c r="G720" t="s">
        <v>16</v>
      </c>
      <c r="H720">
        <v>18</v>
      </c>
      <c r="I720" t="s">
        <v>41</v>
      </c>
      <c r="J720" t="s">
        <v>25</v>
      </c>
      <c r="K720">
        <v>5</v>
      </c>
      <c r="O720">
        <f t="shared" si="13"/>
        <v>21.99</v>
      </c>
    </row>
    <row r="721" spans="1:15" x14ac:dyDescent="0.35">
      <c r="A721" t="s">
        <v>1001</v>
      </c>
      <c r="B721">
        <v>1</v>
      </c>
      <c r="C721">
        <v>34.99</v>
      </c>
      <c r="D721">
        <v>34.99</v>
      </c>
      <c r="E721" t="s">
        <v>1002</v>
      </c>
      <c r="F721" t="s">
        <v>1720</v>
      </c>
      <c r="G721" t="s">
        <v>16</v>
      </c>
      <c r="H721">
        <v>6</v>
      </c>
      <c r="I721" t="s">
        <v>41</v>
      </c>
      <c r="J721" t="s">
        <v>36</v>
      </c>
      <c r="K721">
        <v>12.5</v>
      </c>
      <c r="O721">
        <f t="shared" si="13"/>
        <v>21.99</v>
      </c>
    </row>
    <row r="722" spans="1:15" x14ac:dyDescent="0.35">
      <c r="A722" t="s">
        <v>1003</v>
      </c>
      <c r="B722">
        <v>3</v>
      </c>
      <c r="C722">
        <v>30.99</v>
      </c>
      <c r="D722">
        <v>73.489999999999995</v>
      </c>
      <c r="E722" t="s">
        <v>757</v>
      </c>
      <c r="F722" t="s">
        <v>1721</v>
      </c>
      <c r="G722" t="s">
        <v>16</v>
      </c>
      <c r="H722">
        <v>6</v>
      </c>
      <c r="I722" t="s">
        <v>41</v>
      </c>
      <c r="J722" t="s">
        <v>18</v>
      </c>
      <c r="K722">
        <v>10.5</v>
      </c>
      <c r="O722">
        <f t="shared" si="13"/>
        <v>84.73</v>
      </c>
    </row>
    <row r="723" spans="1:15" x14ac:dyDescent="0.35">
      <c r="A723" t="s">
        <v>1004</v>
      </c>
      <c r="B723">
        <v>3</v>
      </c>
      <c r="C723">
        <v>21.99</v>
      </c>
      <c r="D723">
        <v>52.04</v>
      </c>
      <c r="E723" t="s">
        <v>1005</v>
      </c>
      <c r="F723" t="s">
        <v>1722</v>
      </c>
      <c r="G723" t="s">
        <v>28</v>
      </c>
      <c r="H723">
        <v>0</v>
      </c>
      <c r="I723" t="s">
        <v>24</v>
      </c>
      <c r="J723" t="s">
        <v>13</v>
      </c>
      <c r="K723">
        <v>7</v>
      </c>
      <c r="O723">
        <f t="shared" si="13"/>
        <v>84.73</v>
      </c>
    </row>
    <row r="724" spans="1:15" x14ac:dyDescent="0.35">
      <c r="A724" t="s">
        <v>1006</v>
      </c>
      <c r="B724">
        <v>1</v>
      </c>
      <c r="C724">
        <v>27.99</v>
      </c>
      <c r="D724">
        <v>27.99</v>
      </c>
      <c r="E724" t="s">
        <v>1007</v>
      </c>
      <c r="F724" t="s">
        <v>1723</v>
      </c>
      <c r="G724" t="s">
        <v>28</v>
      </c>
      <c r="H724">
        <v>0</v>
      </c>
      <c r="I724" t="s">
        <v>12</v>
      </c>
      <c r="J724" t="s">
        <v>31</v>
      </c>
      <c r="K724">
        <v>9</v>
      </c>
      <c r="O724">
        <f t="shared" si="13"/>
        <v>21.99</v>
      </c>
    </row>
    <row r="725" spans="1:15" x14ac:dyDescent="0.35">
      <c r="A725" t="s">
        <v>1008</v>
      </c>
      <c r="B725">
        <v>2</v>
      </c>
      <c r="C725">
        <v>21.99</v>
      </c>
      <c r="D725">
        <v>38.479999999999997</v>
      </c>
      <c r="E725" t="s">
        <v>358</v>
      </c>
      <c r="F725" t="s">
        <v>1724</v>
      </c>
      <c r="G725" t="s">
        <v>16</v>
      </c>
      <c r="H725">
        <v>2</v>
      </c>
      <c r="I725" t="s">
        <v>24</v>
      </c>
      <c r="J725" t="s">
        <v>13</v>
      </c>
      <c r="K725">
        <v>7</v>
      </c>
      <c r="O725">
        <f t="shared" si="13"/>
        <v>37.979999999999997</v>
      </c>
    </row>
    <row r="726" spans="1:15" x14ac:dyDescent="0.35">
      <c r="A726" t="s">
        <v>1009</v>
      </c>
      <c r="B726">
        <v>1</v>
      </c>
      <c r="C726">
        <v>21.99</v>
      </c>
      <c r="D726">
        <v>21.99</v>
      </c>
      <c r="E726" t="s">
        <v>1010</v>
      </c>
      <c r="F726" t="s">
        <v>1725</v>
      </c>
      <c r="G726" t="s">
        <v>87</v>
      </c>
      <c r="H726">
        <v>0</v>
      </c>
      <c r="I726" t="s">
        <v>17</v>
      </c>
      <c r="J726" t="s">
        <v>13</v>
      </c>
      <c r="K726">
        <v>7</v>
      </c>
      <c r="O726">
        <f t="shared" si="13"/>
        <v>21.99</v>
      </c>
    </row>
    <row r="727" spans="1:15" x14ac:dyDescent="0.35">
      <c r="A727" t="s">
        <v>1011</v>
      </c>
      <c r="B727">
        <v>1</v>
      </c>
      <c r="C727">
        <v>18.989999999999998</v>
      </c>
      <c r="D727">
        <v>18.989999999999998</v>
      </c>
      <c r="E727" t="s">
        <v>50</v>
      </c>
      <c r="F727" t="s">
        <v>1726</v>
      </c>
      <c r="G727" t="s">
        <v>28</v>
      </c>
      <c r="H727">
        <v>0</v>
      </c>
      <c r="I727" t="s">
        <v>24</v>
      </c>
      <c r="J727" t="s">
        <v>42</v>
      </c>
      <c r="K727">
        <v>6</v>
      </c>
      <c r="O727">
        <f t="shared" si="13"/>
        <v>21.99</v>
      </c>
    </row>
    <row r="728" spans="1:15" x14ac:dyDescent="0.35">
      <c r="A728" t="s">
        <v>1012</v>
      </c>
      <c r="B728">
        <v>3</v>
      </c>
      <c r="C728">
        <v>27.99</v>
      </c>
      <c r="D728">
        <v>65.930000000000007</v>
      </c>
      <c r="E728" t="s">
        <v>162</v>
      </c>
      <c r="F728" t="s">
        <v>1727</v>
      </c>
      <c r="G728" t="s">
        <v>11</v>
      </c>
      <c r="H728">
        <v>3</v>
      </c>
      <c r="I728" t="s">
        <v>24</v>
      </c>
      <c r="J728" t="s">
        <v>31</v>
      </c>
      <c r="K728">
        <v>9</v>
      </c>
      <c r="O728">
        <f t="shared" si="13"/>
        <v>84.73</v>
      </c>
    </row>
    <row r="729" spans="1:15" x14ac:dyDescent="0.35">
      <c r="A729" t="s">
        <v>1013</v>
      </c>
      <c r="B729">
        <v>1</v>
      </c>
      <c r="C729">
        <v>18.989999999999998</v>
      </c>
      <c r="D729">
        <v>18.989999999999998</v>
      </c>
      <c r="E729" t="s">
        <v>1014</v>
      </c>
      <c r="F729" t="s">
        <v>1728</v>
      </c>
      <c r="G729" t="s">
        <v>16</v>
      </c>
      <c r="H729">
        <v>10</v>
      </c>
      <c r="I729" t="s">
        <v>17</v>
      </c>
      <c r="J729" t="s">
        <v>42</v>
      </c>
      <c r="K729">
        <v>6</v>
      </c>
      <c r="O729">
        <f t="shared" si="13"/>
        <v>21.99</v>
      </c>
    </row>
    <row r="730" spans="1:15" x14ac:dyDescent="0.35">
      <c r="A730" t="s">
        <v>1015</v>
      </c>
      <c r="B730">
        <v>1</v>
      </c>
      <c r="C730">
        <v>30.99</v>
      </c>
      <c r="D730">
        <v>30.99</v>
      </c>
      <c r="E730" t="s">
        <v>573</v>
      </c>
      <c r="F730" t="s">
        <v>1717</v>
      </c>
      <c r="G730" t="s">
        <v>21</v>
      </c>
      <c r="H730">
        <v>0</v>
      </c>
      <c r="I730" t="s">
        <v>41</v>
      </c>
      <c r="J730" t="s">
        <v>18</v>
      </c>
      <c r="K730">
        <v>10.5</v>
      </c>
      <c r="O730">
        <f t="shared" si="13"/>
        <v>21.99</v>
      </c>
    </row>
    <row r="731" spans="1:15" x14ac:dyDescent="0.35">
      <c r="A731" t="s">
        <v>1016</v>
      </c>
      <c r="B731">
        <v>1</v>
      </c>
      <c r="C731">
        <v>34.99</v>
      </c>
      <c r="D731">
        <v>34.99</v>
      </c>
      <c r="E731" t="s">
        <v>1017</v>
      </c>
      <c r="F731" t="s">
        <v>1718</v>
      </c>
      <c r="G731" t="s">
        <v>11</v>
      </c>
      <c r="H731">
        <v>8</v>
      </c>
      <c r="I731" t="s">
        <v>41</v>
      </c>
      <c r="J731" t="s">
        <v>36</v>
      </c>
      <c r="K731">
        <v>12.5</v>
      </c>
      <c r="O731">
        <f t="shared" si="13"/>
        <v>21.99</v>
      </c>
    </row>
    <row r="732" spans="1:15" x14ac:dyDescent="0.35">
      <c r="A732" t="s">
        <v>1018</v>
      </c>
      <c r="B732">
        <v>3</v>
      </c>
      <c r="C732">
        <v>34.99</v>
      </c>
      <c r="D732">
        <v>83.71</v>
      </c>
      <c r="E732" t="s">
        <v>40</v>
      </c>
      <c r="F732" t="s">
        <v>1719</v>
      </c>
      <c r="G732" t="s">
        <v>16</v>
      </c>
      <c r="H732">
        <v>6</v>
      </c>
      <c r="I732" t="s">
        <v>12</v>
      </c>
      <c r="J732" t="s">
        <v>36</v>
      </c>
      <c r="K732">
        <v>12.5</v>
      </c>
      <c r="O732">
        <f t="shared" si="13"/>
        <v>84.73</v>
      </c>
    </row>
    <row r="733" spans="1:15" x14ac:dyDescent="0.35">
      <c r="A733" t="s">
        <v>1019</v>
      </c>
      <c r="B733">
        <v>1</v>
      </c>
      <c r="C733">
        <v>30.99</v>
      </c>
      <c r="D733">
        <v>30.99</v>
      </c>
      <c r="E733" t="s">
        <v>955</v>
      </c>
      <c r="F733" t="s">
        <v>1720</v>
      </c>
      <c r="G733" t="s">
        <v>16</v>
      </c>
      <c r="H733">
        <v>3</v>
      </c>
      <c r="I733" t="s">
        <v>41</v>
      </c>
      <c r="J733" t="s">
        <v>18</v>
      </c>
      <c r="K733">
        <v>10.5</v>
      </c>
      <c r="O733">
        <f t="shared" si="13"/>
        <v>21.99</v>
      </c>
    </row>
    <row r="734" spans="1:15" x14ac:dyDescent="0.35">
      <c r="A734" t="s">
        <v>1020</v>
      </c>
      <c r="B734">
        <v>1</v>
      </c>
      <c r="C734">
        <v>34.99</v>
      </c>
      <c r="D734">
        <v>34.99</v>
      </c>
      <c r="E734" t="s">
        <v>786</v>
      </c>
      <c r="F734" t="s">
        <v>1721</v>
      </c>
      <c r="G734" t="s">
        <v>16</v>
      </c>
      <c r="H734">
        <v>11</v>
      </c>
      <c r="I734" t="s">
        <v>41</v>
      </c>
      <c r="J734" t="s">
        <v>36</v>
      </c>
      <c r="K734">
        <v>12.5</v>
      </c>
      <c r="O734">
        <f t="shared" si="13"/>
        <v>21.99</v>
      </c>
    </row>
    <row r="735" spans="1:15" x14ac:dyDescent="0.35">
      <c r="A735" t="s">
        <v>1021</v>
      </c>
      <c r="B735">
        <v>2</v>
      </c>
      <c r="C735">
        <v>30.99</v>
      </c>
      <c r="D735">
        <v>53.68</v>
      </c>
      <c r="E735" t="s">
        <v>1022</v>
      </c>
      <c r="F735" t="s">
        <v>1722</v>
      </c>
      <c r="G735" t="s">
        <v>16</v>
      </c>
      <c r="H735">
        <v>3</v>
      </c>
      <c r="I735" t="s">
        <v>24</v>
      </c>
      <c r="J735" t="s">
        <v>18</v>
      </c>
      <c r="K735">
        <v>10.5</v>
      </c>
      <c r="O735">
        <f t="shared" si="13"/>
        <v>37.979999999999997</v>
      </c>
    </row>
    <row r="736" spans="1:15" x14ac:dyDescent="0.35">
      <c r="A736" t="s">
        <v>1023</v>
      </c>
      <c r="B736">
        <v>1</v>
      </c>
      <c r="C736">
        <v>27.99</v>
      </c>
      <c r="D736">
        <v>27.99</v>
      </c>
      <c r="E736" t="s">
        <v>672</v>
      </c>
      <c r="F736" t="s">
        <v>1723</v>
      </c>
      <c r="G736" t="s">
        <v>16</v>
      </c>
      <c r="H736">
        <v>3</v>
      </c>
      <c r="I736" t="s">
        <v>41</v>
      </c>
      <c r="J736" t="s">
        <v>31</v>
      </c>
      <c r="K736">
        <v>9</v>
      </c>
      <c r="O736">
        <f t="shared" si="13"/>
        <v>21.99</v>
      </c>
    </row>
    <row r="737" spans="1:15" x14ac:dyDescent="0.35">
      <c r="A737" t="s">
        <v>1024</v>
      </c>
      <c r="B737">
        <v>1</v>
      </c>
      <c r="C737">
        <v>18.989999999999998</v>
      </c>
      <c r="D737">
        <v>18.989999999999998</v>
      </c>
      <c r="E737" t="s">
        <v>1025</v>
      </c>
      <c r="F737" t="s">
        <v>1724</v>
      </c>
      <c r="G737" t="s">
        <v>28</v>
      </c>
      <c r="H737">
        <v>0</v>
      </c>
      <c r="I737" t="s">
        <v>41</v>
      </c>
      <c r="J737" t="s">
        <v>42</v>
      </c>
      <c r="K737">
        <v>6</v>
      </c>
      <c r="O737">
        <f t="shared" si="13"/>
        <v>21.99</v>
      </c>
    </row>
    <row r="738" spans="1:15" x14ac:dyDescent="0.35">
      <c r="A738" t="s">
        <v>1026</v>
      </c>
      <c r="B738">
        <v>1</v>
      </c>
      <c r="C738">
        <v>34.99</v>
      </c>
      <c r="D738">
        <v>34.99</v>
      </c>
      <c r="E738" t="s">
        <v>120</v>
      </c>
      <c r="F738" t="s">
        <v>1725</v>
      </c>
      <c r="G738" t="s">
        <v>16</v>
      </c>
      <c r="H738">
        <v>7</v>
      </c>
      <c r="I738" t="s">
        <v>12</v>
      </c>
      <c r="J738" t="s">
        <v>36</v>
      </c>
      <c r="K738">
        <v>12.5</v>
      </c>
      <c r="O738">
        <f t="shared" si="13"/>
        <v>21.99</v>
      </c>
    </row>
    <row r="739" spans="1:15" x14ac:dyDescent="0.35">
      <c r="A739" t="s">
        <v>1027</v>
      </c>
      <c r="B739">
        <v>2</v>
      </c>
      <c r="C739">
        <v>30.99</v>
      </c>
      <c r="D739">
        <v>53.56</v>
      </c>
      <c r="E739" t="s">
        <v>320</v>
      </c>
      <c r="F739" t="s">
        <v>1726</v>
      </c>
      <c r="G739" t="s">
        <v>16</v>
      </c>
      <c r="H739">
        <v>2</v>
      </c>
      <c r="I739" t="s">
        <v>41</v>
      </c>
      <c r="J739" t="s">
        <v>18</v>
      </c>
      <c r="K739">
        <v>10.5</v>
      </c>
      <c r="O739">
        <f t="shared" si="13"/>
        <v>37.979999999999997</v>
      </c>
    </row>
    <row r="740" spans="1:15" x14ac:dyDescent="0.35">
      <c r="A740" t="s">
        <v>1028</v>
      </c>
      <c r="B740">
        <v>1</v>
      </c>
      <c r="C740">
        <v>34.99</v>
      </c>
      <c r="D740">
        <v>34.99</v>
      </c>
      <c r="E740" t="s">
        <v>749</v>
      </c>
      <c r="F740" t="s">
        <v>1727</v>
      </c>
      <c r="G740" t="s">
        <v>16</v>
      </c>
      <c r="H740">
        <v>6</v>
      </c>
      <c r="I740" t="s">
        <v>17</v>
      </c>
      <c r="J740" t="s">
        <v>36</v>
      </c>
      <c r="K740">
        <v>12.5</v>
      </c>
      <c r="O740">
        <f t="shared" si="13"/>
        <v>21.99</v>
      </c>
    </row>
    <row r="741" spans="1:15" x14ac:dyDescent="0.35">
      <c r="A741" t="s">
        <v>1029</v>
      </c>
      <c r="B741">
        <v>1</v>
      </c>
      <c r="C741">
        <v>30.99</v>
      </c>
      <c r="D741">
        <v>30.99</v>
      </c>
      <c r="E741" t="s">
        <v>1030</v>
      </c>
      <c r="F741" t="s">
        <v>1728</v>
      </c>
      <c r="G741" t="s">
        <v>16</v>
      </c>
      <c r="H741">
        <v>2</v>
      </c>
      <c r="I741" t="s">
        <v>24</v>
      </c>
      <c r="J741" t="s">
        <v>18</v>
      </c>
      <c r="K741">
        <v>10.5</v>
      </c>
      <c r="O741">
        <f t="shared" si="13"/>
        <v>21.99</v>
      </c>
    </row>
    <row r="742" spans="1:15" x14ac:dyDescent="0.35">
      <c r="A742" t="s">
        <v>1031</v>
      </c>
      <c r="B742">
        <v>2</v>
      </c>
      <c r="C742">
        <v>18.989999999999998</v>
      </c>
      <c r="D742">
        <v>32.880000000000003</v>
      </c>
      <c r="E742" t="s">
        <v>1032</v>
      </c>
      <c r="F742" t="s">
        <v>1717</v>
      </c>
      <c r="G742" t="s">
        <v>16</v>
      </c>
      <c r="H742">
        <v>12</v>
      </c>
      <c r="I742" t="s">
        <v>12</v>
      </c>
      <c r="J742" t="s">
        <v>42</v>
      </c>
      <c r="K742">
        <v>6</v>
      </c>
      <c r="O742">
        <f t="shared" si="13"/>
        <v>37.979999999999997</v>
      </c>
    </row>
    <row r="743" spans="1:15" x14ac:dyDescent="0.35">
      <c r="A743" t="s">
        <v>1033</v>
      </c>
      <c r="B743">
        <v>1</v>
      </c>
      <c r="C743">
        <v>30.99</v>
      </c>
      <c r="D743">
        <v>30.99</v>
      </c>
      <c r="E743" t="s">
        <v>636</v>
      </c>
      <c r="F743" t="s">
        <v>1718</v>
      </c>
      <c r="G743" t="s">
        <v>16</v>
      </c>
      <c r="H743">
        <v>2</v>
      </c>
      <c r="I743" t="s">
        <v>17</v>
      </c>
      <c r="J743" t="s">
        <v>18</v>
      </c>
      <c r="K743">
        <v>10.5</v>
      </c>
      <c r="O743">
        <f t="shared" si="13"/>
        <v>21.99</v>
      </c>
    </row>
    <row r="744" spans="1:15" x14ac:dyDescent="0.35">
      <c r="A744" t="s">
        <v>1034</v>
      </c>
      <c r="B744">
        <v>1</v>
      </c>
      <c r="C744">
        <v>34.99</v>
      </c>
      <c r="D744">
        <v>34.99</v>
      </c>
      <c r="E744" t="s">
        <v>483</v>
      </c>
      <c r="F744" t="s">
        <v>1719</v>
      </c>
      <c r="G744" t="s">
        <v>16</v>
      </c>
      <c r="H744">
        <v>8</v>
      </c>
      <c r="I744" t="s">
        <v>12</v>
      </c>
      <c r="J744" t="s">
        <v>36</v>
      </c>
      <c r="K744">
        <v>12.5</v>
      </c>
      <c r="O744">
        <f t="shared" si="13"/>
        <v>21.99</v>
      </c>
    </row>
    <row r="745" spans="1:15" x14ac:dyDescent="0.35">
      <c r="A745" t="s">
        <v>1035</v>
      </c>
      <c r="B745">
        <v>2</v>
      </c>
      <c r="C745">
        <v>27.99</v>
      </c>
      <c r="D745">
        <v>48.82</v>
      </c>
      <c r="E745" t="s">
        <v>427</v>
      </c>
      <c r="F745" t="s">
        <v>1720</v>
      </c>
      <c r="G745" t="s">
        <v>16</v>
      </c>
      <c r="H745">
        <v>3</v>
      </c>
      <c r="I745" t="s">
        <v>12</v>
      </c>
      <c r="J745" t="s">
        <v>31</v>
      </c>
      <c r="K745">
        <v>9</v>
      </c>
      <c r="O745">
        <f t="shared" si="13"/>
        <v>37.979999999999997</v>
      </c>
    </row>
    <row r="746" spans="1:15" x14ac:dyDescent="0.35">
      <c r="A746" t="s">
        <v>1036</v>
      </c>
      <c r="B746">
        <v>3</v>
      </c>
      <c r="C746">
        <v>27.99</v>
      </c>
      <c r="D746">
        <v>67.36</v>
      </c>
      <c r="E746" t="s">
        <v>703</v>
      </c>
      <c r="F746" t="s">
        <v>1721</v>
      </c>
      <c r="G746" t="s">
        <v>16</v>
      </c>
      <c r="H746">
        <v>3</v>
      </c>
      <c r="I746" t="s">
        <v>24</v>
      </c>
      <c r="J746" t="s">
        <v>31</v>
      </c>
      <c r="K746">
        <v>9</v>
      </c>
      <c r="O746">
        <f t="shared" si="13"/>
        <v>84.73</v>
      </c>
    </row>
    <row r="747" spans="1:15" x14ac:dyDescent="0.35">
      <c r="A747" t="s">
        <v>1037</v>
      </c>
      <c r="B747">
        <v>3</v>
      </c>
      <c r="C747">
        <v>30.99</v>
      </c>
      <c r="D747">
        <v>73.75</v>
      </c>
      <c r="E747" t="s">
        <v>575</v>
      </c>
      <c r="F747" t="s">
        <v>1722</v>
      </c>
      <c r="G747" t="s">
        <v>16</v>
      </c>
      <c r="H747">
        <v>3</v>
      </c>
      <c r="I747" t="s">
        <v>24</v>
      </c>
      <c r="J747" t="s">
        <v>18</v>
      </c>
      <c r="K747">
        <v>10.5</v>
      </c>
      <c r="O747">
        <f t="shared" si="13"/>
        <v>84.73</v>
      </c>
    </row>
    <row r="748" spans="1:15" x14ac:dyDescent="0.35">
      <c r="A748" t="s">
        <v>1038</v>
      </c>
      <c r="B748">
        <v>1</v>
      </c>
      <c r="C748">
        <v>16.989999999999998</v>
      </c>
      <c r="D748">
        <v>16.989999999999998</v>
      </c>
      <c r="E748" t="s">
        <v>459</v>
      </c>
      <c r="F748" t="s">
        <v>1723</v>
      </c>
      <c r="G748" t="s">
        <v>16</v>
      </c>
      <c r="H748">
        <v>16</v>
      </c>
      <c r="I748" t="s">
        <v>24</v>
      </c>
      <c r="J748" t="s">
        <v>25</v>
      </c>
      <c r="K748">
        <v>5</v>
      </c>
      <c r="O748">
        <f t="shared" si="13"/>
        <v>21.99</v>
      </c>
    </row>
    <row r="749" spans="1:15" x14ac:dyDescent="0.35">
      <c r="A749" t="s">
        <v>1039</v>
      </c>
      <c r="B749">
        <v>1</v>
      </c>
      <c r="C749">
        <v>30.99</v>
      </c>
      <c r="D749">
        <v>30.99</v>
      </c>
      <c r="E749" t="s">
        <v>61</v>
      </c>
      <c r="F749" t="s">
        <v>1724</v>
      </c>
      <c r="G749" t="s">
        <v>28</v>
      </c>
      <c r="H749">
        <v>0</v>
      </c>
      <c r="I749" t="s">
        <v>12</v>
      </c>
      <c r="J749" t="s">
        <v>18</v>
      </c>
      <c r="K749">
        <v>10.5</v>
      </c>
      <c r="O749">
        <f t="shared" si="13"/>
        <v>21.99</v>
      </c>
    </row>
    <row r="750" spans="1:15" x14ac:dyDescent="0.35">
      <c r="A750" t="s">
        <v>1040</v>
      </c>
      <c r="B750">
        <v>1</v>
      </c>
      <c r="C750">
        <v>27.99</v>
      </c>
      <c r="D750">
        <v>27.99</v>
      </c>
      <c r="E750" t="s">
        <v>307</v>
      </c>
      <c r="F750" t="s">
        <v>1725</v>
      </c>
      <c r="G750" t="s">
        <v>16</v>
      </c>
      <c r="H750">
        <v>2</v>
      </c>
      <c r="I750" t="s">
        <v>12</v>
      </c>
      <c r="J750" t="s">
        <v>31</v>
      </c>
      <c r="K750">
        <v>9</v>
      </c>
      <c r="O750">
        <f t="shared" si="13"/>
        <v>21.99</v>
      </c>
    </row>
    <row r="751" spans="1:15" x14ac:dyDescent="0.35">
      <c r="A751" t="s">
        <v>1041</v>
      </c>
      <c r="B751">
        <v>1</v>
      </c>
      <c r="C751">
        <v>27.99</v>
      </c>
      <c r="D751">
        <v>27.99</v>
      </c>
      <c r="E751" t="s">
        <v>158</v>
      </c>
      <c r="F751" t="s">
        <v>1726</v>
      </c>
      <c r="G751" t="s">
        <v>16</v>
      </c>
      <c r="H751">
        <v>3</v>
      </c>
      <c r="I751" t="s">
        <v>12</v>
      </c>
      <c r="J751" t="s">
        <v>31</v>
      </c>
      <c r="K751">
        <v>9</v>
      </c>
      <c r="O751">
        <f t="shared" si="13"/>
        <v>21.99</v>
      </c>
    </row>
    <row r="752" spans="1:15" x14ac:dyDescent="0.35">
      <c r="A752" t="s">
        <v>1042</v>
      </c>
      <c r="B752">
        <v>3</v>
      </c>
      <c r="C752">
        <v>18.989999999999998</v>
      </c>
      <c r="D752">
        <v>45.99</v>
      </c>
      <c r="E752" t="s">
        <v>10</v>
      </c>
      <c r="F752" t="s">
        <v>1727</v>
      </c>
      <c r="G752" t="s">
        <v>16</v>
      </c>
      <c r="H752">
        <v>15</v>
      </c>
      <c r="I752" t="s">
        <v>12</v>
      </c>
      <c r="J752" t="s">
        <v>42</v>
      </c>
      <c r="K752">
        <v>6</v>
      </c>
      <c r="O752">
        <f t="shared" si="13"/>
        <v>84.73</v>
      </c>
    </row>
    <row r="753" spans="1:15" x14ac:dyDescent="0.35">
      <c r="A753" t="s">
        <v>1043</v>
      </c>
      <c r="B753">
        <v>2</v>
      </c>
      <c r="C753">
        <v>34.99</v>
      </c>
      <c r="D753">
        <v>60.99</v>
      </c>
      <c r="E753" t="s">
        <v>925</v>
      </c>
      <c r="F753" t="s">
        <v>1728</v>
      </c>
      <c r="G753" t="s">
        <v>21</v>
      </c>
      <c r="H753">
        <v>0</v>
      </c>
      <c r="I753" t="s">
        <v>24</v>
      </c>
      <c r="J753" t="s">
        <v>36</v>
      </c>
      <c r="K753">
        <v>12.5</v>
      </c>
      <c r="O753">
        <f t="shared" si="13"/>
        <v>37.979999999999997</v>
      </c>
    </row>
    <row r="754" spans="1:15" x14ac:dyDescent="0.35">
      <c r="A754" t="s">
        <v>1044</v>
      </c>
      <c r="B754">
        <v>1</v>
      </c>
      <c r="C754">
        <v>18.989999999999998</v>
      </c>
      <c r="D754">
        <v>18.989999999999998</v>
      </c>
      <c r="E754" t="s">
        <v>429</v>
      </c>
      <c r="F754" t="s">
        <v>1717</v>
      </c>
      <c r="G754" t="s">
        <v>16</v>
      </c>
      <c r="H754">
        <v>14</v>
      </c>
      <c r="I754" t="s">
        <v>17</v>
      </c>
      <c r="J754" t="s">
        <v>42</v>
      </c>
      <c r="K754">
        <v>6</v>
      </c>
      <c r="O754">
        <f t="shared" si="13"/>
        <v>21.99</v>
      </c>
    </row>
    <row r="755" spans="1:15" x14ac:dyDescent="0.35">
      <c r="A755" t="s">
        <v>1045</v>
      </c>
      <c r="B755">
        <v>2</v>
      </c>
      <c r="C755">
        <v>18.989999999999998</v>
      </c>
      <c r="D755">
        <v>32.479999999999997</v>
      </c>
      <c r="E755" t="s">
        <v>534</v>
      </c>
      <c r="F755" t="s">
        <v>1718</v>
      </c>
      <c r="G755" t="s">
        <v>16</v>
      </c>
      <c r="H755">
        <v>10</v>
      </c>
      <c r="I755" t="s">
        <v>24</v>
      </c>
      <c r="J755" t="s">
        <v>42</v>
      </c>
      <c r="K755">
        <v>6</v>
      </c>
      <c r="O755">
        <f t="shared" si="13"/>
        <v>37.979999999999997</v>
      </c>
    </row>
    <row r="756" spans="1:15" x14ac:dyDescent="0.35">
      <c r="A756" t="s">
        <v>1046</v>
      </c>
      <c r="B756">
        <v>2</v>
      </c>
      <c r="C756">
        <v>30.99</v>
      </c>
      <c r="D756">
        <v>53.82</v>
      </c>
      <c r="E756" t="s">
        <v>923</v>
      </c>
      <c r="F756" t="s">
        <v>1719</v>
      </c>
      <c r="G756" t="s">
        <v>21</v>
      </c>
      <c r="H756">
        <v>0</v>
      </c>
      <c r="I756" t="s">
        <v>17</v>
      </c>
      <c r="J756" t="s">
        <v>18</v>
      </c>
      <c r="K756">
        <v>10.5</v>
      </c>
      <c r="O756">
        <f t="shared" si="13"/>
        <v>37.979999999999997</v>
      </c>
    </row>
    <row r="757" spans="1:15" x14ac:dyDescent="0.35">
      <c r="A757" t="s">
        <v>1047</v>
      </c>
      <c r="B757">
        <v>1</v>
      </c>
      <c r="C757">
        <v>21.99</v>
      </c>
      <c r="D757">
        <v>21.99</v>
      </c>
      <c r="E757" t="s">
        <v>1048</v>
      </c>
      <c r="F757" t="s">
        <v>1720</v>
      </c>
      <c r="G757" t="s">
        <v>16</v>
      </c>
      <c r="H757">
        <v>3</v>
      </c>
      <c r="I757" t="s">
        <v>17</v>
      </c>
      <c r="J757" t="s">
        <v>13</v>
      </c>
      <c r="K757">
        <v>7</v>
      </c>
      <c r="O757">
        <f t="shared" si="13"/>
        <v>21.99</v>
      </c>
    </row>
    <row r="758" spans="1:15" x14ac:dyDescent="0.35">
      <c r="A758" t="s">
        <v>1049</v>
      </c>
      <c r="B758">
        <v>2</v>
      </c>
      <c r="C758">
        <v>16.989999999999998</v>
      </c>
      <c r="D758">
        <v>29.1</v>
      </c>
      <c r="E758" t="s">
        <v>1050</v>
      </c>
      <c r="F758" t="s">
        <v>1721</v>
      </c>
      <c r="G758" t="s">
        <v>16</v>
      </c>
      <c r="H758">
        <v>20</v>
      </c>
      <c r="I758" t="s">
        <v>41</v>
      </c>
      <c r="J758" t="s">
        <v>25</v>
      </c>
      <c r="K758">
        <v>5</v>
      </c>
      <c r="O758">
        <f t="shared" si="13"/>
        <v>37.979999999999997</v>
      </c>
    </row>
    <row r="759" spans="1:15" x14ac:dyDescent="0.35">
      <c r="A759" t="s">
        <v>1051</v>
      </c>
      <c r="B759">
        <v>1</v>
      </c>
      <c r="C759">
        <v>18.989999999999998</v>
      </c>
      <c r="D759">
        <v>18.989999999999998</v>
      </c>
      <c r="E759" t="s">
        <v>138</v>
      </c>
      <c r="F759" t="s">
        <v>1722</v>
      </c>
      <c r="G759" t="s">
        <v>16</v>
      </c>
      <c r="H759">
        <v>11</v>
      </c>
      <c r="I759" t="s">
        <v>41</v>
      </c>
      <c r="J759" t="s">
        <v>42</v>
      </c>
      <c r="K759">
        <v>6</v>
      </c>
      <c r="O759">
        <f t="shared" si="13"/>
        <v>21.99</v>
      </c>
    </row>
    <row r="760" spans="1:15" x14ac:dyDescent="0.35">
      <c r="A760" t="s">
        <v>1052</v>
      </c>
      <c r="B760">
        <v>2</v>
      </c>
      <c r="C760">
        <v>18.989999999999998</v>
      </c>
      <c r="D760">
        <v>32.840000000000003</v>
      </c>
      <c r="E760" t="s">
        <v>504</v>
      </c>
      <c r="F760" t="s">
        <v>1723</v>
      </c>
      <c r="G760" t="s">
        <v>16</v>
      </c>
      <c r="H760">
        <v>14</v>
      </c>
      <c r="I760" t="s">
        <v>12</v>
      </c>
      <c r="J760" t="s">
        <v>42</v>
      </c>
      <c r="K760">
        <v>6</v>
      </c>
      <c r="O760">
        <f t="shared" si="13"/>
        <v>37.979999999999997</v>
      </c>
    </row>
    <row r="761" spans="1:15" x14ac:dyDescent="0.35">
      <c r="A761" t="s">
        <v>1053</v>
      </c>
      <c r="B761">
        <v>1</v>
      </c>
      <c r="C761">
        <v>27.99</v>
      </c>
      <c r="D761">
        <v>27.99</v>
      </c>
      <c r="E761" t="s">
        <v>199</v>
      </c>
      <c r="F761" t="s">
        <v>1724</v>
      </c>
      <c r="G761" t="s">
        <v>87</v>
      </c>
      <c r="H761">
        <v>0</v>
      </c>
      <c r="I761" t="s">
        <v>17</v>
      </c>
      <c r="J761" t="s">
        <v>31</v>
      </c>
      <c r="K761">
        <v>9</v>
      </c>
      <c r="O761">
        <f t="shared" si="13"/>
        <v>21.99</v>
      </c>
    </row>
    <row r="762" spans="1:15" x14ac:dyDescent="0.35">
      <c r="A762" t="s">
        <v>1054</v>
      </c>
      <c r="B762">
        <v>1</v>
      </c>
      <c r="C762">
        <v>34.99</v>
      </c>
      <c r="D762">
        <v>34.99</v>
      </c>
      <c r="E762" t="s">
        <v>768</v>
      </c>
      <c r="F762" t="s">
        <v>1725</v>
      </c>
      <c r="G762" t="s">
        <v>16</v>
      </c>
      <c r="H762">
        <v>8</v>
      </c>
      <c r="I762" t="s">
        <v>41</v>
      </c>
      <c r="J762" t="s">
        <v>36</v>
      </c>
      <c r="K762">
        <v>12.5</v>
      </c>
      <c r="O762">
        <f t="shared" si="13"/>
        <v>21.99</v>
      </c>
    </row>
    <row r="763" spans="1:15" x14ac:dyDescent="0.35">
      <c r="A763" t="s">
        <v>1055</v>
      </c>
      <c r="B763">
        <v>3</v>
      </c>
      <c r="C763">
        <v>27.99</v>
      </c>
      <c r="D763">
        <v>67.209999999999994</v>
      </c>
      <c r="E763" t="s">
        <v>1056</v>
      </c>
      <c r="F763" t="s">
        <v>1726</v>
      </c>
      <c r="G763" t="s">
        <v>16</v>
      </c>
      <c r="H763">
        <v>2</v>
      </c>
      <c r="I763" t="s">
        <v>24</v>
      </c>
      <c r="J763" t="s">
        <v>31</v>
      </c>
      <c r="K763">
        <v>9</v>
      </c>
      <c r="O763">
        <f t="shared" si="13"/>
        <v>84.73</v>
      </c>
    </row>
    <row r="764" spans="1:15" x14ac:dyDescent="0.35">
      <c r="A764" t="s">
        <v>1057</v>
      </c>
      <c r="B764">
        <v>2</v>
      </c>
      <c r="C764">
        <v>21.99</v>
      </c>
      <c r="D764">
        <v>37.85</v>
      </c>
      <c r="E764" t="s">
        <v>1058</v>
      </c>
      <c r="F764" t="s">
        <v>1727</v>
      </c>
      <c r="G764" t="s">
        <v>16</v>
      </c>
      <c r="H764">
        <v>2</v>
      </c>
      <c r="I764" t="s">
        <v>24</v>
      </c>
      <c r="J764" t="s">
        <v>13</v>
      </c>
      <c r="K764">
        <v>7</v>
      </c>
      <c r="O764">
        <f t="shared" si="13"/>
        <v>37.979999999999997</v>
      </c>
    </row>
    <row r="765" spans="1:15" x14ac:dyDescent="0.35">
      <c r="A765" t="s">
        <v>1059</v>
      </c>
      <c r="B765">
        <v>3</v>
      </c>
      <c r="C765">
        <v>16.989999999999998</v>
      </c>
      <c r="D765">
        <v>40.08</v>
      </c>
      <c r="E765" s="6">
        <v>46220</v>
      </c>
      <c r="F765" t="s">
        <v>1728</v>
      </c>
      <c r="G765" t="s">
        <v>87</v>
      </c>
      <c r="H765">
        <v>0</v>
      </c>
      <c r="I765" t="s">
        <v>12</v>
      </c>
      <c r="J765" t="s">
        <v>25</v>
      </c>
      <c r="K765">
        <v>5</v>
      </c>
      <c r="O765">
        <f t="shared" si="13"/>
        <v>84.73</v>
      </c>
    </row>
    <row r="766" spans="1:15" x14ac:dyDescent="0.35">
      <c r="A766" t="s">
        <v>1060</v>
      </c>
      <c r="B766">
        <v>1</v>
      </c>
      <c r="C766">
        <v>16.989999999999998</v>
      </c>
      <c r="D766">
        <v>16.989999999999998</v>
      </c>
      <c r="E766" t="s">
        <v>666</v>
      </c>
      <c r="F766" t="s">
        <v>1717</v>
      </c>
      <c r="G766" t="s">
        <v>21</v>
      </c>
      <c r="H766">
        <v>0</v>
      </c>
      <c r="I766" t="s">
        <v>17</v>
      </c>
      <c r="J766" t="s">
        <v>25</v>
      </c>
      <c r="K766">
        <v>5</v>
      </c>
      <c r="O766">
        <f t="shared" si="13"/>
        <v>21.99</v>
      </c>
    </row>
    <row r="767" spans="1:15" x14ac:dyDescent="0.35">
      <c r="A767" t="s">
        <v>1061</v>
      </c>
      <c r="B767">
        <v>1</v>
      </c>
      <c r="C767">
        <v>21.99</v>
      </c>
      <c r="D767">
        <v>21.99</v>
      </c>
      <c r="E767" t="s">
        <v>598</v>
      </c>
      <c r="F767" t="s">
        <v>1718</v>
      </c>
      <c r="G767" t="s">
        <v>16</v>
      </c>
      <c r="H767">
        <v>2</v>
      </c>
      <c r="I767" t="s">
        <v>17</v>
      </c>
      <c r="J767" t="s">
        <v>13</v>
      </c>
      <c r="K767">
        <v>7</v>
      </c>
      <c r="O767">
        <f t="shared" si="13"/>
        <v>21.99</v>
      </c>
    </row>
    <row r="768" spans="1:15" x14ac:dyDescent="0.35">
      <c r="A768" t="s">
        <v>1062</v>
      </c>
      <c r="B768">
        <v>2</v>
      </c>
      <c r="C768">
        <v>18.989999999999998</v>
      </c>
      <c r="D768">
        <v>32.950000000000003</v>
      </c>
      <c r="E768" t="s">
        <v>52</v>
      </c>
      <c r="F768" t="s">
        <v>1719</v>
      </c>
      <c r="G768" t="s">
        <v>21</v>
      </c>
      <c r="H768">
        <v>0</v>
      </c>
      <c r="I768" t="s">
        <v>17</v>
      </c>
      <c r="J768" t="s">
        <v>42</v>
      </c>
      <c r="K768">
        <v>6</v>
      </c>
      <c r="O768">
        <f t="shared" si="13"/>
        <v>37.979999999999997</v>
      </c>
    </row>
    <row r="769" spans="1:15" x14ac:dyDescent="0.35">
      <c r="A769" t="s">
        <v>1063</v>
      </c>
      <c r="B769">
        <v>1</v>
      </c>
      <c r="C769">
        <v>30.99</v>
      </c>
      <c r="D769">
        <v>30.99</v>
      </c>
      <c r="E769" t="s">
        <v>1064</v>
      </c>
      <c r="F769" t="s">
        <v>1720</v>
      </c>
      <c r="G769" t="s">
        <v>16</v>
      </c>
      <c r="H769">
        <v>3</v>
      </c>
      <c r="I769" t="s">
        <v>12</v>
      </c>
      <c r="J769" t="s">
        <v>18</v>
      </c>
      <c r="K769">
        <v>10.5</v>
      </c>
      <c r="O769">
        <f t="shared" si="13"/>
        <v>21.99</v>
      </c>
    </row>
    <row r="770" spans="1:15" x14ac:dyDescent="0.35">
      <c r="A770" t="s">
        <v>1065</v>
      </c>
      <c r="B770">
        <v>1</v>
      </c>
      <c r="C770">
        <v>21.99</v>
      </c>
      <c r="D770">
        <v>21.99</v>
      </c>
      <c r="E770" t="s">
        <v>854</v>
      </c>
      <c r="F770" t="s">
        <v>1721</v>
      </c>
      <c r="G770" t="s">
        <v>16</v>
      </c>
      <c r="H770">
        <v>3</v>
      </c>
      <c r="I770" t="s">
        <v>17</v>
      </c>
      <c r="J770" t="s">
        <v>13</v>
      </c>
      <c r="K770">
        <v>7</v>
      </c>
      <c r="O770">
        <f t="shared" ref="O770:O833" si="14">VLOOKUP(B:B,B:H,3,FALSE)</f>
        <v>21.99</v>
      </c>
    </row>
    <row r="771" spans="1:15" x14ac:dyDescent="0.35">
      <c r="A771" t="s">
        <v>1066</v>
      </c>
      <c r="B771">
        <v>1</v>
      </c>
      <c r="C771">
        <v>34.99</v>
      </c>
      <c r="D771">
        <v>34.99</v>
      </c>
      <c r="E771" t="s">
        <v>736</v>
      </c>
      <c r="F771" t="s">
        <v>1722</v>
      </c>
      <c r="G771" t="s">
        <v>16</v>
      </c>
      <c r="H771">
        <v>10</v>
      </c>
      <c r="I771" t="s">
        <v>41</v>
      </c>
      <c r="J771" t="s">
        <v>36</v>
      </c>
      <c r="K771">
        <v>12.5</v>
      </c>
      <c r="O771">
        <f t="shared" si="14"/>
        <v>21.99</v>
      </c>
    </row>
    <row r="772" spans="1:15" x14ac:dyDescent="0.35">
      <c r="A772" t="s">
        <v>1067</v>
      </c>
      <c r="B772">
        <v>3</v>
      </c>
      <c r="C772">
        <v>16.989999999999998</v>
      </c>
      <c r="D772">
        <v>40.33</v>
      </c>
      <c r="E772" t="s">
        <v>1007</v>
      </c>
      <c r="F772" t="s">
        <v>1723</v>
      </c>
      <c r="G772" t="s">
        <v>28</v>
      </c>
      <c r="H772">
        <v>0</v>
      </c>
      <c r="I772" t="s">
        <v>24</v>
      </c>
      <c r="J772" t="s">
        <v>25</v>
      </c>
      <c r="K772">
        <v>5</v>
      </c>
      <c r="O772">
        <f t="shared" si="14"/>
        <v>84.73</v>
      </c>
    </row>
    <row r="773" spans="1:15" x14ac:dyDescent="0.35">
      <c r="A773" t="s">
        <v>1068</v>
      </c>
      <c r="B773">
        <v>1</v>
      </c>
      <c r="C773">
        <v>30.99</v>
      </c>
      <c r="D773">
        <v>30.99</v>
      </c>
      <c r="E773" t="s">
        <v>725</v>
      </c>
      <c r="F773" t="s">
        <v>1724</v>
      </c>
      <c r="G773" t="s">
        <v>16</v>
      </c>
      <c r="H773">
        <v>7</v>
      </c>
      <c r="I773" t="s">
        <v>24</v>
      </c>
      <c r="J773" t="s">
        <v>18</v>
      </c>
      <c r="K773">
        <v>10.5</v>
      </c>
      <c r="O773">
        <f t="shared" si="14"/>
        <v>21.99</v>
      </c>
    </row>
    <row r="774" spans="1:15" x14ac:dyDescent="0.35">
      <c r="A774" t="s">
        <v>1069</v>
      </c>
      <c r="B774">
        <v>1</v>
      </c>
      <c r="C774">
        <v>21.99</v>
      </c>
      <c r="D774">
        <v>21.99</v>
      </c>
      <c r="E774" t="s">
        <v>765</v>
      </c>
      <c r="F774" t="s">
        <v>1725</v>
      </c>
      <c r="G774" t="s">
        <v>16</v>
      </c>
      <c r="H774">
        <v>8</v>
      </c>
      <c r="I774" t="s">
        <v>24</v>
      </c>
      <c r="J774" t="s">
        <v>13</v>
      </c>
      <c r="K774">
        <v>7</v>
      </c>
      <c r="O774">
        <f t="shared" si="14"/>
        <v>21.99</v>
      </c>
    </row>
    <row r="775" spans="1:15" x14ac:dyDescent="0.35">
      <c r="A775" t="s">
        <v>1070</v>
      </c>
      <c r="B775">
        <v>1</v>
      </c>
      <c r="C775">
        <v>34.99</v>
      </c>
      <c r="D775">
        <v>34.99</v>
      </c>
      <c r="E775" t="s">
        <v>1071</v>
      </c>
      <c r="F775" t="s">
        <v>1726</v>
      </c>
      <c r="G775" t="s">
        <v>16</v>
      </c>
      <c r="H775">
        <v>5</v>
      </c>
      <c r="I775" t="s">
        <v>17</v>
      </c>
      <c r="J775" t="s">
        <v>36</v>
      </c>
      <c r="K775">
        <v>12.5</v>
      </c>
      <c r="O775">
        <f t="shared" si="14"/>
        <v>21.99</v>
      </c>
    </row>
    <row r="776" spans="1:15" x14ac:dyDescent="0.35">
      <c r="A776" t="s">
        <v>1072</v>
      </c>
      <c r="B776">
        <v>2</v>
      </c>
      <c r="C776">
        <v>21.99</v>
      </c>
      <c r="D776">
        <v>38.11</v>
      </c>
      <c r="E776" t="s">
        <v>608</v>
      </c>
      <c r="F776" t="s">
        <v>1727</v>
      </c>
      <c r="G776" t="s">
        <v>16</v>
      </c>
      <c r="H776">
        <v>2</v>
      </c>
      <c r="I776" t="s">
        <v>12</v>
      </c>
      <c r="J776" t="s">
        <v>13</v>
      </c>
      <c r="K776">
        <v>7</v>
      </c>
      <c r="O776">
        <f t="shared" si="14"/>
        <v>37.979999999999997</v>
      </c>
    </row>
    <row r="777" spans="1:15" x14ac:dyDescent="0.35">
      <c r="A777" t="s">
        <v>1073</v>
      </c>
      <c r="B777">
        <v>1</v>
      </c>
      <c r="C777">
        <v>27.99</v>
      </c>
      <c r="D777">
        <v>27.99</v>
      </c>
      <c r="E777" t="s">
        <v>539</v>
      </c>
      <c r="F777" t="s">
        <v>1728</v>
      </c>
      <c r="G777" t="s">
        <v>87</v>
      </c>
      <c r="H777">
        <v>0</v>
      </c>
      <c r="I777" t="s">
        <v>12</v>
      </c>
      <c r="J777" t="s">
        <v>31</v>
      </c>
      <c r="K777">
        <v>9</v>
      </c>
      <c r="O777">
        <f t="shared" si="14"/>
        <v>21.99</v>
      </c>
    </row>
    <row r="778" spans="1:15" x14ac:dyDescent="0.35">
      <c r="A778" t="s">
        <v>1074</v>
      </c>
      <c r="B778">
        <v>1</v>
      </c>
      <c r="C778">
        <v>21.99</v>
      </c>
      <c r="D778">
        <v>21.99</v>
      </c>
      <c r="E778" t="s">
        <v>1075</v>
      </c>
      <c r="F778" t="s">
        <v>1717</v>
      </c>
      <c r="G778" t="s">
        <v>16</v>
      </c>
      <c r="H778">
        <v>2</v>
      </c>
      <c r="I778" t="s">
        <v>17</v>
      </c>
      <c r="J778" t="s">
        <v>13</v>
      </c>
      <c r="K778">
        <v>7</v>
      </c>
      <c r="O778">
        <f t="shared" si="14"/>
        <v>21.99</v>
      </c>
    </row>
    <row r="779" spans="1:15" x14ac:dyDescent="0.35">
      <c r="A779" t="s">
        <v>1076</v>
      </c>
      <c r="B779">
        <v>2</v>
      </c>
      <c r="C779">
        <v>27.99</v>
      </c>
      <c r="D779">
        <v>48.96</v>
      </c>
      <c r="E779" t="s">
        <v>118</v>
      </c>
      <c r="F779" t="s">
        <v>1718</v>
      </c>
      <c r="G779" t="s">
        <v>16</v>
      </c>
      <c r="H779">
        <v>3</v>
      </c>
      <c r="I779" t="s">
        <v>41</v>
      </c>
      <c r="J779" t="s">
        <v>31</v>
      </c>
      <c r="K779">
        <v>9</v>
      </c>
      <c r="O779">
        <f t="shared" si="14"/>
        <v>37.979999999999997</v>
      </c>
    </row>
    <row r="780" spans="1:15" x14ac:dyDescent="0.35">
      <c r="A780" t="s">
        <v>1077</v>
      </c>
      <c r="B780">
        <v>3</v>
      </c>
      <c r="C780">
        <v>30.99</v>
      </c>
      <c r="D780">
        <v>74.67</v>
      </c>
      <c r="E780" t="s">
        <v>657</v>
      </c>
      <c r="F780" t="s">
        <v>1719</v>
      </c>
      <c r="G780" t="s">
        <v>16</v>
      </c>
      <c r="H780">
        <v>2</v>
      </c>
      <c r="I780" t="s">
        <v>12</v>
      </c>
      <c r="J780" t="s">
        <v>18</v>
      </c>
      <c r="K780">
        <v>10.5</v>
      </c>
      <c r="O780">
        <f t="shared" si="14"/>
        <v>84.73</v>
      </c>
    </row>
    <row r="781" spans="1:15" x14ac:dyDescent="0.35">
      <c r="A781" t="s">
        <v>1078</v>
      </c>
      <c r="B781">
        <v>1</v>
      </c>
      <c r="C781">
        <v>21.99</v>
      </c>
      <c r="D781">
        <v>21.99</v>
      </c>
      <c r="E781" t="s">
        <v>788</v>
      </c>
      <c r="F781" t="s">
        <v>1720</v>
      </c>
      <c r="G781" t="s">
        <v>28</v>
      </c>
      <c r="H781">
        <v>0</v>
      </c>
      <c r="I781" t="s">
        <v>24</v>
      </c>
      <c r="J781" t="s">
        <v>13</v>
      </c>
      <c r="K781">
        <v>7</v>
      </c>
      <c r="O781">
        <f t="shared" si="14"/>
        <v>21.99</v>
      </c>
    </row>
    <row r="782" spans="1:15" x14ac:dyDescent="0.35">
      <c r="A782" t="s">
        <v>1079</v>
      </c>
      <c r="B782">
        <v>1</v>
      </c>
      <c r="C782">
        <v>18.989999999999998</v>
      </c>
      <c r="D782">
        <v>18.989999999999998</v>
      </c>
      <c r="E782" t="s">
        <v>290</v>
      </c>
      <c r="F782" t="s">
        <v>1721</v>
      </c>
      <c r="G782" t="s">
        <v>16</v>
      </c>
      <c r="H782">
        <v>12</v>
      </c>
      <c r="I782" t="s">
        <v>24</v>
      </c>
      <c r="J782" t="s">
        <v>42</v>
      </c>
      <c r="K782">
        <v>6</v>
      </c>
      <c r="O782">
        <f t="shared" si="14"/>
        <v>21.99</v>
      </c>
    </row>
    <row r="783" spans="1:15" x14ac:dyDescent="0.35">
      <c r="A783" t="s">
        <v>1080</v>
      </c>
      <c r="B783">
        <v>1</v>
      </c>
      <c r="C783">
        <v>18.989999999999998</v>
      </c>
      <c r="D783">
        <v>18.989999999999998</v>
      </c>
      <c r="E783" t="s">
        <v>947</v>
      </c>
      <c r="F783" t="s">
        <v>1722</v>
      </c>
      <c r="G783" t="s">
        <v>16</v>
      </c>
      <c r="H783">
        <v>13</v>
      </c>
      <c r="I783" t="s">
        <v>24</v>
      </c>
      <c r="J783" t="s">
        <v>42</v>
      </c>
      <c r="K783">
        <v>6</v>
      </c>
      <c r="O783">
        <f t="shared" si="14"/>
        <v>21.99</v>
      </c>
    </row>
    <row r="784" spans="1:15" x14ac:dyDescent="0.35">
      <c r="A784" t="s">
        <v>1081</v>
      </c>
      <c r="B784">
        <v>1</v>
      </c>
      <c r="C784">
        <v>18.989999999999998</v>
      </c>
      <c r="D784">
        <v>18.989999999999998</v>
      </c>
      <c r="E784" t="s">
        <v>725</v>
      </c>
      <c r="F784" t="s">
        <v>1723</v>
      </c>
      <c r="G784" t="s">
        <v>11</v>
      </c>
      <c r="H784">
        <v>18</v>
      </c>
      <c r="I784" t="s">
        <v>24</v>
      </c>
      <c r="J784" t="s">
        <v>42</v>
      </c>
      <c r="K784">
        <v>6</v>
      </c>
      <c r="O784">
        <f t="shared" si="14"/>
        <v>21.99</v>
      </c>
    </row>
    <row r="785" spans="1:15" x14ac:dyDescent="0.35">
      <c r="A785" t="s">
        <v>1082</v>
      </c>
      <c r="B785">
        <v>3</v>
      </c>
      <c r="C785">
        <v>21.99</v>
      </c>
      <c r="D785">
        <v>52.8</v>
      </c>
      <c r="E785" t="s">
        <v>670</v>
      </c>
      <c r="F785" t="s">
        <v>1724</v>
      </c>
      <c r="G785" t="s">
        <v>16</v>
      </c>
      <c r="H785">
        <v>3</v>
      </c>
      <c r="I785" t="s">
        <v>17</v>
      </c>
      <c r="J785" t="s">
        <v>13</v>
      </c>
      <c r="K785">
        <v>7</v>
      </c>
      <c r="O785">
        <f t="shared" si="14"/>
        <v>84.73</v>
      </c>
    </row>
    <row r="786" spans="1:15" x14ac:dyDescent="0.35">
      <c r="A786" t="s">
        <v>1083</v>
      </c>
      <c r="B786">
        <v>1</v>
      </c>
      <c r="C786">
        <v>34.99</v>
      </c>
      <c r="D786">
        <v>34.99</v>
      </c>
      <c r="E786" t="s">
        <v>1084</v>
      </c>
      <c r="F786" t="s">
        <v>1725</v>
      </c>
      <c r="G786" t="s">
        <v>11</v>
      </c>
      <c r="H786">
        <v>5</v>
      </c>
      <c r="I786" t="s">
        <v>24</v>
      </c>
      <c r="J786" t="s">
        <v>36</v>
      </c>
      <c r="K786">
        <v>12.5</v>
      </c>
      <c r="O786">
        <f t="shared" si="14"/>
        <v>21.99</v>
      </c>
    </row>
    <row r="787" spans="1:15" x14ac:dyDescent="0.35">
      <c r="A787" t="s">
        <v>1085</v>
      </c>
      <c r="B787">
        <v>3</v>
      </c>
      <c r="C787">
        <v>30.99</v>
      </c>
      <c r="D787">
        <v>73.64</v>
      </c>
      <c r="E787" t="s">
        <v>333</v>
      </c>
      <c r="F787" t="s">
        <v>1726</v>
      </c>
      <c r="G787" t="s">
        <v>16</v>
      </c>
      <c r="H787">
        <v>2</v>
      </c>
      <c r="I787" t="s">
        <v>24</v>
      </c>
      <c r="J787" t="s">
        <v>18</v>
      </c>
      <c r="K787">
        <v>10.5</v>
      </c>
      <c r="O787">
        <f t="shared" si="14"/>
        <v>84.73</v>
      </c>
    </row>
    <row r="788" spans="1:15" x14ac:dyDescent="0.35">
      <c r="A788" t="s">
        <v>1086</v>
      </c>
      <c r="B788">
        <v>3</v>
      </c>
      <c r="C788">
        <v>30.99</v>
      </c>
      <c r="D788">
        <v>73.69</v>
      </c>
      <c r="E788" t="s">
        <v>23</v>
      </c>
      <c r="F788" t="s">
        <v>1727</v>
      </c>
      <c r="G788" t="s">
        <v>87</v>
      </c>
      <c r="H788">
        <v>0</v>
      </c>
      <c r="I788" t="s">
        <v>17</v>
      </c>
      <c r="J788" t="s">
        <v>18</v>
      </c>
      <c r="K788">
        <v>10.5</v>
      </c>
      <c r="O788">
        <f t="shared" si="14"/>
        <v>84.73</v>
      </c>
    </row>
    <row r="789" spans="1:15" x14ac:dyDescent="0.35">
      <c r="A789" t="s">
        <v>1087</v>
      </c>
      <c r="B789">
        <v>1</v>
      </c>
      <c r="C789">
        <v>30.99</v>
      </c>
      <c r="D789">
        <v>30.99</v>
      </c>
      <c r="E789" t="s">
        <v>506</v>
      </c>
      <c r="F789" t="s">
        <v>1728</v>
      </c>
      <c r="G789" t="s">
        <v>87</v>
      </c>
      <c r="H789">
        <v>0</v>
      </c>
      <c r="I789" t="s">
        <v>24</v>
      </c>
      <c r="J789" t="s">
        <v>18</v>
      </c>
      <c r="K789">
        <v>10.5</v>
      </c>
      <c r="O789">
        <f t="shared" si="14"/>
        <v>21.99</v>
      </c>
    </row>
    <row r="790" spans="1:15" x14ac:dyDescent="0.35">
      <c r="A790" t="s">
        <v>1088</v>
      </c>
      <c r="B790">
        <v>1</v>
      </c>
      <c r="C790">
        <v>21.99</v>
      </c>
      <c r="D790">
        <v>21.99</v>
      </c>
      <c r="E790" t="s">
        <v>132</v>
      </c>
      <c r="F790" t="s">
        <v>1717</v>
      </c>
      <c r="G790" t="s">
        <v>11</v>
      </c>
      <c r="H790">
        <v>2</v>
      </c>
      <c r="I790" t="s">
        <v>17</v>
      </c>
      <c r="J790" t="s">
        <v>13</v>
      </c>
      <c r="K790">
        <v>7</v>
      </c>
      <c r="O790">
        <f t="shared" si="14"/>
        <v>21.99</v>
      </c>
    </row>
    <row r="791" spans="1:15" x14ac:dyDescent="0.35">
      <c r="A791" t="s">
        <v>1089</v>
      </c>
      <c r="B791">
        <v>3</v>
      </c>
      <c r="C791">
        <v>30.99</v>
      </c>
      <c r="D791">
        <v>74.790000000000006</v>
      </c>
      <c r="E791" t="s">
        <v>623</v>
      </c>
      <c r="F791" t="s">
        <v>1718</v>
      </c>
      <c r="G791" t="s">
        <v>21</v>
      </c>
      <c r="H791">
        <v>0</v>
      </c>
      <c r="I791" t="s">
        <v>24</v>
      </c>
      <c r="J791" t="s">
        <v>18</v>
      </c>
      <c r="K791">
        <v>10.5</v>
      </c>
      <c r="O791">
        <f t="shared" si="14"/>
        <v>84.73</v>
      </c>
    </row>
    <row r="792" spans="1:15" x14ac:dyDescent="0.35">
      <c r="A792" t="s">
        <v>1090</v>
      </c>
      <c r="B792">
        <v>1</v>
      </c>
      <c r="C792">
        <v>27.99</v>
      </c>
      <c r="D792">
        <v>27.99</v>
      </c>
      <c r="E792" t="s">
        <v>955</v>
      </c>
      <c r="F792" t="s">
        <v>1719</v>
      </c>
      <c r="G792" t="s">
        <v>16</v>
      </c>
      <c r="H792">
        <v>3</v>
      </c>
      <c r="I792" t="s">
        <v>17</v>
      </c>
      <c r="J792" t="s">
        <v>31</v>
      </c>
      <c r="K792">
        <v>9</v>
      </c>
      <c r="O792">
        <f t="shared" si="14"/>
        <v>21.99</v>
      </c>
    </row>
    <row r="793" spans="1:15" x14ac:dyDescent="0.35">
      <c r="A793" t="s">
        <v>1091</v>
      </c>
      <c r="B793">
        <v>1</v>
      </c>
      <c r="C793">
        <v>34.99</v>
      </c>
      <c r="D793">
        <v>34.99</v>
      </c>
      <c r="E793" s="6">
        <v>46292</v>
      </c>
      <c r="F793" t="s">
        <v>1720</v>
      </c>
      <c r="G793" t="s">
        <v>16</v>
      </c>
      <c r="H793">
        <v>5</v>
      </c>
      <c r="I793" t="s">
        <v>24</v>
      </c>
      <c r="J793" t="s">
        <v>36</v>
      </c>
      <c r="K793">
        <v>12.5</v>
      </c>
      <c r="O793">
        <f t="shared" si="14"/>
        <v>21.99</v>
      </c>
    </row>
    <row r="794" spans="1:15" x14ac:dyDescent="0.35">
      <c r="A794" t="s">
        <v>1092</v>
      </c>
      <c r="B794">
        <v>1</v>
      </c>
      <c r="C794">
        <v>18.989999999999998</v>
      </c>
      <c r="D794">
        <v>18.989999999999998</v>
      </c>
      <c r="E794" t="s">
        <v>543</v>
      </c>
      <c r="F794" t="s">
        <v>1721</v>
      </c>
      <c r="G794" t="s">
        <v>16</v>
      </c>
      <c r="H794">
        <v>11</v>
      </c>
      <c r="I794" t="s">
        <v>41</v>
      </c>
      <c r="J794" t="s">
        <v>42</v>
      </c>
      <c r="K794">
        <v>6</v>
      </c>
      <c r="O794">
        <f t="shared" si="14"/>
        <v>21.99</v>
      </c>
    </row>
    <row r="795" spans="1:15" x14ac:dyDescent="0.35">
      <c r="A795" t="s">
        <v>1093</v>
      </c>
      <c r="B795">
        <v>1</v>
      </c>
      <c r="C795">
        <v>16.989999999999998</v>
      </c>
      <c r="D795">
        <v>16.989999999999998</v>
      </c>
      <c r="E795" t="s">
        <v>657</v>
      </c>
      <c r="F795" t="s">
        <v>1722</v>
      </c>
      <c r="G795" t="s">
        <v>11</v>
      </c>
      <c r="H795">
        <v>15</v>
      </c>
      <c r="I795" t="s">
        <v>41</v>
      </c>
      <c r="J795" t="s">
        <v>25</v>
      </c>
      <c r="K795">
        <v>5</v>
      </c>
      <c r="O795">
        <f t="shared" si="14"/>
        <v>21.99</v>
      </c>
    </row>
    <row r="796" spans="1:15" x14ac:dyDescent="0.35">
      <c r="A796" t="s">
        <v>1094</v>
      </c>
      <c r="B796">
        <v>1</v>
      </c>
      <c r="C796">
        <v>34.99</v>
      </c>
      <c r="D796">
        <v>34.99</v>
      </c>
      <c r="E796" t="s">
        <v>461</v>
      </c>
      <c r="F796" t="s">
        <v>1723</v>
      </c>
      <c r="G796" t="s">
        <v>16</v>
      </c>
      <c r="H796">
        <v>9</v>
      </c>
      <c r="I796" t="s">
        <v>24</v>
      </c>
      <c r="J796" t="s">
        <v>36</v>
      </c>
      <c r="K796">
        <v>12.5</v>
      </c>
      <c r="O796">
        <f t="shared" si="14"/>
        <v>21.99</v>
      </c>
    </row>
    <row r="797" spans="1:15" x14ac:dyDescent="0.35">
      <c r="A797" t="s">
        <v>1095</v>
      </c>
      <c r="B797">
        <v>1</v>
      </c>
      <c r="C797">
        <v>18.989999999999998</v>
      </c>
      <c r="D797">
        <v>18.989999999999998</v>
      </c>
      <c r="E797" t="s">
        <v>240</v>
      </c>
      <c r="F797" t="s">
        <v>1724</v>
      </c>
      <c r="G797" t="s">
        <v>16</v>
      </c>
      <c r="H797">
        <v>15</v>
      </c>
      <c r="I797" t="s">
        <v>41</v>
      </c>
      <c r="J797" t="s">
        <v>42</v>
      </c>
      <c r="K797">
        <v>6</v>
      </c>
      <c r="O797">
        <f t="shared" si="14"/>
        <v>21.99</v>
      </c>
    </row>
    <row r="798" spans="1:15" x14ac:dyDescent="0.35">
      <c r="A798" t="s">
        <v>1096</v>
      </c>
      <c r="B798">
        <v>1</v>
      </c>
      <c r="C798">
        <v>34.99</v>
      </c>
      <c r="D798">
        <v>34.99</v>
      </c>
      <c r="E798" t="s">
        <v>1056</v>
      </c>
      <c r="F798" t="s">
        <v>1725</v>
      </c>
      <c r="G798" t="s">
        <v>21</v>
      </c>
      <c r="H798">
        <v>0</v>
      </c>
      <c r="I798" t="s">
        <v>17</v>
      </c>
      <c r="J798" t="s">
        <v>36</v>
      </c>
      <c r="K798">
        <v>12.5</v>
      </c>
      <c r="O798">
        <f t="shared" si="14"/>
        <v>21.99</v>
      </c>
    </row>
    <row r="799" spans="1:15" x14ac:dyDescent="0.35">
      <c r="A799" t="s">
        <v>1097</v>
      </c>
      <c r="B799">
        <v>1</v>
      </c>
      <c r="C799">
        <v>18.989999999999998</v>
      </c>
      <c r="D799">
        <v>18.989999999999998</v>
      </c>
      <c r="E799" t="s">
        <v>44</v>
      </c>
      <c r="F799" t="s">
        <v>1726</v>
      </c>
      <c r="G799" t="s">
        <v>21</v>
      </c>
      <c r="H799">
        <v>0</v>
      </c>
      <c r="I799" t="s">
        <v>12</v>
      </c>
      <c r="J799" t="s">
        <v>42</v>
      </c>
      <c r="K799">
        <v>6</v>
      </c>
      <c r="O799">
        <f t="shared" si="14"/>
        <v>21.99</v>
      </c>
    </row>
    <row r="800" spans="1:15" x14ac:dyDescent="0.35">
      <c r="A800" t="s">
        <v>1098</v>
      </c>
      <c r="B800">
        <v>2</v>
      </c>
      <c r="C800">
        <v>30.99</v>
      </c>
      <c r="D800">
        <v>53.16</v>
      </c>
      <c r="E800" t="s">
        <v>10</v>
      </c>
      <c r="F800" t="s">
        <v>1727</v>
      </c>
      <c r="G800" t="s">
        <v>16</v>
      </c>
      <c r="H800">
        <v>2</v>
      </c>
      <c r="I800" t="s">
        <v>12</v>
      </c>
      <c r="J800" t="s">
        <v>18</v>
      </c>
      <c r="K800">
        <v>10.5</v>
      </c>
      <c r="O800">
        <f t="shared" si="14"/>
        <v>37.979999999999997</v>
      </c>
    </row>
    <row r="801" spans="1:15" x14ac:dyDescent="0.35">
      <c r="A801" t="s">
        <v>1099</v>
      </c>
      <c r="B801">
        <v>1</v>
      </c>
      <c r="C801">
        <v>18.989999999999998</v>
      </c>
      <c r="D801">
        <v>18.989999999999998</v>
      </c>
      <c r="E801" t="s">
        <v>33</v>
      </c>
      <c r="F801" t="s">
        <v>1728</v>
      </c>
      <c r="G801" t="s">
        <v>16</v>
      </c>
      <c r="H801">
        <v>12</v>
      </c>
      <c r="I801" t="s">
        <v>17</v>
      </c>
      <c r="J801" t="s">
        <v>42</v>
      </c>
      <c r="K801">
        <v>6</v>
      </c>
      <c r="O801">
        <f t="shared" si="14"/>
        <v>21.99</v>
      </c>
    </row>
    <row r="802" spans="1:15" x14ac:dyDescent="0.35">
      <c r="A802" t="s">
        <v>1100</v>
      </c>
      <c r="B802">
        <v>3</v>
      </c>
      <c r="C802">
        <v>21.99</v>
      </c>
      <c r="D802">
        <v>52.37</v>
      </c>
      <c r="E802" s="6">
        <v>46229</v>
      </c>
      <c r="F802" t="s">
        <v>1717</v>
      </c>
      <c r="G802" t="s">
        <v>87</v>
      </c>
      <c r="H802">
        <v>0</v>
      </c>
      <c r="I802" t="s">
        <v>24</v>
      </c>
      <c r="J802" t="s">
        <v>13</v>
      </c>
      <c r="K802">
        <v>7</v>
      </c>
      <c r="O802">
        <f t="shared" si="14"/>
        <v>84.73</v>
      </c>
    </row>
    <row r="803" spans="1:15" x14ac:dyDescent="0.35">
      <c r="A803" t="s">
        <v>1101</v>
      </c>
      <c r="B803">
        <v>1</v>
      </c>
      <c r="C803">
        <v>27.99</v>
      </c>
      <c r="D803">
        <v>27.99</v>
      </c>
      <c r="E803" t="s">
        <v>52</v>
      </c>
      <c r="F803" t="s">
        <v>1718</v>
      </c>
      <c r="G803" t="s">
        <v>21</v>
      </c>
      <c r="H803">
        <v>0</v>
      </c>
      <c r="I803" t="s">
        <v>12</v>
      </c>
      <c r="J803" t="s">
        <v>31</v>
      </c>
      <c r="K803">
        <v>9</v>
      </c>
      <c r="O803">
        <f t="shared" si="14"/>
        <v>21.99</v>
      </c>
    </row>
    <row r="804" spans="1:15" x14ac:dyDescent="0.35">
      <c r="A804" t="s">
        <v>1102</v>
      </c>
      <c r="B804">
        <v>1</v>
      </c>
      <c r="C804">
        <v>18.989999999999998</v>
      </c>
      <c r="D804">
        <v>18.989999999999998</v>
      </c>
      <c r="E804" t="s">
        <v>919</v>
      </c>
      <c r="F804" t="s">
        <v>1719</v>
      </c>
      <c r="G804" t="s">
        <v>16</v>
      </c>
      <c r="H804">
        <v>12</v>
      </c>
      <c r="I804" t="s">
        <v>17</v>
      </c>
      <c r="J804" t="s">
        <v>42</v>
      </c>
      <c r="K804">
        <v>6</v>
      </c>
      <c r="O804">
        <f t="shared" si="14"/>
        <v>21.99</v>
      </c>
    </row>
    <row r="805" spans="1:15" x14ac:dyDescent="0.35">
      <c r="A805" t="s">
        <v>1103</v>
      </c>
      <c r="B805">
        <v>1</v>
      </c>
      <c r="C805">
        <v>34.99</v>
      </c>
      <c r="D805">
        <v>34.99</v>
      </c>
      <c r="E805" t="s">
        <v>1104</v>
      </c>
      <c r="F805" t="s">
        <v>1720</v>
      </c>
      <c r="G805" t="s">
        <v>87</v>
      </c>
      <c r="H805">
        <v>0</v>
      </c>
      <c r="I805" t="s">
        <v>41</v>
      </c>
      <c r="J805" t="s">
        <v>36</v>
      </c>
      <c r="K805">
        <v>12.5</v>
      </c>
      <c r="O805">
        <f t="shared" si="14"/>
        <v>21.99</v>
      </c>
    </row>
    <row r="806" spans="1:15" x14ac:dyDescent="0.35">
      <c r="A806" t="s">
        <v>1105</v>
      </c>
      <c r="B806">
        <v>2</v>
      </c>
      <c r="C806">
        <v>34.99</v>
      </c>
      <c r="D806">
        <v>61.13</v>
      </c>
      <c r="E806" t="s">
        <v>639</v>
      </c>
      <c r="F806" t="s">
        <v>1721</v>
      </c>
      <c r="G806" t="s">
        <v>16</v>
      </c>
      <c r="H806">
        <v>6</v>
      </c>
      <c r="I806" t="s">
        <v>24</v>
      </c>
      <c r="J806" t="s">
        <v>36</v>
      </c>
      <c r="K806">
        <v>12.5</v>
      </c>
      <c r="O806">
        <f t="shared" si="14"/>
        <v>37.979999999999997</v>
      </c>
    </row>
    <row r="807" spans="1:15" x14ac:dyDescent="0.35">
      <c r="A807" t="s">
        <v>1106</v>
      </c>
      <c r="B807">
        <v>1</v>
      </c>
      <c r="C807">
        <v>34.99</v>
      </c>
      <c r="D807">
        <v>34.99</v>
      </c>
      <c r="E807" t="s">
        <v>919</v>
      </c>
      <c r="F807" t="s">
        <v>1722</v>
      </c>
      <c r="G807" t="s">
        <v>16</v>
      </c>
      <c r="H807">
        <v>6</v>
      </c>
      <c r="I807" t="s">
        <v>41</v>
      </c>
      <c r="J807" t="s">
        <v>36</v>
      </c>
      <c r="K807">
        <v>12.5</v>
      </c>
      <c r="O807">
        <f t="shared" si="14"/>
        <v>21.99</v>
      </c>
    </row>
    <row r="808" spans="1:15" x14ac:dyDescent="0.35">
      <c r="A808" t="s">
        <v>1107</v>
      </c>
      <c r="B808">
        <v>3</v>
      </c>
      <c r="C808">
        <v>34.99</v>
      </c>
      <c r="D808">
        <v>83.78</v>
      </c>
      <c r="E808" t="s">
        <v>536</v>
      </c>
      <c r="F808" t="s">
        <v>1723</v>
      </c>
      <c r="G808" t="s">
        <v>16</v>
      </c>
      <c r="H808">
        <v>6</v>
      </c>
      <c r="I808" t="s">
        <v>41</v>
      </c>
      <c r="J808" t="s">
        <v>36</v>
      </c>
      <c r="K808">
        <v>12.5</v>
      </c>
      <c r="O808">
        <f t="shared" si="14"/>
        <v>84.73</v>
      </c>
    </row>
    <row r="809" spans="1:15" x14ac:dyDescent="0.35">
      <c r="A809" t="s">
        <v>1108</v>
      </c>
      <c r="B809">
        <v>1</v>
      </c>
      <c r="C809">
        <v>16.989999999999998</v>
      </c>
      <c r="D809">
        <v>16.989999999999998</v>
      </c>
      <c r="E809" t="s">
        <v>96</v>
      </c>
      <c r="F809" t="s">
        <v>1724</v>
      </c>
      <c r="G809" t="s">
        <v>16</v>
      </c>
      <c r="H809">
        <v>16</v>
      </c>
      <c r="I809" t="s">
        <v>24</v>
      </c>
      <c r="J809" t="s">
        <v>25</v>
      </c>
      <c r="K809">
        <v>5</v>
      </c>
      <c r="O809">
        <f t="shared" si="14"/>
        <v>21.99</v>
      </c>
    </row>
    <row r="810" spans="1:15" x14ac:dyDescent="0.35">
      <c r="A810" t="s">
        <v>1109</v>
      </c>
      <c r="B810">
        <v>1</v>
      </c>
      <c r="C810">
        <v>16.989999999999998</v>
      </c>
      <c r="D810">
        <v>16.989999999999998</v>
      </c>
      <c r="E810" t="s">
        <v>453</v>
      </c>
      <c r="F810" t="s">
        <v>1725</v>
      </c>
      <c r="G810" t="s">
        <v>16</v>
      </c>
      <c r="H810">
        <v>16</v>
      </c>
      <c r="I810" t="s">
        <v>24</v>
      </c>
      <c r="J810" t="s">
        <v>25</v>
      </c>
      <c r="K810">
        <v>5</v>
      </c>
      <c r="O810">
        <f t="shared" si="14"/>
        <v>21.99</v>
      </c>
    </row>
    <row r="811" spans="1:15" x14ac:dyDescent="0.35">
      <c r="A811" t="s">
        <v>1110</v>
      </c>
      <c r="B811">
        <v>2</v>
      </c>
      <c r="C811">
        <v>18.989999999999998</v>
      </c>
      <c r="D811">
        <v>32.979999999999997</v>
      </c>
      <c r="E811" s="6">
        <v>46076</v>
      </c>
      <c r="F811" t="s">
        <v>1726</v>
      </c>
      <c r="G811" t="s">
        <v>16</v>
      </c>
      <c r="H811">
        <v>10</v>
      </c>
      <c r="I811" t="s">
        <v>24</v>
      </c>
      <c r="J811" t="s">
        <v>42</v>
      </c>
      <c r="K811">
        <v>6</v>
      </c>
      <c r="O811">
        <f t="shared" si="14"/>
        <v>37.979999999999997</v>
      </c>
    </row>
    <row r="812" spans="1:15" x14ac:dyDescent="0.35">
      <c r="A812" t="s">
        <v>1111</v>
      </c>
      <c r="B812">
        <v>1</v>
      </c>
      <c r="C812">
        <v>27.99</v>
      </c>
      <c r="D812">
        <v>27.99</v>
      </c>
      <c r="E812" t="s">
        <v>1112</v>
      </c>
      <c r="F812" t="s">
        <v>1727</v>
      </c>
      <c r="G812" t="s">
        <v>16</v>
      </c>
      <c r="H812">
        <v>2</v>
      </c>
      <c r="I812" t="s">
        <v>41</v>
      </c>
      <c r="J812" t="s">
        <v>31</v>
      </c>
      <c r="K812">
        <v>9</v>
      </c>
      <c r="O812">
        <f t="shared" si="14"/>
        <v>21.99</v>
      </c>
    </row>
    <row r="813" spans="1:15" x14ac:dyDescent="0.35">
      <c r="A813" t="s">
        <v>1113</v>
      </c>
      <c r="B813">
        <v>1</v>
      </c>
      <c r="C813">
        <v>21.99</v>
      </c>
      <c r="D813">
        <v>21.99</v>
      </c>
      <c r="E813" t="s">
        <v>1114</v>
      </c>
      <c r="F813" t="s">
        <v>1728</v>
      </c>
      <c r="G813" t="s">
        <v>21</v>
      </c>
      <c r="H813">
        <v>0</v>
      </c>
      <c r="I813" t="s">
        <v>41</v>
      </c>
      <c r="J813" t="s">
        <v>13</v>
      </c>
      <c r="K813">
        <v>7</v>
      </c>
      <c r="O813">
        <f t="shared" si="14"/>
        <v>21.99</v>
      </c>
    </row>
    <row r="814" spans="1:15" x14ac:dyDescent="0.35">
      <c r="A814" t="s">
        <v>1115</v>
      </c>
      <c r="B814">
        <v>3</v>
      </c>
      <c r="C814">
        <v>30.99</v>
      </c>
      <c r="D814">
        <v>74.48</v>
      </c>
      <c r="E814" t="s">
        <v>1116</v>
      </c>
      <c r="F814" t="s">
        <v>1717</v>
      </c>
      <c r="G814" t="s">
        <v>16</v>
      </c>
      <c r="H814">
        <v>2</v>
      </c>
      <c r="I814" t="s">
        <v>17</v>
      </c>
      <c r="J814" t="s">
        <v>18</v>
      </c>
      <c r="K814">
        <v>10.5</v>
      </c>
      <c r="O814">
        <f t="shared" si="14"/>
        <v>84.73</v>
      </c>
    </row>
    <row r="815" spans="1:15" x14ac:dyDescent="0.35">
      <c r="A815" t="s">
        <v>1117</v>
      </c>
      <c r="B815">
        <v>1</v>
      </c>
      <c r="C815">
        <v>34.99</v>
      </c>
      <c r="D815">
        <v>34.99</v>
      </c>
      <c r="E815" t="s">
        <v>575</v>
      </c>
      <c r="F815" t="s">
        <v>1718</v>
      </c>
      <c r="G815" t="s">
        <v>16</v>
      </c>
      <c r="H815">
        <v>6</v>
      </c>
      <c r="I815" t="s">
        <v>17</v>
      </c>
      <c r="J815" t="s">
        <v>36</v>
      </c>
      <c r="K815">
        <v>12.5</v>
      </c>
      <c r="O815">
        <f t="shared" si="14"/>
        <v>21.99</v>
      </c>
    </row>
    <row r="816" spans="1:15" x14ac:dyDescent="0.35">
      <c r="A816" t="s">
        <v>1118</v>
      </c>
      <c r="B816">
        <v>1</v>
      </c>
      <c r="C816">
        <v>30.99</v>
      </c>
      <c r="D816">
        <v>30.99</v>
      </c>
      <c r="E816" t="s">
        <v>1119</v>
      </c>
      <c r="F816" t="s">
        <v>1719</v>
      </c>
      <c r="G816" t="s">
        <v>21</v>
      </c>
      <c r="H816">
        <v>0</v>
      </c>
      <c r="I816" t="s">
        <v>41</v>
      </c>
      <c r="J816" t="s">
        <v>18</v>
      </c>
      <c r="K816">
        <v>10.5</v>
      </c>
      <c r="O816">
        <f t="shared" si="14"/>
        <v>21.99</v>
      </c>
    </row>
    <row r="817" spans="1:15" x14ac:dyDescent="0.35">
      <c r="A817" t="s">
        <v>1120</v>
      </c>
      <c r="B817">
        <v>1</v>
      </c>
      <c r="C817">
        <v>34.99</v>
      </c>
      <c r="D817">
        <v>34.99</v>
      </c>
      <c r="E817" t="s">
        <v>481</v>
      </c>
      <c r="F817" t="s">
        <v>1720</v>
      </c>
      <c r="G817" t="s">
        <v>16</v>
      </c>
      <c r="H817">
        <v>8</v>
      </c>
      <c r="I817" t="s">
        <v>12</v>
      </c>
      <c r="J817" t="s">
        <v>36</v>
      </c>
      <c r="K817">
        <v>12.5</v>
      </c>
      <c r="O817">
        <f t="shared" si="14"/>
        <v>21.99</v>
      </c>
    </row>
    <row r="818" spans="1:15" x14ac:dyDescent="0.35">
      <c r="A818" t="s">
        <v>1121</v>
      </c>
      <c r="B818">
        <v>1</v>
      </c>
      <c r="C818">
        <v>30.99</v>
      </c>
      <c r="D818">
        <v>30.99</v>
      </c>
      <c r="E818" t="s">
        <v>536</v>
      </c>
      <c r="F818" t="s">
        <v>1721</v>
      </c>
      <c r="G818" t="s">
        <v>16</v>
      </c>
      <c r="H818">
        <v>2</v>
      </c>
      <c r="I818" t="s">
        <v>17</v>
      </c>
      <c r="J818" t="s">
        <v>18</v>
      </c>
      <c r="K818">
        <v>10.5</v>
      </c>
      <c r="O818">
        <f t="shared" si="14"/>
        <v>21.99</v>
      </c>
    </row>
    <row r="819" spans="1:15" x14ac:dyDescent="0.35">
      <c r="A819" t="s">
        <v>1122</v>
      </c>
      <c r="B819">
        <v>2</v>
      </c>
      <c r="C819">
        <v>18.989999999999998</v>
      </c>
      <c r="D819">
        <v>33</v>
      </c>
      <c r="E819" t="s">
        <v>1123</v>
      </c>
      <c r="F819" t="s">
        <v>1722</v>
      </c>
      <c r="G819" t="s">
        <v>16</v>
      </c>
      <c r="H819">
        <v>10</v>
      </c>
      <c r="I819" t="s">
        <v>17</v>
      </c>
      <c r="J819" t="s">
        <v>42</v>
      </c>
      <c r="K819">
        <v>6</v>
      </c>
      <c r="O819">
        <f t="shared" si="14"/>
        <v>37.979999999999997</v>
      </c>
    </row>
    <row r="820" spans="1:15" x14ac:dyDescent="0.35">
      <c r="A820" t="s">
        <v>1124</v>
      </c>
      <c r="B820">
        <v>2</v>
      </c>
      <c r="C820">
        <v>18.989999999999998</v>
      </c>
      <c r="D820">
        <v>33.229999999999997</v>
      </c>
      <c r="E820" t="s">
        <v>1125</v>
      </c>
      <c r="F820" t="s">
        <v>1723</v>
      </c>
      <c r="G820" t="s">
        <v>87</v>
      </c>
      <c r="H820">
        <v>0</v>
      </c>
      <c r="I820" t="s">
        <v>24</v>
      </c>
      <c r="J820" t="s">
        <v>42</v>
      </c>
      <c r="K820">
        <v>6</v>
      </c>
      <c r="O820">
        <f t="shared" si="14"/>
        <v>37.979999999999997</v>
      </c>
    </row>
    <row r="821" spans="1:15" x14ac:dyDescent="0.35">
      <c r="A821" t="s">
        <v>1126</v>
      </c>
      <c r="B821">
        <v>1</v>
      </c>
      <c r="C821">
        <v>18.989999999999998</v>
      </c>
      <c r="D821">
        <v>18.989999999999998</v>
      </c>
      <c r="E821" t="s">
        <v>1007</v>
      </c>
      <c r="F821" t="s">
        <v>1724</v>
      </c>
      <c r="G821" t="s">
        <v>21</v>
      </c>
      <c r="H821">
        <v>0</v>
      </c>
      <c r="I821" t="s">
        <v>12</v>
      </c>
      <c r="J821" t="s">
        <v>42</v>
      </c>
      <c r="K821">
        <v>6</v>
      </c>
      <c r="O821">
        <f t="shared" si="14"/>
        <v>21.99</v>
      </c>
    </row>
    <row r="822" spans="1:15" x14ac:dyDescent="0.35">
      <c r="A822" t="s">
        <v>1127</v>
      </c>
      <c r="B822">
        <v>2</v>
      </c>
      <c r="C822">
        <v>27.99</v>
      </c>
      <c r="D822">
        <v>48.81</v>
      </c>
      <c r="E822" t="s">
        <v>320</v>
      </c>
      <c r="F822" t="s">
        <v>1725</v>
      </c>
      <c r="G822" t="s">
        <v>16</v>
      </c>
      <c r="H822">
        <v>2</v>
      </c>
      <c r="I822" t="s">
        <v>12</v>
      </c>
      <c r="J822" t="s">
        <v>31</v>
      </c>
      <c r="K822">
        <v>9</v>
      </c>
      <c r="O822">
        <f t="shared" si="14"/>
        <v>37.979999999999997</v>
      </c>
    </row>
    <row r="823" spans="1:15" x14ac:dyDescent="0.35">
      <c r="A823" t="s">
        <v>1128</v>
      </c>
      <c r="B823">
        <v>1</v>
      </c>
      <c r="C823">
        <v>30.99</v>
      </c>
      <c r="D823">
        <v>30.99</v>
      </c>
      <c r="E823" t="s">
        <v>788</v>
      </c>
      <c r="F823" t="s">
        <v>1726</v>
      </c>
      <c r="G823" t="s">
        <v>16</v>
      </c>
      <c r="H823">
        <v>3</v>
      </c>
      <c r="I823" t="s">
        <v>12</v>
      </c>
      <c r="J823" t="s">
        <v>18</v>
      </c>
      <c r="K823">
        <v>10.5</v>
      </c>
      <c r="O823">
        <f t="shared" si="14"/>
        <v>21.99</v>
      </c>
    </row>
    <row r="824" spans="1:15" x14ac:dyDescent="0.35">
      <c r="A824" t="s">
        <v>1129</v>
      </c>
      <c r="B824">
        <v>3</v>
      </c>
      <c r="C824">
        <v>18.989999999999998</v>
      </c>
      <c r="D824">
        <v>44.89</v>
      </c>
      <c r="E824" t="s">
        <v>589</v>
      </c>
      <c r="F824" t="s">
        <v>1727</v>
      </c>
      <c r="G824" t="s">
        <v>16</v>
      </c>
      <c r="H824">
        <v>20</v>
      </c>
      <c r="I824" t="s">
        <v>24</v>
      </c>
      <c r="J824" t="s">
        <v>42</v>
      </c>
      <c r="K824">
        <v>6</v>
      </c>
      <c r="O824">
        <f t="shared" si="14"/>
        <v>84.73</v>
      </c>
    </row>
    <row r="825" spans="1:15" x14ac:dyDescent="0.35">
      <c r="A825" t="s">
        <v>1130</v>
      </c>
      <c r="B825">
        <v>2</v>
      </c>
      <c r="C825">
        <v>18.989999999999998</v>
      </c>
      <c r="D825">
        <v>32.92</v>
      </c>
      <c r="E825" t="s">
        <v>52</v>
      </c>
      <c r="F825" t="s">
        <v>1728</v>
      </c>
      <c r="G825" t="s">
        <v>21</v>
      </c>
      <c r="H825">
        <v>0</v>
      </c>
      <c r="I825" t="s">
        <v>41</v>
      </c>
      <c r="J825" t="s">
        <v>42</v>
      </c>
      <c r="K825">
        <v>6</v>
      </c>
      <c r="O825">
        <f t="shared" si="14"/>
        <v>37.979999999999997</v>
      </c>
    </row>
    <row r="826" spans="1:15" x14ac:dyDescent="0.35">
      <c r="A826" t="s">
        <v>1131</v>
      </c>
      <c r="B826">
        <v>1</v>
      </c>
      <c r="C826">
        <v>21.99</v>
      </c>
      <c r="D826">
        <v>21.99</v>
      </c>
      <c r="E826" t="s">
        <v>1007</v>
      </c>
      <c r="F826" t="s">
        <v>1717</v>
      </c>
      <c r="G826" t="s">
        <v>21</v>
      </c>
      <c r="H826">
        <v>0</v>
      </c>
      <c r="I826" t="s">
        <v>41</v>
      </c>
      <c r="J826" t="s">
        <v>13</v>
      </c>
      <c r="K826">
        <v>7</v>
      </c>
      <c r="O826">
        <f t="shared" si="14"/>
        <v>21.99</v>
      </c>
    </row>
    <row r="827" spans="1:15" x14ac:dyDescent="0.35">
      <c r="A827" t="s">
        <v>1132</v>
      </c>
      <c r="B827">
        <v>1</v>
      </c>
      <c r="C827">
        <v>18.989999999999998</v>
      </c>
      <c r="D827">
        <v>18.989999999999998</v>
      </c>
      <c r="E827" t="s">
        <v>632</v>
      </c>
      <c r="F827" t="s">
        <v>1718</v>
      </c>
      <c r="G827" t="s">
        <v>11</v>
      </c>
      <c r="H827">
        <v>15</v>
      </c>
      <c r="I827" t="s">
        <v>12</v>
      </c>
      <c r="J827" t="s">
        <v>42</v>
      </c>
      <c r="K827">
        <v>6</v>
      </c>
      <c r="O827">
        <f t="shared" si="14"/>
        <v>21.99</v>
      </c>
    </row>
    <row r="828" spans="1:15" x14ac:dyDescent="0.35">
      <c r="A828" t="s">
        <v>1133</v>
      </c>
      <c r="B828">
        <v>1</v>
      </c>
      <c r="C828">
        <v>16.989999999999998</v>
      </c>
      <c r="D828">
        <v>16.989999999999998</v>
      </c>
      <c r="E828" t="s">
        <v>623</v>
      </c>
      <c r="F828" t="s">
        <v>1719</v>
      </c>
      <c r="G828" t="s">
        <v>11</v>
      </c>
      <c r="H828">
        <v>15</v>
      </c>
      <c r="I828" t="s">
        <v>17</v>
      </c>
      <c r="J828" t="s">
        <v>25</v>
      </c>
      <c r="K828">
        <v>5</v>
      </c>
      <c r="O828">
        <f t="shared" si="14"/>
        <v>21.99</v>
      </c>
    </row>
    <row r="829" spans="1:15" x14ac:dyDescent="0.35">
      <c r="A829" t="s">
        <v>1134</v>
      </c>
      <c r="B829">
        <v>3</v>
      </c>
      <c r="C829">
        <v>16.989999999999998</v>
      </c>
      <c r="D829">
        <v>40.86</v>
      </c>
      <c r="E829" t="s">
        <v>868</v>
      </c>
      <c r="F829" t="s">
        <v>1720</v>
      </c>
      <c r="G829" t="s">
        <v>16</v>
      </c>
      <c r="H829">
        <v>20</v>
      </c>
      <c r="I829" t="s">
        <v>24</v>
      </c>
      <c r="J829" t="s">
        <v>25</v>
      </c>
      <c r="K829">
        <v>5</v>
      </c>
      <c r="O829">
        <f t="shared" si="14"/>
        <v>84.73</v>
      </c>
    </row>
    <row r="830" spans="1:15" x14ac:dyDescent="0.35">
      <c r="A830" t="s">
        <v>1135</v>
      </c>
      <c r="B830">
        <v>1</v>
      </c>
      <c r="C830">
        <v>21.99</v>
      </c>
      <c r="D830">
        <v>21.99</v>
      </c>
      <c r="E830" t="s">
        <v>1030</v>
      </c>
      <c r="F830" t="s">
        <v>1721</v>
      </c>
      <c r="G830" t="s">
        <v>87</v>
      </c>
      <c r="H830">
        <v>0</v>
      </c>
      <c r="I830" t="s">
        <v>12</v>
      </c>
      <c r="J830" t="s">
        <v>13</v>
      </c>
      <c r="K830">
        <v>7</v>
      </c>
      <c r="O830">
        <f t="shared" si="14"/>
        <v>21.99</v>
      </c>
    </row>
    <row r="831" spans="1:15" x14ac:dyDescent="0.35">
      <c r="A831" t="s">
        <v>1136</v>
      </c>
      <c r="B831">
        <v>2</v>
      </c>
      <c r="C831">
        <v>34.99</v>
      </c>
      <c r="D831">
        <v>61.04</v>
      </c>
      <c r="E831" t="s">
        <v>333</v>
      </c>
      <c r="F831" t="s">
        <v>1722</v>
      </c>
      <c r="G831" t="s">
        <v>16</v>
      </c>
      <c r="H831">
        <v>8</v>
      </c>
      <c r="I831" t="s">
        <v>17</v>
      </c>
      <c r="J831" t="s">
        <v>36</v>
      </c>
      <c r="K831">
        <v>12.5</v>
      </c>
      <c r="O831">
        <f t="shared" si="14"/>
        <v>37.979999999999997</v>
      </c>
    </row>
    <row r="832" spans="1:15" x14ac:dyDescent="0.35">
      <c r="A832" t="s">
        <v>1137</v>
      </c>
      <c r="B832">
        <v>1</v>
      </c>
      <c r="C832">
        <v>21.99</v>
      </c>
      <c r="D832">
        <v>21.99</v>
      </c>
      <c r="E832" t="s">
        <v>981</v>
      </c>
      <c r="F832" t="s">
        <v>1723</v>
      </c>
      <c r="G832" t="s">
        <v>16</v>
      </c>
      <c r="H832">
        <v>2</v>
      </c>
      <c r="I832" t="s">
        <v>41</v>
      </c>
      <c r="J832" t="s">
        <v>13</v>
      </c>
      <c r="K832">
        <v>7</v>
      </c>
      <c r="O832">
        <f t="shared" si="14"/>
        <v>21.99</v>
      </c>
    </row>
    <row r="833" spans="1:15" x14ac:dyDescent="0.35">
      <c r="A833" t="s">
        <v>1138</v>
      </c>
      <c r="B833">
        <v>2</v>
      </c>
      <c r="C833">
        <v>18.989999999999998</v>
      </c>
      <c r="D833">
        <v>32.83</v>
      </c>
      <c r="E833" t="s">
        <v>706</v>
      </c>
      <c r="F833" t="s">
        <v>1724</v>
      </c>
      <c r="G833" t="s">
        <v>21</v>
      </c>
      <c r="H833">
        <v>0</v>
      </c>
      <c r="I833" t="s">
        <v>41</v>
      </c>
      <c r="J833" t="s">
        <v>42</v>
      </c>
      <c r="K833">
        <v>6</v>
      </c>
      <c r="O833">
        <f t="shared" si="14"/>
        <v>37.979999999999997</v>
      </c>
    </row>
    <row r="834" spans="1:15" x14ac:dyDescent="0.35">
      <c r="A834" t="s">
        <v>1139</v>
      </c>
      <c r="B834">
        <v>1</v>
      </c>
      <c r="C834">
        <v>27.99</v>
      </c>
      <c r="D834">
        <v>27.99</v>
      </c>
      <c r="E834" t="s">
        <v>455</v>
      </c>
      <c r="F834" t="s">
        <v>1725</v>
      </c>
      <c r="G834" t="s">
        <v>87</v>
      </c>
      <c r="H834">
        <v>0</v>
      </c>
      <c r="I834" t="s">
        <v>12</v>
      </c>
      <c r="J834" t="s">
        <v>31</v>
      </c>
      <c r="K834">
        <v>9</v>
      </c>
      <c r="O834">
        <f t="shared" ref="O834:O897" si="15">VLOOKUP(B:B,B:H,3,FALSE)</f>
        <v>21.99</v>
      </c>
    </row>
    <row r="835" spans="1:15" x14ac:dyDescent="0.35">
      <c r="A835" t="s">
        <v>1140</v>
      </c>
      <c r="B835">
        <v>3</v>
      </c>
      <c r="C835">
        <v>18.989999999999998</v>
      </c>
      <c r="D835">
        <v>45.36</v>
      </c>
      <c r="E835" t="s">
        <v>1141</v>
      </c>
      <c r="F835" t="s">
        <v>1726</v>
      </c>
      <c r="G835" t="s">
        <v>11</v>
      </c>
      <c r="H835">
        <v>15</v>
      </c>
      <c r="I835" t="s">
        <v>12</v>
      </c>
      <c r="J835" t="s">
        <v>42</v>
      </c>
      <c r="K835">
        <v>6</v>
      </c>
      <c r="O835">
        <f t="shared" si="15"/>
        <v>84.73</v>
      </c>
    </row>
    <row r="836" spans="1:15" x14ac:dyDescent="0.35">
      <c r="A836" t="s">
        <v>1142</v>
      </c>
      <c r="B836">
        <v>1</v>
      </c>
      <c r="C836">
        <v>16.989999999999998</v>
      </c>
      <c r="D836">
        <v>16.989999999999998</v>
      </c>
      <c r="E836" t="s">
        <v>893</v>
      </c>
      <c r="F836" t="s">
        <v>1727</v>
      </c>
      <c r="G836" t="s">
        <v>11</v>
      </c>
      <c r="H836">
        <v>19</v>
      </c>
      <c r="I836" t="s">
        <v>12</v>
      </c>
      <c r="J836" t="s">
        <v>25</v>
      </c>
      <c r="K836">
        <v>5</v>
      </c>
      <c r="O836">
        <f t="shared" si="15"/>
        <v>21.99</v>
      </c>
    </row>
    <row r="837" spans="1:15" x14ac:dyDescent="0.35">
      <c r="A837" t="s">
        <v>1143</v>
      </c>
      <c r="B837">
        <v>2</v>
      </c>
      <c r="C837">
        <v>27.99</v>
      </c>
      <c r="D837">
        <v>48.13</v>
      </c>
      <c r="E837" t="s">
        <v>941</v>
      </c>
      <c r="F837" t="s">
        <v>1728</v>
      </c>
      <c r="G837" t="s">
        <v>87</v>
      </c>
      <c r="H837">
        <v>0</v>
      </c>
      <c r="I837" t="s">
        <v>12</v>
      </c>
      <c r="J837" t="s">
        <v>31</v>
      </c>
      <c r="K837">
        <v>9</v>
      </c>
      <c r="O837">
        <f t="shared" si="15"/>
        <v>37.979999999999997</v>
      </c>
    </row>
    <row r="838" spans="1:15" x14ac:dyDescent="0.35">
      <c r="A838" t="s">
        <v>1144</v>
      </c>
      <c r="B838">
        <v>1</v>
      </c>
      <c r="C838">
        <v>30.99</v>
      </c>
      <c r="D838">
        <v>30.99</v>
      </c>
      <c r="E838" t="s">
        <v>79</v>
      </c>
      <c r="F838" t="s">
        <v>1717</v>
      </c>
      <c r="G838" t="s">
        <v>16</v>
      </c>
      <c r="H838">
        <v>3</v>
      </c>
      <c r="I838" t="s">
        <v>41</v>
      </c>
      <c r="J838" t="s">
        <v>18</v>
      </c>
      <c r="K838">
        <v>10.5</v>
      </c>
      <c r="O838">
        <f t="shared" si="15"/>
        <v>21.99</v>
      </c>
    </row>
    <row r="839" spans="1:15" x14ac:dyDescent="0.35">
      <c r="A839" t="s">
        <v>1145</v>
      </c>
      <c r="B839">
        <v>1</v>
      </c>
      <c r="C839">
        <v>16.989999999999998</v>
      </c>
      <c r="D839">
        <v>16.989999999999998</v>
      </c>
      <c r="E839" t="s">
        <v>589</v>
      </c>
      <c r="F839" t="s">
        <v>1718</v>
      </c>
      <c r="G839" t="s">
        <v>16</v>
      </c>
      <c r="H839">
        <v>20</v>
      </c>
      <c r="I839" t="s">
        <v>41</v>
      </c>
      <c r="J839" t="s">
        <v>25</v>
      </c>
      <c r="K839">
        <v>5</v>
      </c>
      <c r="O839">
        <f t="shared" si="15"/>
        <v>21.99</v>
      </c>
    </row>
    <row r="840" spans="1:15" x14ac:dyDescent="0.35">
      <c r="A840" t="s">
        <v>1146</v>
      </c>
      <c r="B840">
        <v>1</v>
      </c>
      <c r="C840">
        <v>18.989999999999998</v>
      </c>
      <c r="D840">
        <v>18.989999999999998</v>
      </c>
      <c r="E840" t="s">
        <v>919</v>
      </c>
      <c r="F840" t="s">
        <v>1719</v>
      </c>
      <c r="G840" t="s">
        <v>28</v>
      </c>
      <c r="H840">
        <v>0</v>
      </c>
      <c r="I840" t="s">
        <v>17</v>
      </c>
      <c r="J840" t="s">
        <v>42</v>
      </c>
      <c r="K840">
        <v>6</v>
      </c>
      <c r="O840">
        <f t="shared" si="15"/>
        <v>21.99</v>
      </c>
    </row>
    <row r="841" spans="1:15" x14ac:dyDescent="0.35">
      <c r="A841" t="s">
        <v>1147</v>
      </c>
      <c r="B841">
        <v>1</v>
      </c>
      <c r="C841">
        <v>34.99</v>
      </c>
      <c r="D841">
        <v>34.99</v>
      </c>
      <c r="E841" t="s">
        <v>467</v>
      </c>
      <c r="F841" t="s">
        <v>1720</v>
      </c>
      <c r="G841" t="s">
        <v>21</v>
      </c>
      <c r="H841">
        <v>0</v>
      </c>
      <c r="I841" t="s">
        <v>12</v>
      </c>
      <c r="J841" t="s">
        <v>36</v>
      </c>
      <c r="K841">
        <v>12.5</v>
      </c>
      <c r="O841">
        <f t="shared" si="15"/>
        <v>21.99</v>
      </c>
    </row>
    <row r="842" spans="1:15" x14ac:dyDescent="0.35">
      <c r="A842" t="s">
        <v>1148</v>
      </c>
      <c r="B842">
        <v>3</v>
      </c>
      <c r="C842">
        <v>21.99</v>
      </c>
      <c r="D842">
        <v>52.26</v>
      </c>
      <c r="E842" t="s">
        <v>1084</v>
      </c>
      <c r="F842" t="s">
        <v>1721</v>
      </c>
      <c r="G842" t="s">
        <v>16</v>
      </c>
      <c r="H842">
        <v>2</v>
      </c>
      <c r="I842" t="s">
        <v>12</v>
      </c>
      <c r="J842" t="s">
        <v>13</v>
      </c>
      <c r="K842">
        <v>7</v>
      </c>
      <c r="O842">
        <f t="shared" si="15"/>
        <v>84.73</v>
      </c>
    </row>
    <row r="843" spans="1:15" x14ac:dyDescent="0.35">
      <c r="A843" t="s">
        <v>1149</v>
      </c>
      <c r="B843">
        <v>1</v>
      </c>
      <c r="C843">
        <v>21.99</v>
      </c>
      <c r="D843">
        <v>21.99</v>
      </c>
      <c r="E843" t="s">
        <v>118</v>
      </c>
      <c r="F843" t="s">
        <v>1722</v>
      </c>
      <c r="G843" t="s">
        <v>16</v>
      </c>
      <c r="H843">
        <v>3</v>
      </c>
      <c r="I843" t="s">
        <v>12</v>
      </c>
      <c r="J843" t="s">
        <v>13</v>
      </c>
      <c r="K843">
        <v>7</v>
      </c>
      <c r="O843">
        <f t="shared" si="15"/>
        <v>21.99</v>
      </c>
    </row>
    <row r="844" spans="1:15" x14ac:dyDescent="0.35">
      <c r="A844" t="s">
        <v>1150</v>
      </c>
      <c r="B844">
        <v>3</v>
      </c>
      <c r="C844">
        <v>27.99</v>
      </c>
      <c r="D844">
        <v>67.010000000000005</v>
      </c>
      <c r="E844" t="s">
        <v>634</v>
      </c>
      <c r="F844" t="s">
        <v>1723</v>
      </c>
      <c r="G844" t="s">
        <v>11</v>
      </c>
      <c r="H844">
        <v>3</v>
      </c>
      <c r="I844" t="s">
        <v>41</v>
      </c>
      <c r="J844" t="s">
        <v>31</v>
      </c>
      <c r="K844">
        <v>9</v>
      </c>
      <c r="O844">
        <f t="shared" si="15"/>
        <v>84.73</v>
      </c>
    </row>
    <row r="845" spans="1:15" x14ac:dyDescent="0.35">
      <c r="A845" t="s">
        <v>1151</v>
      </c>
      <c r="B845">
        <v>2</v>
      </c>
      <c r="C845">
        <v>34.99</v>
      </c>
      <c r="D845">
        <v>60.34</v>
      </c>
      <c r="E845" t="s">
        <v>1152</v>
      </c>
      <c r="F845" t="s">
        <v>1724</v>
      </c>
      <c r="G845" t="s">
        <v>16</v>
      </c>
      <c r="H845">
        <v>6</v>
      </c>
      <c r="I845" t="s">
        <v>24</v>
      </c>
      <c r="J845" t="s">
        <v>36</v>
      </c>
      <c r="K845">
        <v>12.5</v>
      </c>
      <c r="O845">
        <f t="shared" si="15"/>
        <v>37.979999999999997</v>
      </c>
    </row>
    <row r="846" spans="1:15" x14ac:dyDescent="0.35">
      <c r="A846" t="s">
        <v>1153</v>
      </c>
      <c r="B846">
        <v>1</v>
      </c>
      <c r="C846">
        <v>16.989999999999998</v>
      </c>
      <c r="D846">
        <v>16.989999999999998</v>
      </c>
      <c r="E846" t="s">
        <v>1154</v>
      </c>
      <c r="F846" t="s">
        <v>1725</v>
      </c>
      <c r="G846" t="s">
        <v>21</v>
      </c>
      <c r="H846">
        <v>0</v>
      </c>
      <c r="I846" t="s">
        <v>17</v>
      </c>
      <c r="J846" t="s">
        <v>25</v>
      </c>
      <c r="K846">
        <v>5</v>
      </c>
      <c r="O846">
        <f t="shared" si="15"/>
        <v>21.99</v>
      </c>
    </row>
    <row r="847" spans="1:15" x14ac:dyDescent="0.35">
      <c r="A847" t="s">
        <v>1155</v>
      </c>
      <c r="B847">
        <v>3</v>
      </c>
      <c r="C847">
        <v>18.989999999999998</v>
      </c>
      <c r="D847">
        <v>44.92</v>
      </c>
      <c r="E847" t="s">
        <v>1156</v>
      </c>
      <c r="F847" t="s">
        <v>1726</v>
      </c>
      <c r="G847" t="s">
        <v>16</v>
      </c>
      <c r="H847">
        <v>15</v>
      </c>
      <c r="I847" t="s">
        <v>24</v>
      </c>
      <c r="J847" t="s">
        <v>42</v>
      </c>
      <c r="K847">
        <v>6</v>
      </c>
      <c r="O847">
        <f t="shared" si="15"/>
        <v>84.73</v>
      </c>
    </row>
    <row r="848" spans="1:15" x14ac:dyDescent="0.35">
      <c r="A848" t="s">
        <v>1157</v>
      </c>
      <c r="B848">
        <v>2</v>
      </c>
      <c r="C848">
        <v>34.99</v>
      </c>
      <c r="D848">
        <v>61.11</v>
      </c>
      <c r="E848" t="s">
        <v>169</v>
      </c>
      <c r="F848" t="s">
        <v>1727</v>
      </c>
      <c r="G848" t="s">
        <v>16</v>
      </c>
      <c r="H848">
        <v>12</v>
      </c>
      <c r="I848" t="s">
        <v>41</v>
      </c>
      <c r="J848" t="s">
        <v>36</v>
      </c>
      <c r="K848">
        <v>12.5</v>
      </c>
      <c r="O848">
        <f t="shared" si="15"/>
        <v>37.979999999999997</v>
      </c>
    </row>
    <row r="849" spans="1:15" x14ac:dyDescent="0.35">
      <c r="A849" t="s">
        <v>1158</v>
      </c>
      <c r="B849">
        <v>1</v>
      </c>
      <c r="C849">
        <v>34.99</v>
      </c>
      <c r="D849">
        <v>34.99</v>
      </c>
      <c r="E849" t="s">
        <v>1022</v>
      </c>
      <c r="F849" t="s">
        <v>1728</v>
      </c>
      <c r="G849" t="s">
        <v>16</v>
      </c>
      <c r="H849">
        <v>6</v>
      </c>
      <c r="I849" t="s">
        <v>41</v>
      </c>
      <c r="J849" t="s">
        <v>36</v>
      </c>
      <c r="K849">
        <v>12.5</v>
      </c>
      <c r="O849">
        <f t="shared" si="15"/>
        <v>21.99</v>
      </c>
    </row>
    <row r="850" spans="1:15" x14ac:dyDescent="0.35">
      <c r="A850" t="s">
        <v>1159</v>
      </c>
      <c r="B850">
        <v>1</v>
      </c>
      <c r="C850">
        <v>21.99</v>
      </c>
      <c r="D850">
        <v>21.99</v>
      </c>
      <c r="E850" t="s">
        <v>164</v>
      </c>
      <c r="F850" t="s">
        <v>1717</v>
      </c>
      <c r="G850" t="s">
        <v>16</v>
      </c>
      <c r="H850">
        <v>3</v>
      </c>
      <c r="I850" t="s">
        <v>12</v>
      </c>
      <c r="J850" t="s">
        <v>13</v>
      </c>
      <c r="K850">
        <v>7</v>
      </c>
      <c r="O850">
        <f t="shared" si="15"/>
        <v>21.99</v>
      </c>
    </row>
    <row r="851" spans="1:15" x14ac:dyDescent="0.35">
      <c r="A851" t="s">
        <v>1160</v>
      </c>
      <c r="B851">
        <v>1</v>
      </c>
      <c r="C851">
        <v>34.99</v>
      </c>
      <c r="D851">
        <v>34.99</v>
      </c>
      <c r="E851" t="s">
        <v>102</v>
      </c>
      <c r="F851" t="s">
        <v>1718</v>
      </c>
      <c r="G851" t="s">
        <v>28</v>
      </c>
      <c r="H851">
        <v>0</v>
      </c>
      <c r="I851" t="s">
        <v>17</v>
      </c>
      <c r="J851" t="s">
        <v>36</v>
      </c>
      <c r="K851">
        <v>12.5</v>
      </c>
      <c r="O851">
        <f t="shared" si="15"/>
        <v>21.99</v>
      </c>
    </row>
    <row r="852" spans="1:15" x14ac:dyDescent="0.35">
      <c r="A852" t="s">
        <v>1161</v>
      </c>
      <c r="B852">
        <v>3</v>
      </c>
      <c r="C852">
        <v>21.99</v>
      </c>
      <c r="D852">
        <v>52.63</v>
      </c>
      <c r="E852" t="s">
        <v>921</v>
      </c>
      <c r="F852" t="s">
        <v>1719</v>
      </c>
      <c r="G852" t="s">
        <v>16</v>
      </c>
      <c r="H852">
        <v>8</v>
      </c>
      <c r="I852" t="s">
        <v>17</v>
      </c>
      <c r="J852" t="s">
        <v>13</v>
      </c>
      <c r="K852">
        <v>7</v>
      </c>
      <c r="O852">
        <f t="shared" si="15"/>
        <v>84.73</v>
      </c>
    </row>
    <row r="853" spans="1:15" x14ac:dyDescent="0.35">
      <c r="A853" t="s">
        <v>1162</v>
      </c>
      <c r="B853">
        <v>1</v>
      </c>
      <c r="C853">
        <v>21.99</v>
      </c>
      <c r="D853">
        <v>21.99</v>
      </c>
      <c r="E853" t="s">
        <v>504</v>
      </c>
      <c r="F853" t="s">
        <v>1720</v>
      </c>
      <c r="G853" t="s">
        <v>16</v>
      </c>
      <c r="H853">
        <v>3</v>
      </c>
      <c r="I853" t="s">
        <v>41</v>
      </c>
      <c r="J853" t="s">
        <v>13</v>
      </c>
      <c r="K853">
        <v>7</v>
      </c>
      <c r="O853">
        <f t="shared" si="15"/>
        <v>21.99</v>
      </c>
    </row>
    <row r="854" spans="1:15" x14ac:dyDescent="0.35">
      <c r="A854" t="s">
        <v>1163</v>
      </c>
      <c r="B854">
        <v>1</v>
      </c>
      <c r="C854">
        <v>34.99</v>
      </c>
      <c r="D854">
        <v>34.99</v>
      </c>
      <c r="E854" t="s">
        <v>443</v>
      </c>
      <c r="F854" t="s">
        <v>1721</v>
      </c>
      <c r="G854" t="s">
        <v>16</v>
      </c>
      <c r="H854">
        <v>12</v>
      </c>
      <c r="I854" t="s">
        <v>41</v>
      </c>
      <c r="J854" t="s">
        <v>36</v>
      </c>
      <c r="K854">
        <v>12.5</v>
      </c>
      <c r="O854">
        <f t="shared" si="15"/>
        <v>21.99</v>
      </c>
    </row>
    <row r="855" spans="1:15" x14ac:dyDescent="0.35">
      <c r="A855" t="s">
        <v>1164</v>
      </c>
      <c r="B855">
        <v>1</v>
      </c>
      <c r="C855">
        <v>18.989999999999998</v>
      </c>
      <c r="D855">
        <v>18.989999999999998</v>
      </c>
      <c r="E855" t="s">
        <v>760</v>
      </c>
      <c r="F855" t="s">
        <v>1722</v>
      </c>
      <c r="G855" t="s">
        <v>16</v>
      </c>
      <c r="H855">
        <v>19</v>
      </c>
      <c r="I855" t="s">
        <v>12</v>
      </c>
      <c r="J855" t="s">
        <v>42</v>
      </c>
      <c r="K855">
        <v>6</v>
      </c>
      <c r="O855">
        <f t="shared" si="15"/>
        <v>21.99</v>
      </c>
    </row>
    <row r="856" spans="1:15" x14ac:dyDescent="0.35">
      <c r="A856" t="s">
        <v>1165</v>
      </c>
      <c r="B856">
        <v>1</v>
      </c>
      <c r="C856">
        <v>30.99</v>
      </c>
      <c r="D856">
        <v>30.99</v>
      </c>
      <c r="E856" t="s">
        <v>549</v>
      </c>
      <c r="F856" t="s">
        <v>1723</v>
      </c>
      <c r="G856" t="s">
        <v>21</v>
      </c>
      <c r="H856">
        <v>0</v>
      </c>
      <c r="I856" t="s">
        <v>12</v>
      </c>
      <c r="J856" t="s">
        <v>18</v>
      </c>
      <c r="K856">
        <v>10.5</v>
      </c>
      <c r="O856">
        <f t="shared" si="15"/>
        <v>21.99</v>
      </c>
    </row>
    <row r="857" spans="1:15" x14ac:dyDescent="0.35">
      <c r="A857" t="s">
        <v>1166</v>
      </c>
      <c r="B857">
        <v>3</v>
      </c>
      <c r="C857">
        <v>27.99</v>
      </c>
      <c r="D857">
        <v>65.92</v>
      </c>
      <c r="E857" t="s">
        <v>1167</v>
      </c>
      <c r="F857" t="s">
        <v>1724</v>
      </c>
      <c r="G857" t="s">
        <v>16</v>
      </c>
      <c r="H857">
        <v>2</v>
      </c>
      <c r="I857" t="s">
        <v>17</v>
      </c>
      <c r="J857" t="s">
        <v>31</v>
      </c>
      <c r="K857">
        <v>9</v>
      </c>
      <c r="O857">
        <f t="shared" si="15"/>
        <v>84.73</v>
      </c>
    </row>
    <row r="858" spans="1:15" x14ac:dyDescent="0.35">
      <c r="A858" t="s">
        <v>1168</v>
      </c>
      <c r="B858">
        <v>1</v>
      </c>
      <c r="C858">
        <v>18.989999999999998</v>
      </c>
      <c r="D858">
        <v>18.989999999999998</v>
      </c>
      <c r="E858" t="s">
        <v>1167</v>
      </c>
      <c r="F858" t="s">
        <v>1725</v>
      </c>
      <c r="G858" t="s">
        <v>16</v>
      </c>
      <c r="H858">
        <v>12</v>
      </c>
      <c r="I858" t="s">
        <v>17</v>
      </c>
      <c r="J858" t="s">
        <v>42</v>
      </c>
      <c r="K858">
        <v>6</v>
      </c>
      <c r="O858">
        <f t="shared" si="15"/>
        <v>21.99</v>
      </c>
    </row>
    <row r="859" spans="1:15" x14ac:dyDescent="0.35">
      <c r="A859" t="s">
        <v>1169</v>
      </c>
      <c r="B859">
        <v>1</v>
      </c>
      <c r="C859">
        <v>34.99</v>
      </c>
      <c r="D859">
        <v>34.99</v>
      </c>
      <c r="E859" t="s">
        <v>214</v>
      </c>
      <c r="F859" t="s">
        <v>1726</v>
      </c>
      <c r="G859" t="s">
        <v>21</v>
      </c>
      <c r="H859">
        <v>0</v>
      </c>
      <c r="I859" t="s">
        <v>17</v>
      </c>
      <c r="J859" t="s">
        <v>36</v>
      </c>
      <c r="K859">
        <v>12.5</v>
      </c>
      <c r="O859">
        <f t="shared" si="15"/>
        <v>21.99</v>
      </c>
    </row>
    <row r="860" spans="1:15" x14ac:dyDescent="0.35">
      <c r="A860" t="s">
        <v>1170</v>
      </c>
      <c r="B860">
        <v>1</v>
      </c>
      <c r="C860">
        <v>27.99</v>
      </c>
      <c r="D860">
        <v>27.99</v>
      </c>
      <c r="E860" t="s">
        <v>76</v>
      </c>
      <c r="F860" t="s">
        <v>1727</v>
      </c>
      <c r="G860" t="s">
        <v>28</v>
      </c>
      <c r="H860">
        <v>0</v>
      </c>
      <c r="I860" t="s">
        <v>24</v>
      </c>
      <c r="J860" t="s">
        <v>31</v>
      </c>
      <c r="K860">
        <v>9</v>
      </c>
      <c r="O860">
        <f t="shared" si="15"/>
        <v>21.99</v>
      </c>
    </row>
    <row r="861" spans="1:15" x14ac:dyDescent="0.35">
      <c r="A861" t="s">
        <v>1171</v>
      </c>
      <c r="B861">
        <v>3</v>
      </c>
      <c r="C861">
        <v>30.99</v>
      </c>
      <c r="D861">
        <v>73.27</v>
      </c>
      <c r="E861" t="s">
        <v>1172</v>
      </c>
      <c r="F861" t="s">
        <v>1728</v>
      </c>
      <c r="G861" t="s">
        <v>28</v>
      </c>
      <c r="H861">
        <v>0</v>
      </c>
      <c r="I861" t="s">
        <v>17</v>
      </c>
      <c r="J861" t="s">
        <v>18</v>
      </c>
      <c r="K861">
        <v>10.5</v>
      </c>
      <c r="O861">
        <f t="shared" si="15"/>
        <v>84.73</v>
      </c>
    </row>
    <row r="862" spans="1:15" x14ac:dyDescent="0.35">
      <c r="A862" t="s">
        <v>1173</v>
      </c>
      <c r="B862">
        <v>3</v>
      </c>
      <c r="C862">
        <v>16.989999999999998</v>
      </c>
      <c r="D862">
        <v>41.23</v>
      </c>
      <c r="E862" t="s">
        <v>1022</v>
      </c>
      <c r="F862" t="s">
        <v>1717</v>
      </c>
      <c r="G862" t="s">
        <v>16</v>
      </c>
      <c r="H862">
        <v>19</v>
      </c>
      <c r="I862" t="s">
        <v>41</v>
      </c>
      <c r="J862" t="s">
        <v>25</v>
      </c>
      <c r="K862">
        <v>5</v>
      </c>
      <c r="O862">
        <f t="shared" si="15"/>
        <v>84.73</v>
      </c>
    </row>
    <row r="863" spans="1:15" x14ac:dyDescent="0.35">
      <c r="A863" t="s">
        <v>1174</v>
      </c>
      <c r="B863">
        <v>3</v>
      </c>
      <c r="C863">
        <v>34.99</v>
      </c>
      <c r="D863">
        <v>83.89</v>
      </c>
      <c r="E863" t="s">
        <v>122</v>
      </c>
      <c r="F863" t="s">
        <v>1718</v>
      </c>
      <c r="G863" t="s">
        <v>16</v>
      </c>
      <c r="H863">
        <v>5</v>
      </c>
      <c r="I863" t="s">
        <v>41</v>
      </c>
      <c r="J863" t="s">
        <v>36</v>
      </c>
      <c r="K863">
        <v>12.5</v>
      </c>
      <c r="O863">
        <f t="shared" si="15"/>
        <v>84.73</v>
      </c>
    </row>
    <row r="864" spans="1:15" x14ac:dyDescent="0.35">
      <c r="A864" t="s">
        <v>1175</v>
      </c>
      <c r="B864">
        <v>1</v>
      </c>
      <c r="C864">
        <v>18.989999999999998</v>
      </c>
      <c r="D864">
        <v>18.989999999999998</v>
      </c>
      <c r="E864" t="s">
        <v>1176</v>
      </c>
      <c r="F864" t="s">
        <v>1719</v>
      </c>
      <c r="G864" t="s">
        <v>16</v>
      </c>
      <c r="H864">
        <v>11</v>
      </c>
      <c r="I864" t="s">
        <v>41</v>
      </c>
      <c r="J864" t="s">
        <v>42</v>
      </c>
      <c r="K864">
        <v>6</v>
      </c>
      <c r="O864">
        <f t="shared" si="15"/>
        <v>21.99</v>
      </c>
    </row>
    <row r="865" spans="1:15" x14ac:dyDescent="0.35">
      <c r="A865" t="s">
        <v>1177</v>
      </c>
      <c r="B865">
        <v>1</v>
      </c>
      <c r="C865">
        <v>18.989999999999998</v>
      </c>
      <c r="D865">
        <v>18.989999999999998</v>
      </c>
      <c r="E865" t="s">
        <v>1084</v>
      </c>
      <c r="F865" t="s">
        <v>1720</v>
      </c>
      <c r="G865" t="s">
        <v>16</v>
      </c>
      <c r="H865">
        <v>14</v>
      </c>
      <c r="I865" t="s">
        <v>17</v>
      </c>
      <c r="J865" t="s">
        <v>42</v>
      </c>
      <c r="K865">
        <v>6</v>
      </c>
      <c r="O865">
        <f t="shared" si="15"/>
        <v>21.99</v>
      </c>
    </row>
    <row r="866" spans="1:15" x14ac:dyDescent="0.35">
      <c r="A866" t="s">
        <v>1178</v>
      </c>
      <c r="B866">
        <v>1</v>
      </c>
      <c r="C866">
        <v>18.989999999999998</v>
      </c>
      <c r="D866">
        <v>18.989999999999998</v>
      </c>
      <c r="E866" t="s">
        <v>1179</v>
      </c>
      <c r="F866" t="s">
        <v>1721</v>
      </c>
      <c r="G866" t="s">
        <v>11</v>
      </c>
      <c r="H866">
        <v>11</v>
      </c>
      <c r="I866" t="s">
        <v>12</v>
      </c>
      <c r="J866" t="s">
        <v>42</v>
      </c>
      <c r="K866">
        <v>6</v>
      </c>
      <c r="O866">
        <f t="shared" si="15"/>
        <v>21.99</v>
      </c>
    </row>
    <row r="867" spans="1:15" x14ac:dyDescent="0.35">
      <c r="A867" t="s">
        <v>1180</v>
      </c>
      <c r="B867">
        <v>1</v>
      </c>
      <c r="C867">
        <v>34.99</v>
      </c>
      <c r="D867">
        <v>34.99</v>
      </c>
      <c r="E867" t="s">
        <v>122</v>
      </c>
      <c r="F867" t="s">
        <v>1722</v>
      </c>
      <c r="G867" t="s">
        <v>21</v>
      </c>
      <c r="H867">
        <v>0</v>
      </c>
      <c r="I867" t="s">
        <v>17</v>
      </c>
      <c r="J867" t="s">
        <v>36</v>
      </c>
      <c r="K867">
        <v>12.5</v>
      </c>
      <c r="O867">
        <f t="shared" si="15"/>
        <v>21.99</v>
      </c>
    </row>
    <row r="868" spans="1:15" x14ac:dyDescent="0.35">
      <c r="A868" t="s">
        <v>1181</v>
      </c>
      <c r="B868">
        <v>2</v>
      </c>
      <c r="C868">
        <v>30.99</v>
      </c>
      <c r="D868">
        <v>54.18</v>
      </c>
      <c r="E868" t="s">
        <v>732</v>
      </c>
      <c r="F868" t="s">
        <v>1723</v>
      </c>
      <c r="G868" t="s">
        <v>16</v>
      </c>
      <c r="H868">
        <v>2</v>
      </c>
      <c r="I868" t="s">
        <v>17</v>
      </c>
      <c r="J868" t="s">
        <v>18</v>
      </c>
      <c r="K868">
        <v>10.5</v>
      </c>
      <c r="O868">
        <f t="shared" si="15"/>
        <v>37.979999999999997</v>
      </c>
    </row>
    <row r="869" spans="1:15" x14ac:dyDescent="0.35">
      <c r="A869" t="s">
        <v>1182</v>
      </c>
      <c r="B869">
        <v>1</v>
      </c>
      <c r="C869">
        <v>30.99</v>
      </c>
      <c r="D869">
        <v>30.99</v>
      </c>
      <c r="E869" t="s">
        <v>701</v>
      </c>
      <c r="F869" t="s">
        <v>1724</v>
      </c>
      <c r="G869" t="s">
        <v>11</v>
      </c>
      <c r="H869">
        <v>3</v>
      </c>
      <c r="I869" t="s">
        <v>12</v>
      </c>
      <c r="J869" t="s">
        <v>18</v>
      </c>
      <c r="K869">
        <v>10.5</v>
      </c>
      <c r="O869">
        <f t="shared" si="15"/>
        <v>21.99</v>
      </c>
    </row>
    <row r="870" spans="1:15" x14ac:dyDescent="0.35">
      <c r="A870" t="s">
        <v>1183</v>
      </c>
      <c r="B870">
        <v>1</v>
      </c>
      <c r="C870">
        <v>34.99</v>
      </c>
      <c r="D870">
        <v>34.99</v>
      </c>
      <c r="E870" t="s">
        <v>865</v>
      </c>
      <c r="F870" t="s">
        <v>1725</v>
      </c>
      <c r="G870" t="s">
        <v>16</v>
      </c>
      <c r="H870">
        <v>8</v>
      </c>
      <c r="I870" t="s">
        <v>24</v>
      </c>
      <c r="J870" t="s">
        <v>36</v>
      </c>
      <c r="K870">
        <v>12.5</v>
      </c>
      <c r="O870">
        <f t="shared" si="15"/>
        <v>21.99</v>
      </c>
    </row>
    <row r="871" spans="1:15" x14ac:dyDescent="0.35">
      <c r="A871" t="s">
        <v>1184</v>
      </c>
      <c r="B871">
        <v>1</v>
      </c>
      <c r="C871">
        <v>34.99</v>
      </c>
      <c r="D871">
        <v>34.99</v>
      </c>
      <c r="E871" t="s">
        <v>1185</v>
      </c>
      <c r="F871" t="s">
        <v>1726</v>
      </c>
      <c r="G871" t="s">
        <v>16</v>
      </c>
      <c r="H871">
        <v>8</v>
      </c>
      <c r="I871" t="s">
        <v>41</v>
      </c>
      <c r="J871" t="s">
        <v>36</v>
      </c>
      <c r="K871">
        <v>12.5</v>
      </c>
      <c r="O871">
        <f t="shared" si="15"/>
        <v>21.99</v>
      </c>
    </row>
    <row r="872" spans="1:15" x14ac:dyDescent="0.35">
      <c r="A872" t="s">
        <v>1186</v>
      </c>
      <c r="B872">
        <v>1</v>
      </c>
      <c r="C872">
        <v>16.989999999999998</v>
      </c>
      <c r="D872">
        <v>16.989999999999998</v>
      </c>
      <c r="E872" t="s">
        <v>511</v>
      </c>
      <c r="F872" t="s">
        <v>1727</v>
      </c>
      <c r="G872" t="s">
        <v>87</v>
      </c>
      <c r="H872">
        <v>0</v>
      </c>
      <c r="I872" t="s">
        <v>17</v>
      </c>
      <c r="J872" t="s">
        <v>25</v>
      </c>
      <c r="K872">
        <v>5</v>
      </c>
      <c r="O872">
        <f t="shared" si="15"/>
        <v>21.99</v>
      </c>
    </row>
    <row r="873" spans="1:15" x14ac:dyDescent="0.35">
      <c r="A873" t="s">
        <v>1187</v>
      </c>
      <c r="B873">
        <v>1</v>
      </c>
      <c r="C873">
        <v>18.989999999999998</v>
      </c>
      <c r="D873">
        <v>18.989999999999998</v>
      </c>
      <c r="E873" t="s">
        <v>921</v>
      </c>
      <c r="F873" t="s">
        <v>1728</v>
      </c>
      <c r="G873" t="s">
        <v>28</v>
      </c>
      <c r="H873">
        <v>0</v>
      </c>
      <c r="I873" t="s">
        <v>17</v>
      </c>
      <c r="J873" t="s">
        <v>42</v>
      </c>
      <c r="K873">
        <v>6</v>
      </c>
      <c r="O873">
        <f t="shared" si="15"/>
        <v>21.99</v>
      </c>
    </row>
    <row r="874" spans="1:15" x14ac:dyDescent="0.35">
      <c r="A874" t="s">
        <v>1188</v>
      </c>
      <c r="B874">
        <v>1</v>
      </c>
      <c r="C874">
        <v>18.989999999999998</v>
      </c>
      <c r="D874">
        <v>18.989999999999998</v>
      </c>
      <c r="E874" t="s">
        <v>814</v>
      </c>
      <c r="F874" t="s">
        <v>1717</v>
      </c>
      <c r="G874" t="s">
        <v>16</v>
      </c>
      <c r="H874">
        <v>15</v>
      </c>
      <c r="I874" t="s">
        <v>17</v>
      </c>
      <c r="J874" t="s">
        <v>42</v>
      </c>
      <c r="K874">
        <v>6</v>
      </c>
      <c r="O874">
        <f t="shared" si="15"/>
        <v>21.99</v>
      </c>
    </row>
    <row r="875" spans="1:15" x14ac:dyDescent="0.35">
      <c r="A875" t="s">
        <v>1189</v>
      </c>
      <c r="B875">
        <v>3</v>
      </c>
      <c r="C875">
        <v>21.99</v>
      </c>
      <c r="D875">
        <v>53.16</v>
      </c>
      <c r="E875" t="s">
        <v>636</v>
      </c>
      <c r="F875" t="s">
        <v>1718</v>
      </c>
      <c r="G875" t="s">
        <v>16</v>
      </c>
      <c r="H875">
        <v>6</v>
      </c>
      <c r="I875" t="s">
        <v>24</v>
      </c>
      <c r="J875" t="s">
        <v>13</v>
      </c>
      <c r="K875">
        <v>7</v>
      </c>
      <c r="O875">
        <f t="shared" si="15"/>
        <v>84.73</v>
      </c>
    </row>
    <row r="876" spans="1:15" x14ac:dyDescent="0.35">
      <c r="A876" t="s">
        <v>1190</v>
      </c>
      <c r="B876">
        <v>3</v>
      </c>
      <c r="C876">
        <v>18.989999999999998</v>
      </c>
      <c r="D876">
        <v>45.8</v>
      </c>
      <c r="E876" t="s">
        <v>84</v>
      </c>
      <c r="F876" t="s">
        <v>1719</v>
      </c>
      <c r="G876" t="s">
        <v>16</v>
      </c>
      <c r="H876">
        <v>20</v>
      </c>
      <c r="I876" t="s">
        <v>12</v>
      </c>
      <c r="J876" t="s">
        <v>42</v>
      </c>
      <c r="K876">
        <v>6</v>
      </c>
      <c r="O876">
        <f t="shared" si="15"/>
        <v>84.73</v>
      </c>
    </row>
    <row r="877" spans="1:15" x14ac:dyDescent="0.35">
      <c r="A877" t="s">
        <v>1191</v>
      </c>
      <c r="B877">
        <v>1</v>
      </c>
      <c r="C877">
        <v>18.989999999999998</v>
      </c>
      <c r="D877">
        <v>18.989999999999998</v>
      </c>
      <c r="E877" t="s">
        <v>162</v>
      </c>
      <c r="F877" t="s">
        <v>1720</v>
      </c>
      <c r="G877" t="s">
        <v>16</v>
      </c>
      <c r="H877">
        <v>15</v>
      </c>
      <c r="I877" t="s">
        <v>17</v>
      </c>
      <c r="J877" t="s">
        <v>42</v>
      </c>
      <c r="K877">
        <v>6</v>
      </c>
      <c r="O877">
        <f t="shared" si="15"/>
        <v>21.99</v>
      </c>
    </row>
    <row r="878" spans="1:15" x14ac:dyDescent="0.35">
      <c r="A878" t="s">
        <v>1192</v>
      </c>
      <c r="B878">
        <v>1</v>
      </c>
      <c r="C878">
        <v>16.989999999999998</v>
      </c>
      <c r="D878">
        <v>16.989999999999998</v>
      </c>
      <c r="E878" t="s">
        <v>1193</v>
      </c>
      <c r="F878" t="s">
        <v>1721</v>
      </c>
      <c r="G878" t="s">
        <v>11</v>
      </c>
      <c r="H878">
        <v>16</v>
      </c>
      <c r="I878" t="s">
        <v>24</v>
      </c>
      <c r="J878" t="s">
        <v>25</v>
      </c>
      <c r="K878">
        <v>5</v>
      </c>
      <c r="O878">
        <f t="shared" si="15"/>
        <v>21.99</v>
      </c>
    </row>
    <row r="879" spans="1:15" x14ac:dyDescent="0.35">
      <c r="A879" t="s">
        <v>1194</v>
      </c>
      <c r="B879">
        <v>1</v>
      </c>
      <c r="C879">
        <v>18.989999999999998</v>
      </c>
      <c r="D879">
        <v>18.989999999999998</v>
      </c>
      <c r="E879" t="s">
        <v>108</v>
      </c>
      <c r="F879" t="s">
        <v>1722</v>
      </c>
      <c r="G879" t="s">
        <v>28</v>
      </c>
      <c r="H879">
        <v>0</v>
      </c>
      <c r="I879" t="s">
        <v>24</v>
      </c>
      <c r="J879" t="s">
        <v>42</v>
      </c>
      <c r="K879">
        <v>6</v>
      </c>
      <c r="O879">
        <f t="shared" si="15"/>
        <v>21.99</v>
      </c>
    </row>
    <row r="880" spans="1:15" x14ac:dyDescent="0.35">
      <c r="A880" t="s">
        <v>1195</v>
      </c>
      <c r="B880">
        <v>1</v>
      </c>
      <c r="C880">
        <v>34.99</v>
      </c>
      <c r="D880">
        <v>34.99</v>
      </c>
      <c r="E880" t="s">
        <v>1196</v>
      </c>
      <c r="F880" t="s">
        <v>1723</v>
      </c>
      <c r="G880" t="s">
        <v>16</v>
      </c>
      <c r="H880">
        <v>8</v>
      </c>
      <c r="I880" t="s">
        <v>17</v>
      </c>
      <c r="J880" t="s">
        <v>36</v>
      </c>
      <c r="K880">
        <v>12.5</v>
      </c>
      <c r="O880">
        <f t="shared" si="15"/>
        <v>21.99</v>
      </c>
    </row>
    <row r="881" spans="1:15" x14ac:dyDescent="0.35">
      <c r="A881" t="s">
        <v>1197</v>
      </c>
      <c r="B881">
        <v>1</v>
      </c>
      <c r="C881">
        <v>30.99</v>
      </c>
      <c r="D881">
        <v>30.99</v>
      </c>
      <c r="E881" t="s">
        <v>110</v>
      </c>
      <c r="F881" t="s">
        <v>1724</v>
      </c>
      <c r="G881" t="s">
        <v>21</v>
      </c>
      <c r="H881">
        <v>0</v>
      </c>
      <c r="I881" t="s">
        <v>12</v>
      </c>
      <c r="J881" t="s">
        <v>18</v>
      </c>
      <c r="K881">
        <v>10.5</v>
      </c>
      <c r="O881">
        <f t="shared" si="15"/>
        <v>21.99</v>
      </c>
    </row>
    <row r="882" spans="1:15" x14ac:dyDescent="0.35">
      <c r="A882" t="s">
        <v>1198</v>
      </c>
      <c r="B882">
        <v>1</v>
      </c>
      <c r="C882">
        <v>16.989999999999998</v>
      </c>
      <c r="D882">
        <v>16.989999999999998</v>
      </c>
      <c r="E882" t="s">
        <v>527</v>
      </c>
      <c r="F882" t="s">
        <v>1725</v>
      </c>
      <c r="G882" t="s">
        <v>16</v>
      </c>
      <c r="H882">
        <v>17</v>
      </c>
      <c r="I882" t="s">
        <v>12</v>
      </c>
      <c r="J882" t="s">
        <v>25</v>
      </c>
      <c r="K882">
        <v>5</v>
      </c>
      <c r="O882">
        <f t="shared" si="15"/>
        <v>21.99</v>
      </c>
    </row>
    <row r="883" spans="1:15" x14ac:dyDescent="0.35">
      <c r="A883" t="s">
        <v>1199</v>
      </c>
      <c r="B883">
        <v>2</v>
      </c>
      <c r="C883">
        <v>16.989999999999998</v>
      </c>
      <c r="D883">
        <v>29.71</v>
      </c>
      <c r="E883" t="s">
        <v>541</v>
      </c>
      <c r="F883" t="s">
        <v>1726</v>
      </c>
      <c r="G883" t="s">
        <v>16</v>
      </c>
      <c r="H883">
        <v>17</v>
      </c>
      <c r="I883" t="s">
        <v>17</v>
      </c>
      <c r="J883" t="s">
        <v>25</v>
      </c>
      <c r="K883">
        <v>5</v>
      </c>
      <c r="O883">
        <f t="shared" si="15"/>
        <v>37.979999999999997</v>
      </c>
    </row>
    <row r="884" spans="1:15" x14ac:dyDescent="0.35">
      <c r="A884" t="s">
        <v>1200</v>
      </c>
      <c r="B884">
        <v>1</v>
      </c>
      <c r="C884">
        <v>30.99</v>
      </c>
      <c r="D884">
        <v>30.99</v>
      </c>
      <c r="E884" t="s">
        <v>108</v>
      </c>
      <c r="F884" t="s">
        <v>1727</v>
      </c>
      <c r="G884" t="s">
        <v>21</v>
      </c>
      <c r="H884">
        <v>0</v>
      </c>
      <c r="I884" t="s">
        <v>41</v>
      </c>
      <c r="J884" t="s">
        <v>18</v>
      </c>
      <c r="K884">
        <v>10.5</v>
      </c>
      <c r="O884">
        <f t="shared" si="15"/>
        <v>21.99</v>
      </c>
    </row>
    <row r="885" spans="1:15" x14ac:dyDescent="0.35">
      <c r="A885" t="s">
        <v>1201</v>
      </c>
      <c r="B885">
        <v>1</v>
      </c>
      <c r="C885">
        <v>30.99</v>
      </c>
      <c r="D885">
        <v>30.99</v>
      </c>
      <c r="E885" t="s">
        <v>470</v>
      </c>
      <c r="F885" t="s">
        <v>1728</v>
      </c>
      <c r="G885" t="s">
        <v>16</v>
      </c>
      <c r="H885">
        <v>2</v>
      </c>
      <c r="I885" t="s">
        <v>41</v>
      </c>
      <c r="J885" t="s">
        <v>18</v>
      </c>
      <c r="K885">
        <v>10.5</v>
      </c>
      <c r="O885">
        <f t="shared" si="15"/>
        <v>21.99</v>
      </c>
    </row>
    <row r="886" spans="1:15" x14ac:dyDescent="0.35">
      <c r="A886" t="s">
        <v>1202</v>
      </c>
      <c r="B886">
        <v>1</v>
      </c>
      <c r="C886">
        <v>21.99</v>
      </c>
      <c r="D886">
        <v>21.99</v>
      </c>
      <c r="E886" t="s">
        <v>903</v>
      </c>
      <c r="F886" t="s">
        <v>1717</v>
      </c>
      <c r="G886" t="s">
        <v>16</v>
      </c>
      <c r="H886">
        <v>3</v>
      </c>
      <c r="I886" t="s">
        <v>12</v>
      </c>
      <c r="J886" t="s">
        <v>13</v>
      </c>
      <c r="K886">
        <v>7</v>
      </c>
      <c r="O886">
        <f t="shared" si="15"/>
        <v>21.99</v>
      </c>
    </row>
    <row r="887" spans="1:15" x14ac:dyDescent="0.35">
      <c r="A887" t="s">
        <v>1203</v>
      </c>
      <c r="B887">
        <v>1</v>
      </c>
      <c r="C887">
        <v>30.99</v>
      </c>
      <c r="D887">
        <v>30.99</v>
      </c>
      <c r="E887" t="s">
        <v>736</v>
      </c>
      <c r="F887" t="s">
        <v>1718</v>
      </c>
      <c r="G887" t="s">
        <v>16</v>
      </c>
      <c r="H887">
        <v>2</v>
      </c>
      <c r="I887" t="s">
        <v>17</v>
      </c>
      <c r="J887" t="s">
        <v>18</v>
      </c>
      <c r="K887">
        <v>10.5</v>
      </c>
      <c r="O887">
        <f t="shared" si="15"/>
        <v>21.99</v>
      </c>
    </row>
    <row r="888" spans="1:15" x14ac:dyDescent="0.35">
      <c r="A888" t="s">
        <v>1204</v>
      </c>
      <c r="B888">
        <v>1</v>
      </c>
      <c r="C888">
        <v>21.99</v>
      </c>
      <c r="D888">
        <v>21.99</v>
      </c>
      <c r="E888" t="s">
        <v>427</v>
      </c>
      <c r="F888" t="s">
        <v>1719</v>
      </c>
      <c r="G888" t="s">
        <v>16</v>
      </c>
      <c r="H888">
        <v>3</v>
      </c>
      <c r="I888" t="s">
        <v>24</v>
      </c>
      <c r="J888" t="s">
        <v>13</v>
      </c>
      <c r="K888">
        <v>7</v>
      </c>
      <c r="O888">
        <f t="shared" si="15"/>
        <v>21.99</v>
      </c>
    </row>
    <row r="889" spans="1:15" x14ac:dyDescent="0.35">
      <c r="A889" t="s">
        <v>1205</v>
      </c>
      <c r="B889">
        <v>1</v>
      </c>
      <c r="C889">
        <v>34.99</v>
      </c>
      <c r="D889">
        <v>34.99</v>
      </c>
      <c r="E889" t="s">
        <v>465</v>
      </c>
      <c r="F889" t="s">
        <v>1720</v>
      </c>
      <c r="G889" t="s">
        <v>11</v>
      </c>
      <c r="H889">
        <v>5</v>
      </c>
      <c r="I889" t="s">
        <v>17</v>
      </c>
      <c r="J889" t="s">
        <v>36</v>
      </c>
      <c r="K889">
        <v>12.5</v>
      </c>
      <c r="O889">
        <f t="shared" si="15"/>
        <v>21.99</v>
      </c>
    </row>
    <row r="890" spans="1:15" x14ac:dyDescent="0.35">
      <c r="A890" t="s">
        <v>1206</v>
      </c>
      <c r="B890">
        <v>1</v>
      </c>
      <c r="C890">
        <v>21.99</v>
      </c>
      <c r="D890">
        <v>21.99</v>
      </c>
      <c r="E890" t="s">
        <v>527</v>
      </c>
      <c r="F890" t="s">
        <v>1721</v>
      </c>
      <c r="G890" t="s">
        <v>21</v>
      </c>
      <c r="H890">
        <v>0</v>
      </c>
      <c r="I890" t="s">
        <v>12</v>
      </c>
      <c r="J890" t="s">
        <v>13</v>
      </c>
      <c r="K890">
        <v>7</v>
      </c>
      <c r="O890">
        <f t="shared" si="15"/>
        <v>21.99</v>
      </c>
    </row>
    <row r="891" spans="1:15" x14ac:dyDescent="0.35">
      <c r="A891" t="s">
        <v>1207</v>
      </c>
      <c r="B891">
        <v>1</v>
      </c>
      <c r="C891">
        <v>34.99</v>
      </c>
      <c r="D891">
        <v>34.99</v>
      </c>
      <c r="E891" t="s">
        <v>511</v>
      </c>
      <c r="F891" t="s">
        <v>1722</v>
      </c>
      <c r="G891" t="s">
        <v>16</v>
      </c>
      <c r="H891">
        <v>8</v>
      </c>
      <c r="I891" t="s">
        <v>12</v>
      </c>
      <c r="J891" t="s">
        <v>36</v>
      </c>
      <c r="K891">
        <v>12.5</v>
      </c>
      <c r="O891">
        <f t="shared" si="15"/>
        <v>21.99</v>
      </c>
    </row>
    <row r="892" spans="1:15" x14ac:dyDescent="0.35">
      <c r="A892" t="s">
        <v>1208</v>
      </c>
      <c r="B892">
        <v>2</v>
      </c>
      <c r="C892">
        <v>34.99</v>
      </c>
      <c r="D892">
        <v>61.09</v>
      </c>
      <c r="E892" t="s">
        <v>1209</v>
      </c>
      <c r="F892" t="s">
        <v>1723</v>
      </c>
      <c r="G892" t="s">
        <v>16</v>
      </c>
      <c r="H892">
        <v>8</v>
      </c>
      <c r="I892" t="s">
        <v>24</v>
      </c>
      <c r="J892" t="s">
        <v>36</v>
      </c>
      <c r="K892">
        <v>12.5</v>
      </c>
      <c r="O892">
        <f t="shared" si="15"/>
        <v>37.979999999999997</v>
      </c>
    </row>
    <row r="893" spans="1:15" x14ac:dyDescent="0.35">
      <c r="A893" t="s">
        <v>1210</v>
      </c>
      <c r="B893">
        <v>1</v>
      </c>
      <c r="C893">
        <v>21.99</v>
      </c>
      <c r="D893">
        <v>21.99</v>
      </c>
      <c r="E893" t="s">
        <v>86</v>
      </c>
      <c r="F893" t="s">
        <v>1724</v>
      </c>
      <c r="G893" t="s">
        <v>16</v>
      </c>
      <c r="H893">
        <v>3</v>
      </c>
      <c r="I893" t="s">
        <v>41</v>
      </c>
      <c r="J893" t="s">
        <v>13</v>
      </c>
      <c r="K893">
        <v>7</v>
      </c>
      <c r="O893">
        <f t="shared" si="15"/>
        <v>21.99</v>
      </c>
    </row>
    <row r="894" spans="1:15" x14ac:dyDescent="0.35">
      <c r="A894" t="s">
        <v>1211</v>
      </c>
      <c r="B894">
        <v>2</v>
      </c>
      <c r="C894">
        <v>16.989999999999998</v>
      </c>
      <c r="D894">
        <v>29.26</v>
      </c>
      <c r="E894" t="s">
        <v>1084</v>
      </c>
      <c r="F894" t="s">
        <v>1725</v>
      </c>
      <c r="G894" t="s">
        <v>16</v>
      </c>
      <c r="H894">
        <v>19</v>
      </c>
      <c r="I894" t="s">
        <v>41</v>
      </c>
      <c r="J894" t="s">
        <v>25</v>
      </c>
      <c r="K894">
        <v>5</v>
      </c>
      <c r="O894">
        <f t="shared" si="15"/>
        <v>37.979999999999997</v>
      </c>
    </row>
    <row r="895" spans="1:15" x14ac:dyDescent="0.35">
      <c r="A895" t="s">
        <v>1212</v>
      </c>
      <c r="B895">
        <v>1</v>
      </c>
      <c r="C895">
        <v>27.99</v>
      </c>
      <c r="D895">
        <v>27.99</v>
      </c>
      <c r="E895" t="s">
        <v>496</v>
      </c>
      <c r="F895" t="s">
        <v>1726</v>
      </c>
      <c r="G895" t="s">
        <v>16</v>
      </c>
      <c r="H895">
        <v>2</v>
      </c>
      <c r="I895" t="s">
        <v>24</v>
      </c>
      <c r="J895" t="s">
        <v>31</v>
      </c>
      <c r="K895">
        <v>9</v>
      </c>
      <c r="O895">
        <f t="shared" si="15"/>
        <v>21.99</v>
      </c>
    </row>
    <row r="896" spans="1:15" x14ac:dyDescent="0.35">
      <c r="A896" t="s">
        <v>1213</v>
      </c>
      <c r="B896">
        <v>1</v>
      </c>
      <c r="C896">
        <v>30.99</v>
      </c>
      <c r="D896">
        <v>30.99</v>
      </c>
      <c r="E896" t="s">
        <v>110</v>
      </c>
      <c r="F896" t="s">
        <v>1727</v>
      </c>
      <c r="G896" t="s">
        <v>16</v>
      </c>
      <c r="H896">
        <v>2</v>
      </c>
      <c r="I896" t="s">
        <v>17</v>
      </c>
      <c r="J896" t="s">
        <v>18</v>
      </c>
      <c r="K896">
        <v>10.5</v>
      </c>
      <c r="O896">
        <f t="shared" si="15"/>
        <v>21.99</v>
      </c>
    </row>
    <row r="897" spans="1:15" x14ac:dyDescent="0.35">
      <c r="A897" t="s">
        <v>1214</v>
      </c>
      <c r="B897">
        <v>3</v>
      </c>
      <c r="C897">
        <v>27.99</v>
      </c>
      <c r="D897">
        <v>67.02</v>
      </c>
      <c r="E897" t="s">
        <v>27</v>
      </c>
      <c r="F897" t="s">
        <v>1728</v>
      </c>
      <c r="G897" t="s">
        <v>16</v>
      </c>
      <c r="H897">
        <v>3</v>
      </c>
      <c r="I897" t="s">
        <v>17</v>
      </c>
      <c r="J897" t="s">
        <v>31</v>
      </c>
      <c r="K897">
        <v>9</v>
      </c>
      <c r="O897">
        <f t="shared" si="15"/>
        <v>84.73</v>
      </c>
    </row>
    <row r="898" spans="1:15" x14ac:dyDescent="0.35">
      <c r="A898" t="s">
        <v>1215</v>
      </c>
      <c r="B898">
        <v>3</v>
      </c>
      <c r="C898">
        <v>30.99</v>
      </c>
      <c r="D898">
        <v>73.319999999999993</v>
      </c>
      <c r="E898" t="s">
        <v>699</v>
      </c>
      <c r="F898" t="s">
        <v>1717</v>
      </c>
      <c r="G898" t="s">
        <v>87</v>
      </c>
      <c r="H898">
        <v>0</v>
      </c>
      <c r="I898" t="s">
        <v>17</v>
      </c>
      <c r="J898" t="s">
        <v>18</v>
      </c>
      <c r="K898">
        <v>10.5</v>
      </c>
      <c r="O898">
        <f t="shared" ref="O898:O961" si="16">VLOOKUP(B:B,B:H,3,FALSE)</f>
        <v>84.73</v>
      </c>
    </row>
    <row r="899" spans="1:15" x14ac:dyDescent="0.35">
      <c r="A899" t="s">
        <v>1216</v>
      </c>
      <c r="B899">
        <v>1</v>
      </c>
      <c r="C899">
        <v>16.989999999999998</v>
      </c>
      <c r="D899">
        <v>16.989999999999998</v>
      </c>
      <c r="E899" t="s">
        <v>1217</v>
      </c>
      <c r="F899" t="s">
        <v>1718</v>
      </c>
      <c r="G899" t="s">
        <v>16</v>
      </c>
      <c r="H899">
        <v>16</v>
      </c>
      <c r="I899" t="s">
        <v>17</v>
      </c>
      <c r="J899" t="s">
        <v>25</v>
      </c>
      <c r="K899">
        <v>5</v>
      </c>
      <c r="O899">
        <f t="shared" si="16"/>
        <v>21.99</v>
      </c>
    </row>
    <row r="900" spans="1:15" x14ac:dyDescent="0.35">
      <c r="A900" t="s">
        <v>1218</v>
      </c>
      <c r="B900">
        <v>3</v>
      </c>
      <c r="C900">
        <v>27.99</v>
      </c>
      <c r="D900">
        <v>67.39</v>
      </c>
      <c r="E900" t="s">
        <v>82</v>
      </c>
      <c r="F900" t="s">
        <v>1719</v>
      </c>
      <c r="G900" t="s">
        <v>16</v>
      </c>
      <c r="H900">
        <v>2</v>
      </c>
      <c r="I900" t="s">
        <v>41</v>
      </c>
      <c r="J900" t="s">
        <v>31</v>
      </c>
      <c r="K900">
        <v>9</v>
      </c>
      <c r="O900">
        <f t="shared" si="16"/>
        <v>84.73</v>
      </c>
    </row>
    <row r="901" spans="1:15" x14ac:dyDescent="0.35">
      <c r="A901" t="s">
        <v>1219</v>
      </c>
      <c r="B901">
        <v>3</v>
      </c>
      <c r="C901">
        <v>18.989999999999998</v>
      </c>
      <c r="D901">
        <v>45.14</v>
      </c>
      <c r="E901" t="s">
        <v>176</v>
      </c>
      <c r="F901" t="s">
        <v>1720</v>
      </c>
      <c r="G901" t="s">
        <v>16</v>
      </c>
      <c r="H901">
        <v>19</v>
      </c>
      <c r="I901" t="s">
        <v>41</v>
      </c>
      <c r="J901" t="s">
        <v>42</v>
      </c>
      <c r="K901">
        <v>6</v>
      </c>
      <c r="O901">
        <f t="shared" si="16"/>
        <v>84.73</v>
      </c>
    </row>
    <row r="902" spans="1:15" x14ac:dyDescent="0.35">
      <c r="A902" t="s">
        <v>1220</v>
      </c>
      <c r="B902">
        <v>1</v>
      </c>
      <c r="C902">
        <v>30.99</v>
      </c>
      <c r="D902">
        <v>30.99</v>
      </c>
      <c r="E902" t="s">
        <v>681</v>
      </c>
      <c r="F902" t="s">
        <v>1721</v>
      </c>
      <c r="G902" t="s">
        <v>16</v>
      </c>
      <c r="H902">
        <v>3</v>
      </c>
      <c r="I902" t="s">
        <v>17</v>
      </c>
      <c r="J902" t="s">
        <v>18</v>
      </c>
      <c r="K902">
        <v>10.5</v>
      </c>
      <c r="O902">
        <f t="shared" si="16"/>
        <v>21.99</v>
      </c>
    </row>
    <row r="903" spans="1:15" x14ac:dyDescent="0.35">
      <c r="A903" t="s">
        <v>1221</v>
      </c>
      <c r="B903">
        <v>1</v>
      </c>
      <c r="C903">
        <v>34.99</v>
      </c>
      <c r="D903">
        <v>34.99</v>
      </c>
      <c r="E903" t="s">
        <v>541</v>
      </c>
      <c r="F903" t="s">
        <v>1722</v>
      </c>
      <c r="G903" t="s">
        <v>21</v>
      </c>
      <c r="H903">
        <v>0</v>
      </c>
      <c r="I903" t="s">
        <v>41</v>
      </c>
      <c r="J903" t="s">
        <v>36</v>
      </c>
      <c r="K903">
        <v>12.5</v>
      </c>
      <c r="O903">
        <f t="shared" si="16"/>
        <v>21.99</v>
      </c>
    </row>
    <row r="904" spans="1:15" x14ac:dyDescent="0.35">
      <c r="A904" t="s">
        <v>1222</v>
      </c>
      <c r="B904">
        <v>3</v>
      </c>
      <c r="C904">
        <v>34.99</v>
      </c>
      <c r="D904">
        <v>83.76</v>
      </c>
      <c r="E904" t="s">
        <v>547</v>
      </c>
      <c r="F904" t="s">
        <v>1723</v>
      </c>
      <c r="G904" t="s">
        <v>16</v>
      </c>
      <c r="H904">
        <v>8</v>
      </c>
      <c r="I904" t="s">
        <v>12</v>
      </c>
      <c r="J904" t="s">
        <v>36</v>
      </c>
      <c r="K904">
        <v>12.5</v>
      </c>
      <c r="O904">
        <f t="shared" si="16"/>
        <v>84.73</v>
      </c>
    </row>
    <row r="905" spans="1:15" x14ac:dyDescent="0.35">
      <c r="A905" t="s">
        <v>1223</v>
      </c>
      <c r="B905">
        <v>2</v>
      </c>
      <c r="C905">
        <v>27.99</v>
      </c>
      <c r="D905">
        <v>48.78</v>
      </c>
      <c r="E905" t="s">
        <v>76</v>
      </c>
      <c r="F905" t="s">
        <v>1724</v>
      </c>
      <c r="G905" t="s">
        <v>16</v>
      </c>
      <c r="H905">
        <v>2</v>
      </c>
      <c r="I905" t="s">
        <v>41</v>
      </c>
      <c r="J905" t="s">
        <v>31</v>
      </c>
      <c r="K905">
        <v>9</v>
      </c>
      <c r="O905">
        <f t="shared" si="16"/>
        <v>37.979999999999997</v>
      </c>
    </row>
    <row r="906" spans="1:15" x14ac:dyDescent="0.35">
      <c r="A906" t="s">
        <v>1224</v>
      </c>
      <c r="B906">
        <v>1</v>
      </c>
      <c r="C906">
        <v>30.99</v>
      </c>
      <c r="D906">
        <v>30.99</v>
      </c>
      <c r="E906" t="s">
        <v>627</v>
      </c>
      <c r="F906" t="s">
        <v>1725</v>
      </c>
      <c r="G906" t="s">
        <v>16</v>
      </c>
      <c r="H906">
        <v>6</v>
      </c>
      <c r="I906" t="s">
        <v>41</v>
      </c>
      <c r="J906" t="s">
        <v>18</v>
      </c>
      <c r="K906">
        <v>10.5</v>
      </c>
      <c r="O906">
        <f t="shared" si="16"/>
        <v>21.99</v>
      </c>
    </row>
    <row r="907" spans="1:15" x14ac:dyDescent="0.35">
      <c r="A907" t="s">
        <v>1225</v>
      </c>
      <c r="B907">
        <v>1</v>
      </c>
      <c r="C907">
        <v>27.99</v>
      </c>
      <c r="D907">
        <v>27.99</v>
      </c>
      <c r="E907" t="s">
        <v>134</v>
      </c>
      <c r="F907" t="s">
        <v>1726</v>
      </c>
      <c r="G907" t="s">
        <v>16</v>
      </c>
      <c r="H907">
        <v>6</v>
      </c>
      <c r="I907" t="s">
        <v>24</v>
      </c>
      <c r="J907" t="s">
        <v>31</v>
      </c>
      <c r="K907">
        <v>9</v>
      </c>
      <c r="O907">
        <f t="shared" si="16"/>
        <v>21.99</v>
      </c>
    </row>
    <row r="908" spans="1:15" x14ac:dyDescent="0.35">
      <c r="A908" t="s">
        <v>1226</v>
      </c>
      <c r="B908">
        <v>3</v>
      </c>
      <c r="C908">
        <v>27.99</v>
      </c>
      <c r="D908">
        <v>65.98</v>
      </c>
      <c r="E908" s="6">
        <v>46259</v>
      </c>
      <c r="F908" t="s">
        <v>1727</v>
      </c>
      <c r="G908" t="s">
        <v>21</v>
      </c>
      <c r="H908">
        <v>0</v>
      </c>
      <c r="I908" t="s">
        <v>17</v>
      </c>
      <c r="J908" t="s">
        <v>31</v>
      </c>
      <c r="K908">
        <v>9</v>
      </c>
      <c r="O908">
        <f t="shared" si="16"/>
        <v>84.73</v>
      </c>
    </row>
    <row r="909" spans="1:15" x14ac:dyDescent="0.35">
      <c r="A909" t="s">
        <v>1227</v>
      </c>
      <c r="B909">
        <v>1</v>
      </c>
      <c r="C909">
        <v>27.99</v>
      </c>
      <c r="D909">
        <v>27.99</v>
      </c>
      <c r="E909" s="6">
        <v>46162</v>
      </c>
      <c r="F909" t="s">
        <v>1728</v>
      </c>
      <c r="G909" t="s">
        <v>28</v>
      </c>
      <c r="H909">
        <v>0</v>
      </c>
      <c r="I909" t="s">
        <v>17</v>
      </c>
      <c r="J909" t="s">
        <v>31</v>
      </c>
      <c r="K909">
        <v>9</v>
      </c>
      <c r="O909">
        <f t="shared" si="16"/>
        <v>21.99</v>
      </c>
    </row>
    <row r="910" spans="1:15" x14ac:dyDescent="0.35">
      <c r="A910" t="s">
        <v>1228</v>
      </c>
      <c r="B910">
        <v>1</v>
      </c>
      <c r="C910">
        <v>21.99</v>
      </c>
      <c r="D910">
        <v>21.99</v>
      </c>
      <c r="E910" t="s">
        <v>1125</v>
      </c>
      <c r="F910" t="s">
        <v>1717</v>
      </c>
      <c r="G910" t="s">
        <v>16</v>
      </c>
      <c r="H910">
        <v>3</v>
      </c>
      <c r="I910" t="s">
        <v>17</v>
      </c>
      <c r="J910" t="s">
        <v>13</v>
      </c>
      <c r="K910">
        <v>7</v>
      </c>
      <c r="O910">
        <f t="shared" si="16"/>
        <v>21.99</v>
      </c>
    </row>
    <row r="911" spans="1:15" x14ac:dyDescent="0.35">
      <c r="A911" t="s">
        <v>1229</v>
      </c>
      <c r="B911">
        <v>1</v>
      </c>
      <c r="C911">
        <v>34.99</v>
      </c>
      <c r="D911">
        <v>34.99</v>
      </c>
      <c r="E911" t="s">
        <v>1230</v>
      </c>
      <c r="F911" t="s">
        <v>1718</v>
      </c>
      <c r="G911" t="s">
        <v>16</v>
      </c>
      <c r="H911">
        <v>6</v>
      </c>
      <c r="I911" t="s">
        <v>17</v>
      </c>
      <c r="J911" t="s">
        <v>36</v>
      </c>
      <c r="K911">
        <v>12.5</v>
      </c>
      <c r="O911">
        <f t="shared" si="16"/>
        <v>21.99</v>
      </c>
    </row>
    <row r="912" spans="1:15" x14ac:dyDescent="0.35">
      <c r="A912" t="s">
        <v>1231</v>
      </c>
      <c r="B912">
        <v>2</v>
      </c>
      <c r="C912">
        <v>18.989999999999998</v>
      </c>
      <c r="D912">
        <v>32.76</v>
      </c>
      <c r="E912" t="s">
        <v>1232</v>
      </c>
      <c r="F912" t="s">
        <v>1719</v>
      </c>
      <c r="G912" t="s">
        <v>11</v>
      </c>
      <c r="H912">
        <v>15</v>
      </c>
      <c r="I912" t="s">
        <v>41</v>
      </c>
      <c r="J912" t="s">
        <v>42</v>
      </c>
      <c r="K912">
        <v>6</v>
      </c>
      <c r="O912">
        <f t="shared" si="16"/>
        <v>37.979999999999997</v>
      </c>
    </row>
    <row r="913" spans="1:15" x14ac:dyDescent="0.35">
      <c r="A913" t="s">
        <v>1233</v>
      </c>
      <c r="B913">
        <v>3</v>
      </c>
      <c r="C913">
        <v>34.99</v>
      </c>
      <c r="D913">
        <v>83.85</v>
      </c>
      <c r="E913" t="s">
        <v>240</v>
      </c>
      <c r="F913" t="s">
        <v>1720</v>
      </c>
      <c r="G913" t="s">
        <v>16</v>
      </c>
      <c r="H913">
        <v>5</v>
      </c>
      <c r="I913" t="s">
        <v>41</v>
      </c>
      <c r="J913" t="s">
        <v>36</v>
      </c>
      <c r="K913">
        <v>12.5</v>
      </c>
      <c r="O913">
        <f t="shared" si="16"/>
        <v>84.73</v>
      </c>
    </row>
    <row r="914" spans="1:15" x14ac:dyDescent="0.35">
      <c r="A914" t="s">
        <v>1234</v>
      </c>
      <c r="B914">
        <v>2</v>
      </c>
      <c r="C914">
        <v>30.99</v>
      </c>
      <c r="D914">
        <v>53.47</v>
      </c>
      <c r="E914" t="s">
        <v>903</v>
      </c>
      <c r="F914" t="s">
        <v>1721</v>
      </c>
      <c r="G914" t="s">
        <v>16</v>
      </c>
      <c r="H914">
        <v>2</v>
      </c>
      <c r="I914" t="s">
        <v>24</v>
      </c>
      <c r="J914" t="s">
        <v>18</v>
      </c>
      <c r="K914">
        <v>10.5</v>
      </c>
      <c r="O914">
        <f t="shared" si="16"/>
        <v>37.979999999999997</v>
      </c>
    </row>
    <row r="915" spans="1:15" x14ac:dyDescent="0.35">
      <c r="A915" t="s">
        <v>1235</v>
      </c>
      <c r="B915">
        <v>1</v>
      </c>
      <c r="C915">
        <v>27.99</v>
      </c>
      <c r="D915">
        <v>27.99</v>
      </c>
      <c r="E915" t="s">
        <v>23</v>
      </c>
      <c r="F915" t="s">
        <v>1722</v>
      </c>
      <c r="G915" t="s">
        <v>21</v>
      </c>
      <c r="H915">
        <v>0</v>
      </c>
      <c r="I915" t="s">
        <v>24</v>
      </c>
      <c r="J915" t="s">
        <v>31</v>
      </c>
      <c r="K915">
        <v>9</v>
      </c>
      <c r="O915">
        <f t="shared" si="16"/>
        <v>21.99</v>
      </c>
    </row>
    <row r="916" spans="1:15" x14ac:dyDescent="0.35">
      <c r="A916" t="s">
        <v>1236</v>
      </c>
      <c r="B916">
        <v>1</v>
      </c>
      <c r="C916">
        <v>27.99</v>
      </c>
      <c r="D916">
        <v>27.99</v>
      </c>
      <c r="E916" t="s">
        <v>575</v>
      </c>
      <c r="F916" t="s">
        <v>1723</v>
      </c>
      <c r="G916" t="s">
        <v>21</v>
      </c>
      <c r="H916">
        <v>0</v>
      </c>
      <c r="I916" t="s">
        <v>17</v>
      </c>
      <c r="J916" t="s">
        <v>31</v>
      </c>
      <c r="K916">
        <v>9</v>
      </c>
      <c r="O916">
        <f t="shared" si="16"/>
        <v>21.99</v>
      </c>
    </row>
    <row r="917" spans="1:15" x14ac:dyDescent="0.35">
      <c r="A917" t="s">
        <v>1237</v>
      </c>
      <c r="B917">
        <v>3</v>
      </c>
      <c r="C917">
        <v>27.99</v>
      </c>
      <c r="D917">
        <v>66.14</v>
      </c>
      <c r="E917" t="s">
        <v>1238</v>
      </c>
      <c r="F917" t="s">
        <v>1724</v>
      </c>
      <c r="G917" t="s">
        <v>16</v>
      </c>
      <c r="H917">
        <v>2</v>
      </c>
      <c r="I917" t="s">
        <v>41</v>
      </c>
      <c r="J917" t="s">
        <v>31</v>
      </c>
      <c r="K917">
        <v>9</v>
      </c>
      <c r="O917">
        <f t="shared" si="16"/>
        <v>84.73</v>
      </c>
    </row>
    <row r="918" spans="1:15" x14ac:dyDescent="0.35">
      <c r="A918" t="s">
        <v>1239</v>
      </c>
      <c r="B918">
        <v>1</v>
      </c>
      <c r="C918">
        <v>27.99</v>
      </c>
      <c r="D918">
        <v>27.99</v>
      </c>
      <c r="E918" t="s">
        <v>575</v>
      </c>
      <c r="F918" t="s">
        <v>1725</v>
      </c>
      <c r="G918" t="s">
        <v>16</v>
      </c>
      <c r="H918">
        <v>2</v>
      </c>
      <c r="I918" t="s">
        <v>24</v>
      </c>
      <c r="J918" t="s">
        <v>31</v>
      </c>
      <c r="K918">
        <v>9</v>
      </c>
      <c r="O918">
        <f t="shared" si="16"/>
        <v>21.99</v>
      </c>
    </row>
    <row r="919" spans="1:15" x14ac:dyDescent="0.35">
      <c r="A919" t="s">
        <v>1240</v>
      </c>
      <c r="B919">
        <v>1</v>
      </c>
      <c r="C919">
        <v>21.99</v>
      </c>
      <c r="D919">
        <v>21.99</v>
      </c>
      <c r="E919" t="s">
        <v>64</v>
      </c>
      <c r="F919" t="s">
        <v>1726</v>
      </c>
      <c r="G919" t="s">
        <v>16</v>
      </c>
      <c r="H919">
        <v>2</v>
      </c>
      <c r="I919" t="s">
        <v>12</v>
      </c>
      <c r="J919" t="s">
        <v>13</v>
      </c>
      <c r="K919">
        <v>7</v>
      </c>
      <c r="O919">
        <f t="shared" si="16"/>
        <v>21.99</v>
      </c>
    </row>
    <row r="920" spans="1:15" x14ac:dyDescent="0.35">
      <c r="A920" t="s">
        <v>1241</v>
      </c>
      <c r="B920">
        <v>1</v>
      </c>
      <c r="C920">
        <v>30.99</v>
      </c>
      <c r="D920">
        <v>30.99</v>
      </c>
      <c r="E920" t="s">
        <v>1114</v>
      </c>
      <c r="F920" t="s">
        <v>1727</v>
      </c>
      <c r="G920" t="s">
        <v>16</v>
      </c>
      <c r="H920">
        <v>3</v>
      </c>
      <c r="I920" t="s">
        <v>41</v>
      </c>
      <c r="J920" t="s">
        <v>18</v>
      </c>
      <c r="K920">
        <v>10.5</v>
      </c>
      <c r="O920">
        <f t="shared" si="16"/>
        <v>21.99</v>
      </c>
    </row>
    <row r="921" spans="1:15" x14ac:dyDescent="0.35">
      <c r="A921" t="s">
        <v>1242</v>
      </c>
      <c r="B921">
        <v>1</v>
      </c>
      <c r="C921">
        <v>16.989999999999998</v>
      </c>
      <c r="D921">
        <v>16.989999999999998</v>
      </c>
      <c r="E921" t="s">
        <v>38</v>
      </c>
      <c r="F921" t="s">
        <v>1728</v>
      </c>
      <c r="G921" t="s">
        <v>16</v>
      </c>
      <c r="H921">
        <v>20</v>
      </c>
      <c r="I921" t="s">
        <v>12</v>
      </c>
      <c r="J921" t="s">
        <v>25</v>
      </c>
      <c r="K921">
        <v>5</v>
      </c>
      <c r="O921">
        <f t="shared" si="16"/>
        <v>21.99</v>
      </c>
    </row>
    <row r="922" spans="1:15" x14ac:dyDescent="0.35">
      <c r="A922" t="s">
        <v>1243</v>
      </c>
      <c r="B922">
        <v>1</v>
      </c>
      <c r="C922">
        <v>30.99</v>
      </c>
      <c r="D922">
        <v>30.99</v>
      </c>
      <c r="E922" t="s">
        <v>1244</v>
      </c>
      <c r="F922" t="s">
        <v>1717</v>
      </c>
      <c r="G922" t="s">
        <v>16</v>
      </c>
      <c r="H922">
        <v>3</v>
      </c>
      <c r="I922" t="s">
        <v>12</v>
      </c>
      <c r="J922" t="s">
        <v>18</v>
      </c>
      <c r="K922">
        <v>10.5</v>
      </c>
      <c r="O922">
        <f t="shared" si="16"/>
        <v>21.99</v>
      </c>
    </row>
    <row r="923" spans="1:15" x14ac:dyDescent="0.35">
      <c r="A923" t="s">
        <v>1245</v>
      </c>
      <c r="B923">
        <v>1</v>
      </c>
      <c r="C923">
        <v>18.989999999999998</v>
      </c>
      <c r="D923">
        <v>18.989999999999998</v>
      </c>
      <c r="E923" s="6">
        <v>46140</v>
      </c>
      <c r="F923" t="s">
        <v>1718</v>
      </c>
      <c r="G923" t="s">
        <v>16</v>
      </c>
      <c r="H923">
        <v>14</v>
      </c>
      <c r="I923" t="s">
        <v>41</v>
      </c>
      <c r="J923" t="s">
        <v>42</v>
      </c>
      <c r="K923">
        <v>6</v>
      </c>
      <c r="O923">
        <f t="shared" si="16"/>
        <v>21.99</v>
      </c>
    </row>
    <row r="924" spans="1:15" x14ac:dyDescent="0.35">
      <c r="A924" t="s">
        <v>1246</v>
      </c>
      <c r="B924">
        <v>1</v>
      </c>
      <c r="C924">
        <v>34.99</v>
      </c>
      <c r="D924">
        <v>34.99</v>
      </c>
      <c r="E924" t="s">
        <v>86</v>
      </c>
      <c r="F924" t="s">
        <v>1719</v>
      </c>
      <c r="G924" t="s">
        <v>16</v>
      </c>
      <c r="H924">
        <v>8</v>
      </c>
      <c r="I924" t="s">
        <v>24</v>
      </c>
      <c r="J924" t="s">
        <v>36</v>
      </c>
      <c r="K924">
        <v>12.5</v>
      </c>
      <c r="O924">
        <f t="shared" si="16"/>
        <v>21.99</v>
      </c>
    </row>
    <row r="925" spans="1:15" x14ac:dyDescent="0.35">
      <c r="A925" t="s">
        <v>1247</v>
      </c>
      <c r="B925">
        <v>1</v>
      </c>
      <c r="C925">
        <v>34.99</v>
      </c>
      <c r="D925">
        <v>34.99</v>
      </c>
      <c r="E925" t="s">
        <v>655</v>
      </c>
      <c r="F925" t="s">
        <v>1720</v>
      </c>
      <c r="G925" t="s">
        <v>87</v>
      </c>
      <c r="H925">
        <v>0</v>
      </c>
      <c r="I925" t="s">
        <v>17</v>
      </c>
      <c r="J925" t="s">
        <v>36</v>
      </c>
      <c r="K925">
        <v>12.5</v>
      </c>
      <c r="O925">
        <f t="shared" si="16"/>
        <v>21.99</v>
      </c>
    </row>
    <row r="926" spans="1:15" x14ac:dyDescent="0.35">
      <c r="A926" t="s">
        <v>1248</v>
      </c>
      <c r="B926">
        <v>2</v>
      </c>
      <c r="C926">
        <v>16.989999999999998</v>
      </c>
      <c r="D926">
        <v>29.3</v>
      </c>
      <c r="E926" t="s">
        <v>1249</v>
      </c>
      <c r="F926" t="s">
        <v>1721</v>
      </c>
      <c r="G926" t="s">
        <v>16</v>
      </c>
      <c r="H926">
        <v>16</v>
      </c>
      <c r="I926" t="s">
        <v>41</v>
      </c>
      <c r="J926" t="s">
        <v>25</v>
      </c>
      <c r="K926">
        <v>5</v>
      </c>
      <c r="O926">
        <f t="shared" si="16"/>
        <v>37.979999999999997</v>
      </c>
    </row>
    <row r="927" spans="1:15" x14ac:dyDescent="0.35">
      <c r="A927" t="s">
        <v>1250</v>
      </c>
      <c r="B927">
        <v>3</v>
      </c>
      <c r="C927">
        <v>16.989999999999998</v>
      </c>
      <c r="D927">
        <v>40.96</v>
      </c>
      <c r="E927" t="s">
        <v>449</v>
      </c>
      <c r="F927" t="s">
        <v>1722</v>
      </c>
      <c r="G927" t="s">
        <v>16</v>
      </c>
      <c r="H927">
        <v>17</v>
      </c>
      <c r="I927" t="s">
        <v>17</v>
      </c>
      <c r="J927" t="s">
        <v>25</v>
      </c>
      <c r="K927">
        <v>5</v>
      </c>
      <c r="O927">
        <f t="shared" si="16"/>
        <v>84.73</v>
      </c>
    </row>
    <row r="928" spans="1:15" x14ac:dyDescent="0.35">
      <c r="A928" t="s">
        <v>1251</v>
      </c>
      <c r="B928">
        <v>3</v>
      </c>
      <c r="C928">
        <v>27.99</v>
      </c>
      <c r="D928">
        <v>66.09</v>
      </c>
      <c r="E928" t="s">
        <v>522</v>
      </c>
      <c r="F928" t="s">
        <v>1723</v>
      </c>
      <c r="G928" t="s">
        <v>16</v>
      </c>
      <c r="H928">
        <v>3</v>
      </c>
      <c r="I928" t="s">
        <v>12</v>
      </c>
      <c r="J928" t="s">
        <v>31</v>
      </c>
      <c r="K928">
        <v>9</v>
      </c>
      <c r="O928">
        <f t="shared" si="16"/>
        <v>84.73</v>
      </c>
    </row>
    <row r="929" spans="1:15" x14ac:dyDescent="0.35">
      <c r="A929" t="s">
        <v>1252</v>
      </c>
      <c r="B929">
        <v>1</v>
      </c>
      <c r="C929">
        <v>27.99</v>
      </c>
      <c r="D929">
        <v>27.99</v>
      </c>
      <c r="E929" t="s">
        <v>320</v>
      </c>
      <c r="F929" t="s">
        <v>1724</v>
      </c>
      <c r="G929" t="s">
        <v>16</v>
      </c>
      <c r="H929">
        <v>3</v>
      </c>
      <c r="I929" t="s">
        <v>17</v>
      </c>
      <c r="J929" t="s">
        <v>31</v>
      </c>
      <c r="K929">
        <v>9</v>
      </c>
      <c r="O929">
        <f t="shared" si="16"/>
        <v>21.99</v>
      </c>
    </row>
    <row r="930" spans="1:15" x14ac:dyDescent="0.35">
      <c r="A930" t="s">
        <v>1253</v>
      </c>
      <c r="B930">
        <v>1</v>
      </c>
      <c r="C930">
        <v>21.99</v>
      </c>
      <c r="D930">
        <v>21.99</v>
      </c>
      <c r="E930" t="s">
        <v>577</v>
      </c>
      <c r="F930" t="s">
        <v>1725</v>
      </c>
      <c r="G930" t="s">
        <v>16</v>
      </c>
      <c r="H930">
        <v>3</v>
      </c>
      <c r="I930" t="s">
        <v>17</v>
      </c>
      <c r="J930" t="s">
        <v>13</v>
      </c>
      <c r="K930">
        <v>7</v>
      </c>
      <c r="O930">
        <f t="shared" si="16"/>
        <v>21.99</v>
      </c>
    </row>
    <row r="931" spans="1:15" x14ac:dyDescent="0.35">
      <c r="A931" t="s">
        <v>1254</v>
      </c>
      <c r="B931">
        <v>3</v>
      </c>
      <c r="C931">
        <v>16.989999999999998</v>
      </c>
      <c r="D931">
        <v>40.92</v>
      </c>
      <c r="E931" t="s">
        <v>539</v>
      </c>
      <c r="F931" t="s">
        <v>1726</v>
      </c>
      <c r="G931" t="s">
        <v>11</v>
      </c>
      <c r="H931">
        <v>18</v>
      </c>
      <c r="I931" t="s">
        <v>24</v>
      </c>
      <c r="J931" t="s">
        <v>25</v>
      </c>
      <c r="K931">
        <v>5</v>
      </c>
      <c r="O931">
        <f t="shared" si="16"/>
        <v>84.73</v>
      </c>
    </row>
    <row r="932" spans="1:15" x14ac:dyDescent="0.35">
      <c r="A932" t="s">
        <v>1255</v>
      </c>
      <c r="B932">
        <v>1</v>
      </c>
      <c r="C932">
        <v>30.99</v>
      </c>
      <c r="D932">
        <v>30.99</v>
      </c>
      <c r="E932" t="s">
        <v>905</v>
      </c>
      <c r="F932" t="s">
        <v>1727</v>
      </c>
      <c r="G932" t="s">
        <v>16</v>
      </c>
      <c r="H932">
        <v>2</v>
      </c>
      <c r="I932" t="s">
        <v>24</v>
      </c>
      <c r="J932" t="s">
        <v>18</v>
      </c>
      <c r="K932">
        <v>10.5</v>
      </c>
      <c r="O932">
        <f t="shared" si="16"/>
        <v>21.99</v>
      </c>
    </row>
    <row r="933" spans="1:15" x14ac:dyDescent="0.35">
      <c r="A933" t="s">
        <v>1256</v>
      </c>
      <c r="B933">
        <v>3</v>
      </c>
      <c r="C933">
        <v>18.989999999999998</v>
      </c>
      <c r="D933">
        <v>45.8</v>
      </c>
      <c r="E933" t="s">
        <v>264</v>
      </c>
      <c r="F933" t="s">
        <v>1728</v>
      </c>
      <c r="G933" t="s">
        <v>16</v>
      </c>
      <c r="H933">
        <v>14</v>
      </c>
      <c r="I933" t="s">
        <v>41</v>
      </c>
      <c r="J933" t="s">
        <v>42</v>
      </c>
      <c r="K933">
        <v>6</v>
      </c>
      <c r="O933">
        <f t="shared" si="16"/>
        <v>84.73</v>
      </c>
    </row>
    <row r="934" spans="1:15" x14ac:dyDescent="0.35">
      <c r="A934" t="s">
        <v>1257</v>
      </c>
      <c r="B934">
        <v>1</v>
      </c>
      <c r="C934">
        <v>16.989999999999998</v>
      </c>
      <c r="D934">
        <v>16.989999999999998</v>
      </c>
      <c r="E934" t="s">
        <v>1112</v>
      </c>
      <c r="F934" t="s">
        <v>1717</v>
      </c>
      <c r="G934" t="s">
        <v>16</v>
      </c>
      <c r="H934">
        <v>20</v>
      </c>
      <c r="I934" t="s">
        <v>12</v>
      </c>
      <c r="J934" t="s">
        <v>25</v>
      </c>
      <c r="K934">
        <v>5</v>
      </c>
      <c r="O934">
        <f t="shared" si="16"/>
        <v>21.99</v>
      </c>
    </row>
    <row r="935" spans="1:15" x14ac:dyDescent="0.35">
      <c r="A935" t="s">
        <v>1258</v>
      </c>
      <c r="B935">
        <v>1</v>
      </c>
      <c r="C935">
        <v>27.99</v>
      </c>
      <c r="D935">
        <v>27.99</v>
      </c>
      <c r="E935" t="s">
        <v>732</v>
      </c>
      <c r="F935" t="s">
        <v>1718</v>
      </c>
      <c r="G935" t="s">
        <v>16</v>
      </c>
      <c r="H935">
        <v>3</v>
      </c>
      <c r="I935" t="s">
        <v>12</v>
      </c>
      <c r="J935" t="s">
        <v>31</v>
      </c>
      <c r="K935">
        <v>9</v>
      </c>
      <c r="O935">
        <f t="shared" si="16"/>
        <v>21.99</v>
      </c>
    </row>
    <row r="936" spans="1:15" x14ac:dyDescent="0.35">
      <c r="A936" t="s">
        <v>1259</v>
      </c>
      <c r="B936">
        <v>1</v>
      </c>
      <c r="C936">
        <v>34.99</v>
      </c>
      <c r="D936">
        <v>34.99</v>
      </c>
      <c r="E936" t="s">
        <v>1260</v>
      </c>
      <c r="F936" t="s">
        <v>1719</v>
      </c>
      <c r="G936" t="s">
        <v>21</v>
      </c>
      <c r="H936">
        <v>0</v>
      </c>
      <c r="I936" t="s">
        <v>24</v>
      </c>
      <c r="J936" t="s">
        <v>36</v>
      </c>
      <c r="K936">
        <v>12.5</v>
      </c>
      <c r="O936">
        <f t="shared" si="16"/>
        <v>21.99</v>
      </c>
    </row>
    <row r="937" spans="1:15" x14ac:dyDescent="0.35">
      <c r="A937" t="s">
        <v>1261</v>
      </c>
      <c r="B937">
        <v>1</v>
      </c>
      <c r="C937">
        <v>21.99</v>
      </c>
      <c r="D937">
        <v>21.99</v>
      </c>
      <c r="E937" s="6">
        <v>46112</v>
      </c>
      <c r="F937" t="s">
        <v>1720</v>
      </c>
      <c r="G937" t="s">
        <v>16</v>
      </c>
      <c r="H937">
        <v>2</v>
      </c>
      <c r="I937" t="s">
        <v>12</v>
      </c>
      <c r="J937" t="s">
        <v>13</v>
      </c>
      <c r="K937">
        <v>7</v>
      </c>
      <c r="O937">
        <f t="shared" si="16"/>
        <v>21.99</v>
      </c>
    </row>
    <row r="938" spans="1:15" x14ac:dyDescent="0.35">
      <c r="A938" t="s">
        <v>1262</v>
      </c>
      <c r="B938">
        <v>3</v>
      </c>
      <c r="C938">
        <v>16.989999999999998</v>
      </c>
      <c r="D938">
        <v>40.619999999999997</v>
      </c>
      <c r="E938" t="s">
        <v>664</v>
      </c>
      <c r="F938" t="s">
        <v>1721</v>
      </c>
      <c r="G938" t="s">
        <v>16</v>
      </c>
      <c r="H938">
        <v>19</v>
      </c>
      <c r="I938" t="s">
        <v>12</v>
      </c>
      <c r="J938" t="s">
        <v>25</v>
      </c>
      <c r="K938">
        <v>5</v>
      </c>
      <c r="O938">
        <f t="shared" si="16"/>
        <v>84.73</v>
      </c>
    </row>
    <row r="939" spans="1:15" x14ac:dyDescent="0.35">
      <c r="A939" t="s">
        <v>1263</v>
      </c>
      <c r="B939">
        <v>1</v>
      </c>
      <c r="C939">
        <v>16.989999999999998</v>
      </c>
      <c r="D939">
        <v>16.989999999999998</v>
      </c>
      <c r="E939" t="s">
        <v>118</v>
      </c>
      <c r="F939" t="s">
        <v>1722</v>
      </c>
      <c r="G939" t="s">
        <v>16</v>
      </c>
      <c r="H939">
        <v>18</v>
      </c>
      <c r="I939" t="s">
        <v>17</v>
      </c>
      <c r="J939" t="s">
        <v>25</v>
      </c>
      <c r="K939">
        <v>5</v>
      </c>
      <c r="O939">
        <f t="shared" si="16"/>
        <v>21.99</v>
      </c>
    </row>
    <row r="940" spans="1:15" x14ac:dyDescent="0.35">
      <c r="A940" t="s">
        <v>1264</v>
      </c>
      <c r="B940">
        <v>1</v>
      </c>
      <c r="C940">
        <v>18.989999999999998</v>
      </c>
      <c r="D940">
        <v>18.989999999999998</v>
      </c>
      <c r="E940" t="s">
        <v>46</v>
      </c>
      <c r="F940" t="s">
        <v>1723</v>
      </c>
      <c r="G940" t="s">
        <v>16</v>
      </c>
      <c r="H940">
        <v>14</v>
      </c>
      <c r="I940" t="s">
        <v>17</v>
      </c>
      <c r="J940" t="s">
        <v>42</v>
      </c>
      <c r="K940">
        <v>6</v>
      </c>
      <c r="O940">
        <f t="shared" si="16"/>
        <v>21.99</v>
      </c>
    </row>
    <row r="941" spans="1:15" x14ac:dyDescent="0.35">
      <c r="A941" t="s">
        <v>1265</v>
      </c>
      <c r="B941">
        <v>1</v>
      </c>
      <c r="C941">
        <v>16.989999999999998</v>
      </c>
      <c r="D941">
        <v>16.989999999999998</v>
      </c>
      <c r="E941" t="s">
        <v>1232</v>
      </c>
      <c r="F941" t="s">
        <v>1724</v>
      </c>
      <c r="G941" t="s">
        <v>16</v>
      </c>
      <c r="H941">
        <v>19</v>
      </c>
      <c r="I941" t="s">
        <v>12</v>
      </c>
      <c r="J941" t="s">
        <v>25</v>
      </c>
      <c r="K941">
        <v>5</v>
      </c>
      <c r="O941">
        <f t="shared" si="16"/>
        <v>21.99</v>
      </c>
    </row>
    <row r="942" spans="1:15" x14ac:dyDescent="0.35">
      <c r="A942" t="s">
        <v>1266</v>
      </c>
      <c r="B942">
        <v>1</v>
      </c>
      <c r="C942">
        <v>16.989999999999998</v>
      </c>
      <c r="D942">
        <v>16.989999999999998</v>
      </c>
      <c r="E942" t="s">
        <v>132</v>
      </c>
      <c r="F942" t="s">
        <v>1725</v>
      </c>
      <c r="G942" t="s">
        <v>16</v>
      </c>
      <c r="H942">
        <v>15</v>
      </c>
      <c r="I942" t="s">
        <v>12</v>
      </c>
      <c r="J942" t="s">
        <v>25</v>
      </c>
      <c r="K942">
        <v>5</v>
      </c>
      <c r="O942">
        <f t="shared" si="16"/>
        <v>21.99</v>
      </c>
    </row>
    <row r="943" spans="1:15" x14ac:dyDescent="0.35">
      <c r="A943" t="s">
        <v>1267</v>
      </c>
      <c r="B943">
        <v>1</v>
      </c>
      <c r="C943">
        <v>18.989999999999998</v>
      </c>
      <c r="D943">
        <v>18.989999999999998</v>
      </c>
      <c r="E943" t="s">
        <v>1268</v>
      </c>
      <c r="F943" t="s">
        <v>1726</v>
      </c>
      <c r="G943" t="s">
        <v>16</v>
      </c>
      <c r="H943">
        <v>13</v>
      </c>
      <c r="I943" t="s">
        <v>41</v>
      </c>
      <c r="J943" t="s">
        <v>42</v>
      </c>
      <c r="K943">
        <v>6</v>
      </c>
      <c r="O943">
        <f t="shared" si="16"/>
        <v>21.99</v>
      </c>
    </row>
    <row r="944" spans="1:15" x14ac:dyDescent="0.35">
      <c r="A944" t="s">
        <v>1269</v>
      </c>
      <c r="B944">
        <v>2</v>
      </c>
      <c r="C944">
        <v>27.99</v>
      </c>
      <c r="D944">
        <v>48.98</v>
      </c>
      <c r="E944" t="s">
        <v>1116</v>
      </c>
      <c r="F944" t="s">
        <v>1727</v>
      </c>
      <c r="G944" t="s">
        <v>16</v>
      </c>
      <c r="H944">
        <v>5</v>
      </c>
      <c r="I944" t="s">
        <v>17</v>
      </c>
      <c r="J944" t="s">
        <v>31</v>
      </c>
      <c r="K944">
        <v>9</v>
      </c>
      <c r="O944">
        <f t="shared" si="16"/>
        <v>37.979999999999997</v>
      </c>
    </row>
    <row r="945" spans="1:15" x14ac:dyDescent="0.35">
      <c r="A945" t="s">
        <v>1270</v>
      </c>
      <c r="B945">
        <v>1</v>
      </c>
      <c r="C945">
        <v>18.989999999999998</v>
      </c>
      <c r="D945">
        <v>18.989999999999998</v>
      </c>
      <c r="E945" t="s">
        <v>96</v>
      </c>
      <c r="F945" t="s">
        <v>1728</v>
      </c>
      <c r="G945" t="s">
        <v>87</v>
      </c>
      <c r="H945">
        <v>0</v>
      </c>
      <c r="I945" t="s">
        <v>41</v>
      </c>
      <c r="J945" t="s">
        <v>42</v>
      </c>
      <c r="K945">
        <v>6</v>
      </c>
      <c r="O945">
        <f t="shared" si="16"/>
        <v>21.99</v>
      </c>
    </row>
    <row r="946" spans="1:15" x14ac:dyDescent="0.35">
      <c r="A946" t="s">
        <v>1271</v>
      </c>
      <c r="B946">
        <v>1</v>
      </c>
      <c r="C946">
        <v>16.989999999999998</v>
      </c>
      <c r="D946">
        <v>16.989999999999998</v>
      </c>
      <c r="E946" t="s">
        <v>1272</v>
      </c>
      <c r="F946" t="s">
        <v>1717</v>
      </c>
      <c r="G946" t="s">
        <v>21</v>
      </c>
      <c r="H946">
        <v>0</v>
      </c>
      <c r="I946" t="s">
        <v>17</v>
      </c>
      <c r="J946" t="s">
        <v>25</v>
      </c>
      <c r="K946">
        <v>5</v>
      </c>
      <c r="O946">
        <f t="shared" si="16"/>
        <v>21.99</v>
      </c>
    </row>
    <row r="947" spans="1:15" x14ac:dyDescent="0.35">
      <c r="A947" t="s">
        <v>1273</v>
      </c>
      <c r="B947">
        <v>1</v>
      </c>
      <c r="C947">
        <v>16.989999999999998</v>
      </c>
      <c r="D947">
        <v>16.989999999999998</v>
      </c>
      <c r="E947" t="s">
        <v>429</v>
      </c>
      <c r="F947" t="s">
        <v>1718</v>
      </c>
      <c r="G947" t="s">
        <v>11</v>
      </c>
      <c r="H947">
        <v>23</v>
      </c>
      <c r="I947" t="s">
        <v>24</v>
      </c>
      <c r="J947" t="s">
        <v>25</v>
      </c>
      <c r="K947">
        <v>5</v>
      </c>
      <c r="O947">
        <f t="shared" si="16"/>
        <v>21.99</v>
      </c>
    </row>
    <row r="948" spans="1:15" x14ac:dyDescent="0.35">
      <c r="A948" t="s">
        <v>1274</v>
      </c>
      <c r="B948">
        <v>1</v>
      </c>
      <c r="C948">
        <v>30.99</v>
      </c>
      <c r="D948">
        <v>30.99</v>
      </c>
      <c r="E948" t="s">
        <v>500</v>
      </c>
      <c r="F948" t="s">
        <v>1719</v>
      </c>
      <c r="G948" t="s">
        <v>28</v>
      </c>
      <c r="H948">
        <v>0</v>
      </c>
      <c r="I948" t="s">
        <v>17</v>
      </c>
      <c r="J948" t="s">
        <v>18</v>
      </c>
      <c r="K948">
        <v>10.5</v>
      </c>
      <c r="O948">
        <f t="shared" si="16"/>
        <v>21.99</v>
      </c>
    </row>
    <row r="949" spans="1:15" x14ac:dyDescent="0.35">
      <c r="A949" t="s">
        <v>1275</v>
      </c>
      <c r="B949">
        <v>1</v>
      </c>
      <c r="C949">
        <v>18.989999999999998</v>
      </c>
      <c r="D949">
        <v>18.989999999999998</v>
      </c>
      <c r="E949" t="s">
        <v>70</v>
      </c>
      <c r="F949" t="s">
        <v>1720</v>
      </c>
      <c r="G949" t="s">
        <v>21</v>
      </c>
      <c r="H949">
        <v>0</v>
      </c>
      <c r="I949" t="s">
        <v>24</v>
      </c>
      <c r="J949" t="s">
        <v>42</v>
      </c>
      <c r="K949">
        <v>6</v>
      </c>
      <c r="O949">
        <f t="shared" si="16"/>
        <v>21.99</v>
      </c>
    </row>
    <row r="950" spans="1:15" x14ac:dyDescent="0.35">
      <c r="A950" t="s">
        <v>1276</v>
      </c>
      <c r="B950">
        <v>1</v>
      </c>
      <c r="C950">
        <v>34.99</v>
      </c>
      <c r="D950">
        <v>34.99</v>
      </c>
      <c r="E950" t="s">
        <v>1277</v>
      </c>
      <c r="F950" t="s">
        <v>1721</v>
      </c>
      <c r="G950" t="s">
        <v>11</v>
      </c>
      <c r="H950">
        <v>7</v>
      </c>
      <c r="I950" t="s">
        <v>24</v>
      </c>
      <c r="J950" t="s">
        <v>36</v>
      </c>
      <c r="K950">
        <v>12.5</v>
      </c>
      <c r="O950">
        <f t="shared" si="16"/>
        <v>21.99</v>
      </c>
    </row>
    <row r="951" spans="1:15" x14ac:dyDescent="0.35">
      <c r="A951" t="s">
        <v>1278</v>
      </c>
      <c r="B951">
        <v>1</v>
      </c>
      <c r="C951">
        <v>21.99</v>
      </c>
      <c r="D951">
        <v>21.99</v>
      </c>
      <c r="E951" t="s">
        <v>634</v>
      </c>
      <c r="F951" t="s">
        <v>1722</v>
      </c>
      <c r="G951" t="s">
        <v>11</v>
      </c>
      <c r="H951">
        <v>8</v>
      </c>
      <c r="I951" t="s">
        <v>17</v>
      </c>
      <c r="J951" t="s">
        <v>13</v>
      </c>
      <c r="K951">
        <v>7</v>
      </c>
      <c r="O951">
        <f t="shared" si="16"/>
        <v>21.99</v>
      </c>
    </row>
    <row r="952" spans="1:15" x14ac:dyDescent="0.35">
      <c r="A952" t="s">
        <v>1279</v>
      </c>
      <c r="B952">
        <v>1</v>
      </c>
      <c r="C952">
        <v>18.989999999999998</v>
      </c>
      <c r="D952">
        <v>18.989999999999998</v>
      </c>
      <c r="E952" t="s">
        <v>50</v>
      </c>
      <c r="F952" t="s">
        <v>1723</v>
      </c>
      <c r="G952" t="s">
        <v>11</v>
      </c>
      <c r="H952">
        <v>11</v>
      </c>
      <c r="I952" t="s">
        <v>17</v>
      </c>
      <c r="J952" t="s">
        <v>42</v>
      </c>
      <c r="K952">
        <v>6</v>
      </c>
      <c r="O952">
        <f t="shared" si="16"/>
        <v>21.99</v>
      </c>
    </row>
    <row r="953" spans="1:15" x14ac:dyDescent="0.35">
      <c r="A953" t="s">
        <v>1280</v>
      </c>
      <c r="B953">
        <v>1</v>
      </c>
      <c r="C953">
        <v>18.989999999999998</v>
      </c>
      <c r="D953">
        <v>18.989999999999998</v>
      </c>
      <c r="E953" t="s">
        <v>788</v>
      </c>
      <c r="F953" t="s">
        <v>1724</v>
      </c>
      <c r="G953" t="s">
        <v>16</v>
      </c>
      <c r="H953">
        <v>16</v>
      </c>
      <c r="I953" t="s">
        <v>41</v>
      </c>
      <c r="J953" t="s">
        <v>42</v>
      </c>
      <c r="K953">
        <v>6</v>
      </c>
      <c r="O953">
        <f t="shared" si="16"/>
        <v>21.99</v>
      </c>
    </row>
    <row r="954" spans="1:15" x14ac:dyDescent="0.35">
      <c r="A954" t="s">
        <v>1281</v>
      </c>
      <c r="B954">
        <v>1</v>
      </c>
      <c r="C954">
        <v>27.99</v>
      </c>
      <c r="D954">
        <v>27.99</v>
      </c>
      <c r="E954" t="s">
        <v>797</v>
      </c>
      <c r="F954" t="s">
        <v>1725</v>
      </c>
      <c r="G954" t="s">
        <v>16</v>
      </c>
      <c r="H954">
        <v>5</v>
      </c>
      <c r="I954" t="s">
        <v>12</v>
      </c>
      <c r="J954" t="s">
        <v>31</v>
      </c>
      <c r="K954">
        <v>9</v>
      </c>
      <c r="O954">
        <f t="shared" si="16"/>
        <v>21.99</v>
      </c>
    </row>
    <row r="955" spans="1:15" x14ac:dyDescent="0.35">
      <c r="A955" t="s">
        <v>1282</v>
      </c>
      <c r="B955">
        <v>1</v>
      </c>
      <c r="C955">
        <v>30.99</v>
      </c>
      <c r="D955">
        <v>30.99</v>
      </c>
      <c r="E955" t="s">
        <v>786</v>
      </c>
      <c r="F955" t="s">
        <v>1726</v>
      </c>
      <c r="G955" t="s">
        <v>16</v>
      </c>
      <c r="H955">
        <v>4</v>
      </c>
      <c r="I955" t="s">
        <v>24</v>
      </c>
      <c r="J955" t="s">
        <v>18</v>
      </c>
      <c r="K955">
        <v>10.5</v>
      </c>
      <c r="O955">
        <f t="shared" si="16"/>
        <v>21.99</v>
      </c>
    </row>
    <row r="956" spans="1:15" x14ac:dyDescent="0.35">
      <c r="A956" t="s">
        <v>1283</v>
      </c>
      <c r="B956">
        <v>1</v>
      </c>
      <c r="C956">
        <v>18.989999999999998</v>
      </c>
      <c r="D956">
        <v>18.989999999999998</v>
      </c>
      <c r="E956" t="s">
        <v>808</v>
      </c>
      <c r="F956" t="s">
        <v>1727</v>
      </c>
      <c r="G956" t="s">
        <v>16</v>
      </c>
      <c r="H956">
        <v>10</v>
      </c>
      <c r="I956" t="s">
        <v>12</v>
      </c>
      <c r="J956" t="s">
        <v>42</v>
      </c>
      <c r="K956">
        <v>6</v>
      </c>
      <c r="O956">
        <f t="shared" si="16"/>
        <v>21.99</v>
      </c>
    </row>
    <row r="957" spans="1:15" x14ac:dyDescent="0.35">
      <c r="A957" t="s">
        <v>1284</v>
      </c>
      <c r="B957">
        <v>2</v>
      </c>
      <c r="C957">
        <v>18.989999999999998</v>
      </c>
      <c r="D957">
        <v>32.880000000000003</v>
      </c>
      <c r="E957" s="6">
        <v>46188</v>
      </c>
      <c r="F957" t="s">
        <v>1728</v>
      </c>
      <c r="G957" t="s">
        <v>21</v>
      </c>
      <c r="H957">
        <v>0</v>
      </c>
      <c r="I957" t="s">
        <v>17</v>
      </c>
      <c r="J957" t="s">
        <v>42</v>
      </c>
      <c r="K957">
        <v>6</v>
      </c>
      <c r="O957">
        <f t="shared" si="16"/>
        <v>37.979999999999997</v>
      </c>
    </row>
    <row r="958" spans="1:15" x14ac:dyDescent="0.35">
      <c r="A958" t="s">
        <v>1285</v>
      </c>
      <c r="B958">
        <v>1</v>
      </c>
      <c r="C958">
        <v>18.989999999999998</v>
      </c>
      <c r="D958">
        <v>18.989999999999998</v>
      </c>
      <c r="E958" t="s">
        <v>120</v>
      </c>
      <c r="F958" t="s">
        <v>1717</v>
      </c>
      <c r="G958" t="s">
        <v>87</v>
      </c>
      <c r="H958">
        <v>0</v>
      </c>
      <c r="I958" t="s">
        <v>17</v>
      </c>
      <c r="J958" t="s">
        <v>42</v>
      </c>
      <c r="K958">
        <v>6</v>
      </c>
      <c r="O958">
        <f t="shared" si="16"/>
        <v>21.99</v>
      </c>
    </row>
    <row r="959" spans="1:15" x14ac:dyDescent="0.35">
      <c r="A959" t="s">
        <v>1286</v>
      </c>
      <c r="B959">
        <v>2</v>
      </c>
      <c r="C959">
        <v>27.99</v>
      </c>
      <c r="D959">
        <v>48</v>
      </c>
      <c r="E959" t="s">
        <v>82</v>
      </c>
      <c r="F959" t="s">
        <v>1718</v>
      </c>
      <c r="G959" t="s">
        <v>16</v>
      </c>
      <c r="H959">
        <v>2</v>
      </c>
      <c r="I959" t="s">
        <v>17</v>
      </c>
      <c r="J959" t="s">
        <v>31</v>
      </c>
      <c r="K959">
        <v>9</v>
      </c>
      <c r="O959">
        <f t="shared" si="16"/>
        <v>37.979999999999997</v>
      </c>
    </row>
    <row r="960" spans="1:15" x14ac:dyDescent="0.35">
      <c r="A960" t="s">
        <v>1287</v>
      </c>
      <c r="B960">
        <v>1</v>
      </c>
      <c r="C960">
        <v>16.989999999999998</v>
      </c>
      <c r="D960">
        <v>16.989999999999998</v>
      </c>
      <c r="E960" t="s">
        <v>35</v>
      </c>
      <c r="F960" t="s">
        <v>1719</v>
      </c>
      <c r="G960" t="s">
        <v>28</v>
      </c>
      <c r="H960">
        <v>0</v>
      </c>
      <c r="I960" t="s">
        <v>12</v>
      </c>
      <c r="J960" t="s">
        <v>25</v>
      </c>
      <c r="K960">
        <v>5</v>
      </c>
      <c r="O960">
        <f t="shared" si="16"/>
        <v>21.99</v>
      </c>
    </row>
    <row r="961" spans="1:15" x14ac:dyDescent="0.35">
      <c r="A961" t="s">
        <v>1288</v>
      </c>
      <c r="B961">
        <v>3</v>
      </c>
      <c r="C961">
        <v>21.99</v>
      </c>
      <c r="D961">
        <v>52.91</v>
      </c>
      <c r="E961" t="s">
        <v>768</v>
      </c>
      <c r="F961" t="s">
        <v>1720</v>
      </c>
      <c r="G961" t="s">
        <v>16</v>
      </c>
      <c r="H961">
        <v>3</v>
      </c>
      <c r="I961" t="s">
        <v>24</v>
      </c>
      <c r="J961" t="s">
        <v>13</v>
      </c>
      <c r="K961">
        <v>7</v>
      </c>
      <c r="O961">
        <f t="shared" si="16"/>
        <v>84.73</v>
      </c>
    </row>
    <row r="962" spans="1:15" x14ac:dyDescent="0.35">
      <c r="A962" t="s">
        <v>1289</v>
      </c>
      <c r="B962">
        <v>1</v>
      </c>
      <c r="C962">
        <v>27.99</v>
      </c>
      <c r="D962">
        <v>27.99</v>
      </c>
      <c r="E962" t="s">
        <v>453</v>
      </c>
      <c r="F962" t="s">
        <v>1721</v>
      </c>
      <c r="G962" t="s">
        <v>16</v>
      </c>
      <c r="H962">
        <v>7</v>
      </c>
      <c r="I962" t="s">
        <v>24</v>
      </c>
      <c r="J962" t="s">
        <v>31</v>
      </c>
      <c r="K962">
        <v>9</v>
      </c>
      <c r="O962">
        <f t="shared" ref="O962:O1025" si="17">VLOOKUP(B:B,B:H,3,FALSE)</f>
        <v>21.99</v>
      </c>
    </row>
    <row r="963" spans="1:15" x14ac:dyDescent="0.35">
      <c r="A963" t="s">
        <v>1290</v>
      </c>
      <c r="B963">
        <v>1</v>
      </c>
      <c r="C963">
        <v>27.99</v>
      </c>
      <c r="D963">
        <v>27.99</v>
      </c>
      <c r="E963" t="s">
        <v>1291</v>
      </c>
      <c r="F963" t="s">
        <v>1722</v>
      </c>
      <c r="G963" t="s">
        <v>16</v>
      </c>
      <c r="H963">
        <v>2</v>
      </c>
      <c r="I963" t="s">
        <v>17</v>
      </c>
      <c r="J963" t="s">
        <v>31</v>
      </c>
      <c r="K963">
        <v>9</v>
      </c>
      <c r="O963">
        <f t="shared" si="17"/>
        <v>21.99</v>
      </c>
    </row>
    <row r="964" spans="1:15" x14ac:dyDescent="0.35">
      <c r="A964" t="s">
        <v>1292</v>
      </c>
      <c r="B964">
        <v>3</v>
      </c>
      <c r="C964">
        <v>21.99</v>
      </c>
      <c r="D964">
        <v>52.38</v>
      </c>
      <c r="E964" t="s">
        <v>162</v>
      </c>
      <c r="F964" t="s">
        <v>1723</v>
      </c>
      <c r="G964" t="s">
        <v>16</v>
      </c>
      <c r="H964">
        <v>3</v>
      </c>
      <c r="I964" t="s">
        <v>12</v>
      </c>
      <c r="J964" t="s">
        <v>13</v>
      </c>
      <c r="K964">
        <v>7</v>
      </c>
      <c r="O964">
        <f t="shared" si="17"/>
        <v>84.73</v>
      </c>
    </row>
    <row r="965" spans="1:15" x14ac:dyDescent="0.35">
      <c r="A965" t="s">
        <v>1293</v>
      </c>
      <c r="B965">
        <v>1</v>
      </c>
      <c r="C965">
        <v>18.989999999999998</v>
      </c>
      <c r="D965">
        <v>18.989999999999998</v>
      </c>
      <c r="E965" t="s">
        <v>648</v>
      </c>
      <c r="F965" t="s">
        <v>1724</v>
      </c>
      <c r="G965" t="s">
        <v>16</v>
      </c>
      <c r="H965">
        <v>10</v>
      </c>
      <c r="I965" t="s">
        <v>24</v>
      </c>
      <c r="J965" t="s">
        <v>42</v>
      </c>
      <c r="K965">
        <v>6</v>
      </c>
      <c r="O965">
        <f t="shared" si="17"/>
        <v>21.99</v>
      </c>
    </row>
    <row r="966" spans="1:15" x14ac:dyDescent="0.35">
      <c r="A966" t="s">
        <v>1294</v>
      </c>
      <c r="B966">
        <v>1</v>
      </c>
      <c r="C966">
        <v>30.99</v>
      </c>
      <c r="D966">
        <v>30.99</v>
      </c>
      <c r="E966" t="s">
        <v>567</v>
      </c>
      <c r="F966" t="s">
        <v>1725</v>
      </c>
      <c r="G966" t="s">
        <v>16</v>
      </c>
      <c r="H966">
        <v>2</v>
      </c>
      <c r="I966" t="s">
        <v>41</v>
      </c>
      <c r="J966" t="s">
        <v>18</v>
      </c>
      <c r="K966">
        <v>10.5</v>
      </c>
      <c r="O966">
        <f t="shared" si="17"/>
        <v>21.99</v>
      </c>
    </row>
    <row r="967" spans="1:15" x14ac:dyDescent="0.35">
      <c r="A967" t="s">
        <v>1295</v>
      </c>
      <c r="B967">
        <v>3</v>
      </c>
      <c r="C967">
        <v>16.989999999999998</v>
      </c>
      <c r="D967">
        <v>40.51</v>
      </c>
      <c r="E967" t="s">
        <v>616</v>
      </c>
      <c r="F967" t="s">
        <v>1726</v>
      </c>
      <c r="G967" t="s">
        <v>21</v>
      </c>
      <c r="H967">
        <v>0</v>
      </c>
      <c r="I967" t="s">
        <v>41</v>
      </c>
      <c r="J967" t="s">
        <v>25</v>
      </c>
      <c r="K967">
        <v>5</v>
      </c>
      <c r="O967">
        <f t="shared" si="17"/>
        <v>84.73</v>
      </c>
    </row>
    <row r="968" spans="1:15" x14ac:dyDescent="0.35">
      <c r="A968" t="s">
        <v>1296</v>
      </c>
      <c r="B968">
        <v>1</v>
      </c>
      <c r="C968">
        <v>16.989999999999998</v>
      </c>
      <c r="D968">
        <v>16.989999999999998</v>
      </c>
      <c r="E968" t="s">
        <v>600</v>
      </c>
      <c r="F968" t="s">
        <v>1727</v>
      </c>
      <c r="G968" t="s">
        <v>16</v>
      </c>
      <c r="H968">
        <v>19</v>
      </c>
      <c r="I968" t="s">
        <v>12</v>
      </c>
      <c r="J968" t="s">
        <v>25</v>
      </c>
      <c r="K968">
        <v>5</v>
      </c>
      <c r="O968">
        <f t="shared" si="17"/>
        <v>21.99</v>
      </c>
    </row>
    <row r="969" spans="1:15" x14ac:dyDescent="0.35">
      <c r="A969" t="s">
        <v>1297</v>
      </c>
      <c r="B969">
        <v>2</v>
      </c>
      <c r="C969">
        <v>30.99</v>
      </c>
      <c r="D969">
        <v>53.02</v>
      </c>
      <c r="E969" t="s">
        <v>1298</v>
      </c>
      <c r="F969" t="s">
        <v>1728</v>
      </c>
      <c r="G969" t="s">
        <v>28</v>
      </c>
      <c r="H969">
        <v>0</v>
      </c>
      <c r="I969" t="s">
        <v>24</v>
      </c>
      <c r="J969" t="s">
        <v>18</v>
      </c>
      <c r="K969">
        <v>10.5</v>
      </c>
      <c r="O969">
        <f t="shared" si="17"/>
        <v>37.979999999999997</v>
      </c>
    </row>
    <row r="970" spans="1:15" x14ac:dyDescent="0.35">
      <c r="A970" t="s">
        <v>1299</v>
      </c>
      <c r="B970">
        <v>3</v>
      </c>
      <c r="C970">
        <v>30.99</v>
      </c>
      <c r="D970">
        <v>74.400000000000006</v>
      </c>
      <c r="E970" t="s">
        <v>1104</v>
      </c>
      <c r="F970" t="s">
        <v>1717</v>
      </c>
      <c r="G970" t="s">
        <v>16</v>
      </c>
      <c r="H970">
        <v>3</v>
      </c>
      <c r="I970" t="s">
        <v>17</v>
      </c>
      <c r="J970" t="s">
        <v>18</v>
      </c>
      <c r="K970">
        <v>10.5</v>
      </c>
      <c r="O970">
        <f t="shared" si="17"/>
        <v>84.73</v>
      </c>
    </row>
    <row r="971" spans="1:15" x14ac:dyDescent="0.35">
      <c r="A971" t="s">
        <v>1300</v>
      </c>
      <c r="B971">
        <v>1</v>
      </c>
      <c r="C971">
        <v>21.99</v>
      </c>
      <c r="D971">
        <v>21.99</v>
      </c>
      <c r="E971" t="s">
        <v>413</v>
      </c>
      <c r="F971" t="s">
        <v>1718</v>
      </c>
      <c r="G971" t="s">
        <v>16</v>
      </c>
      <c r="H971">
        <v>3</v>
      </c>
      <c r="I971" t="s">
        <v>17</v>
      </c>
      <c r="J971" t="s">
        <v>13</v>
      </c>
      <c r="K971">
        <v>7</v>
      </c>
      <c r="O971">
        <f t="shared" si="17"/>
        <v>21.99</v>
      </c>
    </row>
    <row r="972" spans="1:15" x14ac:dyDescent="0.35">
      <c r="A972" t="s">
        <v>1301</v>
      </c>
      <c r="B972">
        <v>1</v>
      </c>
      <c r="C972">
        <v>18.989999999999998</v>
      </c>
      <c r="D972">
        <v>18.989999999999998</v>
      </c>
      <c r="E972" t="s">
        <v>907</v>
      </c>
      <c r="F972" t="s">
        <v>1719</v>
      </c>
      <c r="G972" t="s">
        <v>16</v>
      </c>
      <c r="H972">
        <v>12</v>
      </c>
      <c r="I972" t="s">
        <v>41</v>
      </c>
      <c r="J972" t="s">
        <v>42</v>
      </c>
      <c r="K972">
        <v>6</v>
      </c>
      <c r="O972">
        <f t="shared" si="17"/>
        <v>21.99</v>
      </c>
    </row>
    <row r="973" spans="1:15" x14ac:dyDescent="0.35">
      <c r="A973" t="s">
        <v>1302</v>
      </c>
      <c r="B973">
        <v>1</v>
      </c>
      <c r="C973">
        <v>16.989999999999998</v>
      </c>
      <c r="D973">
        <v>16.989999999999998</v>
      </c>
      <c r="E973" t="s">
        <v>616</v>
      </c>
      <c r="F973" t="s">
        <v>1720</v>
      </c>
      <c r="G973" t="s">
        <v>16</v>
      </c>
      <c r="H973">
        <v>20</v>
      </c>
      <c r="I973" t="s">
        <v>12</v>
      </c>
      <c r="J973" t="s">
        <v>25</v>
      </c>
      <c r="K973">
        <v>5</v>
      </c>
      <c r="O973">
        <f t="shared" si="17"/>
        <v>21.99</v>
      </c>
    </row>
    <row r="974" spans="1:15" x14ac:dyDescent="0.35">
      <c r="A974" t="s">
        <v>1303</v>
      </c>
      <c r="B974">
        <v>1</v>
      </c>
      <c r="C974">
        <v>27.99</v>
      </c>
      <c r="D974">
        <v>27.99</v>
      </c>
      <c r="E974" t="s">
        <v>573</v>
      </c>
      <c r="F974" t="s">
        <v>1721</v>
      </c>
      <c r="G974" t="s">
        <v>16</v>
      </c>
      <c r="H974">
        <v>3</v>
      </c>
      <c r="I974" t="s">
        <v>12</v>
      </c>
      <c r="J974" t="s">
        <v>31</v>
      </c>
      <c r="K974">
        <v>9</v>
      </c>
      <c r="O974">
        <f t="shared" si="17"/>
        <v>21.99</v>
      </c>
    </row>
    <row r="975" spans="1:15" x14ac:dyDescent="0.35">
      <c r="A975" t="s">
        <v>1304</v>
      </c>
      <c r="B975">
        <v>3</v>
      </c>
      <c r="C975">
        <v>30.99</v>
      </c>
      <c r="D975">
        <v>75.11</v>
      </c>
      <c r="E975" t="s">
        <v>775</v>
      </c>
      <c r="F975" t="s">
        <v>1722</v>
      </c>
      <c r="G975" t="s">
        <v>87</v>
      </c>
      <c r="H975">
        <v>0</v>
      </c>
      <c r="I975" t="s">
        <v>41</v>
      </c>
      <c r="J975" t="s">
        <v>18</v>
      </c>
      <c r="K975">
        <v>10.5</v>
      </c>
      <c r="O975">
        <f t="shared" si="17"/>
        <v>84.73</v>
      </c>
    </row>
    <row r="976" spans="1:15" x14ac:dyDescent="0.35">
      <c r="A976" t="s">
        <v>1305</v>
      </c>
      <c r="B976">
        <v>3</v>
      </c>
      <c r="C976">
        <v>21.99</v>
      </c>
      <c r="D976">
        <v>52.23</v>
      </c>
      <c r="E976" t="s">
        <v>1306</v>
      </c>
      <c r="F976" t="s">
        <v>1723</v>
      </c>
      <c r="G976" t="s">
        <v>16</v>
      </c>
      <c r="H976">
        <v>2</v>
      </c>
      <c r="I976" t="s">
        <v>12</v>
      </c>
      <c r="J976" t="s">
        <v>13</v>
      </c>
      <c r="K976">
        <v>7</v>
      </c>
      <c r="O976">
        <f t="shared" si="17"/>
        <v>84.73</v>
      </c>
    </row>
    <row r="977" spans="1:15" x14ac:dyDescent="0.35">
      <c r="A977" t="s">
        <v>1307</v>
      </c>
      <c r="B977">
        <v>1</v>
      </c>
      <c r="C977">
        <v>21.99</v>
      </c>
      <c r="D977">
        <v>21.99</v>
      </c>
      <c r="E977" t="s">
        <v>674</v>
      </c>
      <c r="F977" t="s">
        <v>1724</v>
      </c>
      <c r="G977" t="s">
        <v>16</v>
      </c>
      <c r="H977">
        <v>3</v>
      </c>
      <c r="I977" t="s">
        <v>41</v>
      </c>
      <c r="J977" t="s">
        <v>13</v>
      </c>
      <c r="K977">
        <v>7</v>
      </c>
      <c r="O977">
        <f t="shared" si="17"/>
        <v>21.99</v>
      </c>
    </row>
    <row r="978" spans="1:15" x14ac:dyDescent="0.35">
      <c r="A978" t="s">
        <v>1308</v>
      </c>
      <c r="B978">
        <v>2</v>
      </c>
      <c r="C978">
        <v>34.99</v>
      </c>
      <c r="D978">
        <v>60.42</v>
      </c>
      <c r="E978" t="s">
        <v>416</v>
      </c>
      <c r="F978" t="s">
        <v>1725</v>
      </c>
      <c r="G978" t="s">
        <v>11</v>
      </c>
      <c r="H978">
        <v>8</v>
      </c>
      <c r="I978" t="s">
        <v>24</v>
      </c>
      <c r="J978" t="s">
        <v>36</v>
      </c>
      <c r="K978">
        <v>12.5</v>
      </c>
      <c r="O978">
        <f t="shared" si="17"/>
        <v>37.979999999999997</v>
      </c>
    </row>
    <row r="979" spans="1:15" x14ac:dyDescent="0.35">
      <c r="A979" t="s">
        <v>1309</v>
      </c>
      <c r="B979">
        <v>1</v>
      </c>
      <c r="C979">
        <v>34.99</v>
      </c>
      <c r="D979">
        <v>34.99</v>
      </c>
      <c r="E979" t="s">
        <v>320</v>
      </c>
      <c r="F979" t="s">
        <v>1726</v>
      </c>
      <c r="G979" t="s">
        <v>21</v>
      </c>
      <c r="H979">
        <v>0</v>
      </c>
      <c r="I979" t="s">
        <v>24</v>
      </c>
      <c r="J979" t="s">
        <v>36</v>
      </c>
      <c r="K979">
        <v>12.5</v>
      </c>
      <c r="O979">
        <f t="shared" si="17"/>
        <v>21.99</v>
      </c>
    </row>
    <row r="980" spans="1:15" x14ac:dyDescent="0.35">
      <c r="A980" t="s">
        <v>1310</v>
      </c>
      <c r="B980">
        <v>1</v>
      </c>
      <c r="C980">
        <v>18.989999999999998</v>
      </c>
      <c r="D980">
        <v>18.989999999999998</v>
      </c>
      <c r="E980" t="s">
        <v>539</v>
      </c>
      <c r="F980" t="s">
        <v>1727</v>
      </c>
      <c r="G980" t="s">
        <v>16</v>
      </c>
      <c r="H980">
        <v>10</v>
      </c>
      <c r="I980" t="s">
        <v>17</v>
      </c>
      <c r="J980" t="s">
        <v>42</v>
      </c>
      <c r="K980">
        <v>6</v>
      </c>
      <c r="O980">
        <f t="shared" si="17"/>
        <v>21.99</v>
      </c>
    </row>
    <row r="981" spans="1:15" x14ac:dyDescent="0.35">
      <c r="A981" t="s">
        <v>1311</v>
      </c>
      <c r="B981">
        <v>3</v>
      </c>
      <c r="C981">
        <v>34.99</v>
      </c>
      <c r="D981">
        <v>84.02</v>
      </c>
      <c r="E981" t="s">
        <v>1312</v>
      </c>
      <c r="F981" t="s">
        <v>1728</v>
      </c>
      <c r="G981" t="s">
        <v>16</v>
      </c>
      <c r="H981">
        <v>5</v>
      </c>
      <c r="I981" t="s">
        <v>17</v>
      </c>
      <c r="J981" t="s">
        <v>36</v>
      </c>
      <c r="K981">
        <v>12.5</v>
      </c>
      <c r="O981">
        <f t="shared" si="17"/>
        <v>84.73</v>
      </c>
    </row>
    <row r="982" spans="1:15" x14ac:dyDescent="0.35">
      <c r="A982" t="s">
        <v>1313</v>
      </c>
      <c r="B982">
        <v>2</v>
      </c>
      <c r="C982">
        <v>30.99</v>
      </c>
      <c r="D982">
        <v>54.22</v>
      </c>
      <c r="E982" t="s">
        <v>1314</v>
      </c>
      <c r="F982" t="s">
        <v>1717</v>
      </c>
      <c r="G982" t="s">
        <v>16</v>
      </c>
      <c r="H982">
        <v>3</v>
      </c>
      <c r="I982" t="s">
        <v>12</v>
      </c>
      <c r="J982" t="s">
        <v>18</v>
      </c>
      <c r="K982">
        <v>10.5</v>
      </c>
      <c r="O982">
        <f t="shared" si="17"/>
        <v>37.979999999999997</v>
      </c>
    </row>
    <row r="983" spans="1:15" x14ac:dyDescent="0.35">
      <c r="A983" t="s">
        <v>1315</v>
      </c>
      <c r="B983">
        <v>3</v>
      </c>
      <c r="C983">
        <v>34.99</v>
      </c>
      <c r="D983">
        <v>84.97</v>
      </c>
      <c r="E983" t="s">
        <v>657</v>
      </c>
      <c r="F983" t="s">
        <v>1718</v>
      </c>
      <c r="G983" t="s">
        <v>87</v>
      </c>
      <c r="H983">
        <v>0</v>
      </c>
      <c r="I983" t="s">
        <v>17</v>
      </c>
      <c r="J983" t="s">
        <v>36</v>
      </c>
      <c r="K983">
        <v>12.5</v>
      </c>
      <c r="O983">
        <f t="shared" si="17"/>
        <v>84.73</v>
      </c>
    </row>
    <row r="984" spans="1:15" x14ac:dyDescent="0.35">
      <c r="A984" t="s">
        <v>1316</v>
      </c>
      <c r="B984">
        <v>1</v>
      </c>
      <c r="C984">
        <v>30.99</v>
      </c>
      <c r="D984">
        <v>30.99</v>
      </c>
      <c r="E984" t="s">
        <v>35</v>
      </c>
      <c r="F984" t="s">
        <v>1719</v>
      </c>
      <c r="G984" t="s">
        <v>16</v>
      </c>
      <c r="H984">
        <v>2</v>
      </c>
      <c r="I984" t="s">
        <v>12</v>
      </c>
      <c r="J984" t="s">
        <v>18</v>
      </c>
      <c r="K984">
        <v>10.5</v>
      </c>
      <c r="O984">
        <f t="shared" si="17"/>
        <v>21.99</v>
      </c>
    </row>
    <row r="985" spans="1:15" x14ac:dyDescent="0.35">
      <c r="A985" t="s">
        <v>1317</v>
      </c>
      <c r="B985">
        <v>3</v>
      </c>
      <c r="C985">
        <v>18.989999999999998</v>
      </c>
      <c r="D985">
        <v>44.98</v>
      </c>
      <c r="E985" t="s">
        <v>808</v>
      </c>
      <c r="F985" t="s">
        <v>1720</v>
      </c>
      <c r="G985" t="s">
        <v>28</v>
      </c>
      <c r="H985">
        <v>0</v>
      </c>
      <c r="I985" t="s">
        <v>17</v>
      </c>
      <c r="J985" t="s">
        <v>42</v>
      </c>
      <c r="K985">
        <v>6</v>
      </c>
      <c r="O985">
        <f t="shared" si="17"/>
        <v>84.73</v>
      </c>
    </row>
    <row r="986" spans="1:15" x14ac:dyDescent="0.35">
      <c r="A986" t="s">
        <v>1318</v>
      </c>
      <c r="B986">
        <v>1</v>
      </c>
      <c r="C986">
        <v>27.99</v>
      </c>
      <c r="D986">
        <v>27.99</v>
      </c>
      <c r="E986" t="s">
        <v>1319</v>
      </c>
      <c r="F986" t="s">
        <v>1721</v>
      </c>
      <c r="G986" t="s">
        <v>21</v>
      </c>
      <c r="H986">
        <v>0</v>
      </c>
      <c r="I986" t="s">
        <v>12</v>
      </c>
      <c r="J986" t="s">
        <v>31</v>
      </c>
      <c r="K986">
        <v>9</v>
      </c>
      <c r="O986">
        <f t="shared" si="17"/>
        <v>21.99</v>
      </c>
    </row>
    <row r="987" spans="1:15" x14ac:dyDescent="0.35">
      <c r="A987" t="s">
        <v>1320</v>
      </c>
      <c r="B987">
        <v>1</v>
      </c>
      <c r="C987">
        <v>27.99</v>
      </c>
      <c r="D987">
        <v>27.99</v>
      </c>
      <c r="E987" t="s">
        <v>688</v>
      </c>
      <c r="F987" t="s">
        <v>1722</v>
      </c>
      <c r="G987" t="s">
        <v>21</v>
      </c>
      <c r="H987">
        <v>0</v>
      </c>
      <c r="I987" t="s">
        <v>24</v>
      </c>
      <c r="J987" t="s">
        <v>31</v>
      </c>
      <c r="K987">
        <v>9</v>
      </c>
      <c r="O987">
        <f t="shared" si="17"/>
        <v>21.99</v>
      </c>
    </row>
    <row r="988" spans="1:15" x14ac:dyDescent="0.35">
      <c r="A988" t="s">
        <v>1321</v>
      </c>
      <c r="B988">
        <v>3</v>
      </c>
      <c r="C988">
        <v>21.99</v>
      </c>
      <c r="D988">
        <v>52.52</v>
      </c>
      <c r="E988" t="s">
        <v>1064</v>
      </c>
      <c r="F988" t="s">
        <v>1723</v>
      </c>
      <c r="G988" t="s">
        <v>28</v>
      </c>
      <c r="H988">
        <v>0</v>
      </c>
      <c r="I988" t="s">
        <v>24</v>
      </c>
      <c r="J988" t="s">
        <v>13</v>
      </c>
      <c r="K988">
        <v>7</v>
      </c>
      <c r="O988">
        <f t="shared" si="17"/>
        <v>84.73</v>
      </c>
    </row>
    <row r="989" spans="1:15" x14ac:dyDescent="0.35">
      <c r="A989" t="s">
        <v>1322</v>
      </c>
      <c r="B989">
        <v>1</v>
      </c>
      <c r="C989">
        <v>30.99</v>
      </c>
      <c r="D989">
        <v>30.99</v>
      </c>
      <c r="E989" t="s">
        <v>941</v>
      </c>
      <c r="F989" t="s">
        <v>1724</v>
      </c>
      <c r="G989" t="s">
        <v>11</v>
      </c>
      <c r="H989">
        <v>3</v>
      </c>
      <c r="I989" t="s">
        <v>24</v>
      </c>
      <c r="J989" t="s">
        <v>18</v>
      </c>
      <c r="K989">
        <v>10.5</v>
      </c>
      <c r="O989">
        <f t="shared" si="17"/>
        <v>21.99</v>
      </c>
    </row>
    <row r="990" spans="1:15" x14ac:dyDescent="0.35">
      <c r="A990" t="s">
        <v>1323</v>
      </c>
      <c r="B990">
        <v>1</v>
      </c>
      <c r="C990">
        <v>30.99</v>
      </c>
      <c r="D990">
        <v>30.99</v>
      </c>
      <c r="E990" t="s">
        <v>1324</v>
      </c>
      <c r="F990" t="s">
        <v>1725</v>
      </c>
      <c r="G990" t="s">
        <v>11</v>
      </c>
      <c r="H990">
        <v>2</v>
      </c>
      <c r="I990" t="s">
        <v>12</v>
      </c>
      <c r="J990" t="s">
        <v>18</v>
      </c>
      <c r="K990">
        <v>10.5</v>
      </c>
      <c r="O990">
        <f t="shared" si="17"/>
        <v>21.99</v>
      </c>
    </row>
    <row r="991" spans="1:15" x14ac:dyDescent="0.35">
      <c r="A991" t="s">
        <v>1325</v>
      </c>
      <c r="B991">
        <v>1</v>
      </c>
      <c r="C991">
        <v>27.99</v>
      </c>
      <c r="D991">
        <v>27.99</v>
      </c>
      <c r="E991" t="s">
        <v>1326</v>
      </c>
      <c r="F991" t="s">
        <v>1726</v>
      </c>
      <c r="G991" t="s">
        <v>21</v>
      </c>
      <c r="H991">
        <v>0</v>
      </c>
      <c r="I991" t="s">
        <v>24</v>
      </c>
      <c r="J991" t="s">
        <v>31</v>
      </c>
      <c r="K991">
        <v>9</v>
      </c>
      <c r="O991">
        <f t="shared" si="17"/>
        <v>21.99</v>
      </c>
    </row>
    <row r="992" spans="1:15" x14ac:dyDescent="0.35">
      <c r="A992" t="s">
        <v>1327</v>
      </c>
      <c r="B992">
        <v>1</v>
      </c>
      <c r="C992">
        <v>27.99</v>
      </c>
      <c r="D992">
        <v>27.99</v>
      </c>
      <c r="E992" t="s">
        <v>1328</v>
      </c>
      <c r="F992" t="s">
        <v>1727</v>
      </c>
      <c r="G992" t="s">
        <v>16</v>
      </c>
      <c r="H992">
        <v>2</v>
      </c>
      <c r="I992" t="s">
        <v>17</v>
      </c>
      <c r="J992" t="s">
        <v>31</v>
      </c>
      <c r="K992">
        <v>9</v>
      </c>
      <c r="O992">
        <f t="shared" si="17"/>
        <v>21.99</v>
      </c>
    </row>
    <row r="993" spans="1:15" x14ac:dyDescent="0.35">
      <c r="A993" t="s">
        <v>1329</v>
      </c>
      <c r="B993">
        <v>1</v>
      </c>
      <c r="C993">
        <v>34.99</v>
      </c>
      <c r="D993">
        <v>34.99</v>
      </c>
      <c r="E993" t="s">
        <v>1330</v>
      </c>
      <c r="F993" t="s">
        <v>1728</v>
      </c>
      <c r="G993" t="s">
        <v>16</v>
      </c>
      <c r="H993">
        <v>8</v>
      </c>
      <c r="I993" t="s">
        <v>41</v>
      </c>
      <c r="J993" t="s">
        <v>36</v>
      </c>
      <c r="K993">
        <v>12.5</v>
      </c>
      <c r="O993">
        <f t="shared" si="17"/>
        <v>21.99</v>
      </c>
    </row>
    <row r="994" spans="1:15" x14ac:dyDescent="0.35">
      <c r="A994" t="s">
        <v>1331</v>
      </c>
      <c r="B994">
        <v>3</v>
      </c>
      <c r="C994">
        <v>18.989999999999998</v>
      </c>
      <c r="D994">
        <v>45.19</v>
      </c>
      <c r="E994" t="s">
        <v>897</v>
      </c>
      <c r="F994" t="s">
        <v>1717</v>
      </c>
      <c r="G994" t="s">
        <v>21</v>
      </c>
      <c r="H994">
        <v>0</v>
      </c>
      <c r="I994" t="s">
        <v>12</v>
      </c>
      <c r="J994" t="s">
        <v>42</v>
      </c>
      <c r="K994">
        <v>6</v>
      </c>
      <c r="O994">
        <f t="shared" si="17"/>
        <v>84.73</v>
      </c>
    </row>
    <row r="995" spans="1:15" x14ac:dyDescent="0.35">
      <c r="A995" t="s">
        <v>1332</v>
      </c>
      <c r="B995">
        <v>2</v>
      </c>
      <c r="C995">
        <v>21.99</v>
      </c>
      <c r="D995">
        <v>38.130000000000003</v>
      </c>
      <c r="E995" t="s">
        <v>102</v>
      </c>
      <c r="F995" t="s">
        <v>1718</v>
      </c>
      <c r="G995" t="s">
        <v>16</v>
      </c>
      <c r="H995">
        <v>3</v>
      </c>
      <c r="I995" t="s">
        <v>41</v>
      </c>
      <c r="J995" t="s">
        <v>13</v>
      </c>
      <c r="K995">
        <v>7</v>
      </c>
      <c r="O995">
        <f t="shared" si="17"/>
        <v>37.979999999999997</v>
      </c>
    </row>
    <row r="996" spans="1:15" x14ac:dyDescent="0.35">
      <c r="A996" t="s">
        <v>1333</v>
      </c>
      <c r="B996">
        <v>2</v>
      </c>
      <c r="C996">
        <v>16.989999999999998</v>
      </c>
      <c r="D996">
        <v>29.31</v>
      </c>
      <c r="E996" t="s">
        <v>1056</v>
      </c>
      <c r="F996" t="s">
        <v>1719</v>
      </c>
      <c r="G996" t="s">
        <v>16</v>
      </c>
      <c r="H996">
        <v>19</v>
      </c>
      <c r="I996" t="s">
        <v>24</v>
      </c>
      <c r="J996" t="s">
        <v>25</v>
      </c>
      <c r="K996">
        <v>5</v>
      </c>
      <c r="O996">
        <f t="shared" si="17"/>
        <v>37.979999999999997</v>
      </c>
    </row>
    <row r="997" spans="1:15" x14ac:dyDescent="0.35">
      <c r="A997" t="s">
        <v>1334</v>
      </c>
      <c r="B997">
        <v>1</v>
      </c>
      <c r="C997">
        <v>16.989999999999998</v>
      </c>
      <c r="D997">
        <v>16.989999999999998</v>
      </c>
      <c r="E997" t="s">
        <v>1209</v>
      </c>
      <c r="F997" t="s">
        <v>1720</v>
      </c>
      <c r="G997" t="s">
        <v>16</v>
      </c>
      <c r="H997">
        <v>16</v>
      </c>
      <c r="I997" t="s">
        <v>12</v>
      </c>
      <c r="J997" t="s">
        <v>25</v>
      </c>
      <c r="K997">
        <v>5</v>
      </c>
      <c r="O997">
        <f t="shared" si="17"/>
        <v>21.99</v>
      </c>
    </row>
    <row r="998" spans="1:15" x14ac:dyDescent="0.35">
      <c r="A998" t="s">
        <v>1335</v>
      </c>
      <c r="B998">
        <v>1</v>
      </c>
      <c r="C998">
        <v>30.99</v>
      </c>
      <c r="D998">
        <v>30.99</v>
      </c>
      <c r="E998" t="s">
        <v>431</v>
      </c>
      <c r="F998" t="s">
        <v>1721</v>
      </c>
      <c r="G998" t="s">
        <v>21</v>
      </c>
      <c r="H998">
        <v>0</v>
      </c>
      <c r="I998" t="s">
        <v>17</v>
      </c>
      <c r="J998" t="s">
        <v>18</v>
      </c>
      <c r="K998">
        <v>10.5</v>
      </c>
      <c r="O998">
        <f t="shared" si="17"/>
        <v>21.99</v>
      </c>
    </row>
    <row r="999" spans="1:15" x14ac:dyDescent="0.35">
      <c r="A999" t="s">
        <v>1336</v>
      </c>
      <c r="B999">
        <v>3</v>
      </c>
      <c r="C999">
        <v>34.99</v>
      </c>
      <c r="D999">
        <v>82.82</v>
      </c>
      <c r="E999" t="s">
        <v>1337</v>
      </c>
      <c r="F999" t="s">
        <v>1722</v>
      </c>
      <c r="G999" t="s">
        <v>21</v>
      </c>
      <c r="H999">
        <v>0</v>
      </c>
      <c r="I999" t="s">
        <v>17</v>
      </c>
      <c r="J999" t="s">
        <v>36</v>
      </c>
      <c r="K999">
        <v>12.5</v>
      </c>
      <c r="O999">
        <f t="shared" si="17"/>
        <v>84.73</v>
      </c>
    </row>
    <row r="1000" spans="1:15" x14ac:dyDescent="0.35">
      <c r="A1000" t="s">
        <v>1338</v>
      </c>
      <c r="B1000">
        <v>1</v>
      </c>
      <c r="C1000">
        <v>27.99</v>
      </c>
      <c r="D1000">
        <v>27.99</v>
      </c>
      <c r="E1000" t="s">
        <v>1005</v>
      </c>
      <c r="F1000" t="s">
        <v>1723</v>
      </c>
      <c r="G1000" t="s">
        <v>16</v>
      </c>
      <c r="H1000">
        <v>2</v>
      </c>
      <c r="I1000" t="s">
        <v>17</v>
      </c>
      <c r="J1000" t="s">
        <v>31</v>
      </c>
      <c r="K1000">
        <v>9</v>
      </c>
      <c r="O1000">
        <f t="shared" si="17"/>
        <v>21.99</v>
      </c>
    </row>
    <row r="1001" spans="1:15" x14ac:dyDescent="0.35">
      <c r="A1001" t="s">
        <v>1339</v>
      </c>
      <c r="B1001">
        <v>1</v>
      </c>
      <c r="C1001">
        <v>18.989999999999998</v>
      </c>
      <c r="D1001">
        <v>18.989999999999998</v>
      </c>
      <c r="E1001" t="s">
        <v>1005</v>
      </c>
      <c r="F1001" t="s">
        <v>1724</v>
      </c>
      <c r="G1001" t="s">
        <v>16</v>
      </c>
      <c r="H1001">
        <v>19</v>
      </c>
      <c r="I1001" t="s">
        <v>12</v>
      </c>
      <c r="J1001" t="s">
        <v>42</v>
      </c>
      <c r="K1001">
        <v>6</v>
      </c>
      <c r="O1001">
        <f t="shared" si="17"/>
        <v>21.99</v>
      </c>
    </row>
    <row r="1002" spans="1:15" x14ac:dyDescent="0.35">
      <c r="A1002" t="s">
        <v>1340</v>
      </c>
      <c r="B1002">
        <v>1</v>
      </c>
      <c r="C1002">
        <v>16.989999999999998</v>
      </c>
      <c r="D1002">
        <v>16.989999999999998</v>
      </c>
      <c r="E1002" s="6">
        <v>46223</v>
      </c>
      <c r="F1002" t="s">
        <v>1725</v>
      </c>
      <c r="G1002" t="s">
        <v>16</v>
      </c>
      <c r="H1002">
        <v>18</v>
      </c>
      <c r="I1002" t="s">
        <v>12</v>
      </c>
      <c r="J1002" t="s">
        <v>25</v>
      </c>
      <c r="K1002">
        <v>5</v>
      </c>
      <c r="O1002">
        <f t="shared" si="17"/>
        <v>21.99</v>
      </c>
    </row>
    <row r="1003" spans="1:15" x14ac:dyDescent="0.35">
      <c r="A1003" t="s">
        <v>1341</v>
      </c>
      <c r="B1003">
        <v>1</v>
      </c>
      <c r="C1003">
        <v>27.99</v>
      </c>
      <c r="D1003">
        <v>27.99</v>
      </c>
      <c r="E1003" t="s">
        <v>176</v>
      </c>
      <c r="F1003" t="s">
        <v>1726</v>
      </c>
      <c r="G1003" t="s">
        <v>16</v>
      </c>
      <c r="H1003">
        <v>2</v>
      </c>
      <c r="I1003" t="s">
        <v>17</v>
      </c>
      <c r="J1003" t="s">
        <v>31</v>
      </c>
      <c r="K1003">
        <v>9</v>
      </c>
      <c r="O1003">
        <f t="shared" si="17"/>
        <v>21.99</v>
      </c>
    </row>
    <row r="1004" spans="1:15" x14ac:dyDescent="0.35">
      <c r="A1004" t="s">
        <v>1342</v>
      </c>
      <c r="B1004">
        <v>1</v>
      </c>
      <c r="C1004">
        <v>21.99</v>
      </c>
      <c r="D1004">
        <v>21.99</v>
      </c>
      <c r="E1004" t="s">
        <v>958</v>
      </c>
      <c r="F1004" t="s">
        <v>1727</v>
      </c>
      <c r="G1004" t="s">
        <v>16</v>
      </c>
      <c r="H1004">
        <v>2</v>
      </c>
      <c r="I1004" t="s">
        <v>41</v>
      </c>
      <c r="J1004" t="s">
        <v>13</v>
      </c>
      <c r="K1004">
        <v>7</v>
      </c>
      <c r="O1004">
        <f t="shared" si="17"/>
        <v>21.99</v>
      </c>
    </row>
    <row r="1005" spans="1:15" x14ac:dyDescent="0.35">
      <c r="A1005" t="s">
        <v>1343</v>
      </c>
      <c r="B1005">
        <v>2</v>
      </c>
      <c r="C1005">
        <v>34.99</v>
      </c>
      <c r="D1005">
        <v>61.02</v>
      </c>
      <c r="E1005" t="s">
        <v>429</v>
      </c>
      <c r="F1005" t="s">
        <v>1728</v>
      </c>
      <c r="G1005" t="s">
        <v>16</v>
      </c>
      <c r="H1005">
        <v>7</v>
      </c>
      <c r="I1005" t="s">
        <v>17</v>
      </c>
      <c r="J1005" t="s">
        <v>36</v>
      </c>
      <c r="K1005">
        <v>12.5</v>
      </c>
      <c r="O1005">
        <f t="shared" si="17"/>
        <v>37.979999999999997</v>
      </c>
    </row>
    <row r="1006" spans="1:15" x14ac:dyDescent="0.35">
      <c r="A1006" t="s">
        <v>1344</v>
      </c>
      <c r="B1006">
        <v>1</v>
      </c>
      <c r="C1006">
        <v>34.99</v>
      </c>
      <c r="D1006">
        <v>34.99</v>
      </c>
      <c r="E1006" t="s">
        <v>1345</v>
      </c>
      <c r="F1006" t="s">
        <v>1717</v>
      </c>
      <c r="G1006" t="s">
        <v>16</v>
      </c>
      <c r="H1006">
        <v>6</v>
      </c>
      <c r="I1006" t="s">
        <v>17</v>
      </c>
      <c r="J1006" t="s">
        <v>36</v>
      </c>
      <c r="K1006">
        <v>12.5</v>
      </c>
      <c r="O1006">
        <f t="shared" si="17"/>
        <v>21.99</v>
      </c>
    </row>
    <row r="1007" spans="1:15" x14ac:dyDescent="0.35">
      <c r="A1007" t="s">
        <v>1346</v>
      </c>
      <c r="B1007">
        <v>1</v>
      </c>
      <c r="C1007">
        <v>34.99</v>
      </c>
      <c r="D1007">
        <v>34.99</v>
      </c>
      <c r="E1007" t="s">
        <v>582</v>
      </c>
      <c r="F1007" t="s">
        <v>1718</v>
      </c>
      <c r="G1007" t="s">
        <v>21</v>
      </c>
      <c r="H1007">
        <v>0</v>
      </c>
      <c r="I1007" t="s">
        <v>24</v>
      </c>
      <c r="J1007" t="s">
        <v>36</v>
      </c>
      <c r="K1007">
        <v>12.5</v>
      </c>
      <c r="O1007">
        <f t="shared" si="17"/>
        <v>21.99</v>
      </c>
    </row>
    <row r="1008" spans="1:15" x14ac:dyDescent="0.35">
      <c r="A1008" t="s">
        <v>1347</v>
      </c>
      <c r="B1008">
        <v>1</v>
      </c>
      <c r="C1008">
        <v>30.99</v>
      </c>
      <c r="D1008">
        <v>30.99</v>
      </c>
      <c r="E1008" t="s">
        <v>579</v>
      </c>
      <c r="F1008" t="s">
        <v>1719</v>
      </c>
      <c r="G1008" t="s">
        <v>16</v>
      </c>
      <c r="H1008">
        <v>2</v>
      </c>
      <c r="I1008" t="s">
        <v>24</v>
      </c>
      <c r="J1008" t="s">
        <v>18</v>
      </c>
      <c r="K1008">
        <v>10.5</v>
      </c>
      <c r="O1008">
        <f t="shared" si="17"/>
        <v>21.99</v>
      </c>
    </row>
    <row r="1009" spans="1:15" x14ac:dyDescent="0.35">
      <c r="A1009" t="s">
        <v>1348</v>
      </c>
      <c r="B1009">
        <v>2</v>
      </c>
      <c r="C1009">
        <v>27.99</v>
      </c>
      <c r="D1009">
        <v>48.61</v>
      </c>
      <c r="E1009" t="s">
        <v>793</v>
      </c>
      <c r="F1009" t="s">
        <v>1720</v>
      </c>
      <c r="G1009" t="s">
        <v>87</v>
      </c>
      <c r="H1009">
        <v>0</v>
      </c>
      <c r="I1009" t="s">
        <v>41</v>
      </c>
      <c r="J1009" t="s">
        <v>31</v>
      </c>
      <c r="K1009">
        <v>9</v>
      </c>
      <c r="O1009">
        <f t="shared" si="17"/>
        <v>37.979999999999997</v>
      </c>
    </row>
    <row r="1010" spans="1:15" x14ac:dyDescent="0.35">
      <c r="A1010" t="s">
        <v>1349</v>
      </c>
      <c r="B1010">
        <v>1</v>
      </c>
      <c r="C1010">
        <v>34.99</v>
      </c>
      <c r="D1010">
        <v>34.99</v>
      </c>
      <c r="E1010" t="s">
        <v>775</v>
      </c>
      <c r="F1010" t="s">
        <v>1721</v>
      </c>
      <c r="G1010" t="s">
        <v>28</v>
      </c>
      <c r="H1010">
        <v>0</v>
      </c>
      <c r="I1010" t="s">
        <v>24</v>
      </c>
      <c r="J1010" t="s">
        <v>36</v>
      </c>
      <c r="K1010">
        <v>12.5</v>
      </c>
      <c r="O1010">
        <f t="shared" si="17"/>
        <v>21.99</v>
      </c>
    </row>
    <row r="1011" spans="1:15" x14ac:dyDescent="0.35">
      <c r="A1011" t="s">
        <v>1350</v>
      </c>
      <c r="B1011">
        <v>1</v>
      </c>
      <c r="C1011">
        <v>27.99</v>
      </c>
      <c r="D1011">
        <v>27.99</v>
      </c>
      <c r="E1011" t="s">
        <v>1156</v>
      </c>
      <c r="F1011" t="s">
        <v>1722</v>
      </c>
      <c r="G1011" t="s">
        <v>16</v>
      </c>
      <c r="H1011">
        <v>3</v>
      </c>
      <c r="I1011" t="s">
        <v>24</v>
      </c>
      <c r="J1011" t="s">
        <v>31</v>
      </c>
      <c r="K1011">
        <v>9</v>
      </c>
      <c r="O1011">
        <f t="shared" si="17"/>
        <v>21.99</v>
      </c>
    </row>
    <row r="1012" spans="1:15" x14ac:dyDescent="0.35">
      <c r="A1012" t="s">
        <v>1351</v>
      </c>
      <c r="B1012">
        <v>1</v>
      </c>
      <c r="C1012">
        <v>16.989999999999998</v>
      </c>
      <c r="D1012">
        <v>16.989999999999998</v>
      </c>
      <c r="E1012" t="s">
        <v>1352</v>
      </c>
      <c r="F1012" t="s">
        <v>1723</v>
      </c>
      <c r="G1012" t="s">
        <v>16</v>
      </c>
      <c r="H1012">
        <v>16</v>
      </c>
      <c r="I1012" t="s">
        <v>12</v>
      </c>
      <c r="J1012" t="s">
        <v>25</v>
      </c>
      <c r="K1012">
        <v>5</v>
      </c>
      <c r="O1012">
        <f t="shared" si="17"/>
        <v>21.99</v>
      </c>
    </row>
    <row r="1013" spans="1:15" x14ac:dyDescent="0.35">
      <c r="A1013" t="s">
        <v>1353</v>
      </c>
      <c r="B1013">
        <v>3</v>
      </c>
      <c r="C1013">
        <v>21.99</v>
      </c>
      <c r="D1013">
        <v>52.66</v>
      </c>
      <c r="E1013" t="s">
        <v>657</v>
      </c>
      <c r="F1013" t="s">
        <v>1724</v>
      </c>
      <c r="G1013" t="s">
        <v>16</v>
      </c>
      <c r="H1013">
        <v>3</v>
      </c>
      <c r="I1013" t="s">
        <v>17</v>
      </c>
      <c r="J1013" t="s">
        <v>13</v>
      </c>
      <c r="K1013">
        <v>7</v>
      </c>
      <c r="O1013">
        <f t="shared" si="17"/>
        <v>84.73</v>
      </c>
    </row>
    <row r="1014" spans="1:15" x14ac:dyDescent="0.35">
      <c r="A1014" t="s">
        <v>1354</v>
      </c>
      <c r="B1014">
        <v>1</v>
      </c>
      <c r="C1014">
        <v>30.99</v>
      </c>
      <c r="D1014">
        <v>30.99</v>
      </c>
      <c r="E1014" t="s">
        <v>84</v>
      </c>
      <c r="F1014" t="s">
        <v>1725</v>
      </c>
      <c r="G1014" t="s">
        <v>16</v>
      </c>
      <c r="H1014">
        <v>2</v>
      </c>
      <c r="I1014" t="s">
        <v>17</v>
      </c>
      <c r="J1014" t="s">
        <v>18</v>
      </c>
      <c r="K1014">
        <v>10.5</v>
      </c>
      <c r="O1014">
        <f t="shared" si="17"/>
        <v>21.99</v>
      </c>
    </row>
    <row r="1015" spans="1:15" x14ac:dyDescent="0.35">
      <c r="A1015" t="s">
        <v>1355</v>
      </c>
      <c r="B1015">
        <v>3</v>
      </c>
      <c r="C1015">
        <v>21.99</v>
      </c>
      <c r="D1015">
        <v>51.96</v>
      </c>
      <c r="E1015" t="s">
        <v>1306</v>
      </c>
      <c r="F1015" t="s">
        <v>1726</v>
      </c>
      <c r="G1015" t="s">
        <v>87</v>
      </c>
      <c r="H1015">
        <v>0</v>
      </c>
      <c r="I1015" t="s">
        <v>24</v>
      </c>
      <c r="J1015" t="s">
        <v>13</v>
      </c>
      <c r="K1015">
        <v>7</v>
      </c>
      <c r="O1015">
        <f t="shared" si="17"/>
        <v>84.73</v>
      </c>
    </row>
    <row r="1016" spans="1:15" x14ac:dyDescent="0.35">
      <c r="A1016" t="s">
        <v>1356</v>
      </c>
      <c r="B1016">
        <v>2</v>
      </c>
      <c r="C1016">
        <v>27.99</v>
      </c>
      <c r="D1016">
        <v>48.1</v>
      </c>
      <c r="E1016" t="s">
        <v>431</v>
      </c>
      <c r="F1016" t="s">
        <v>1727</v>
      </c>
      <c r="G1016" t="s">
        <v>16</v>
      </c>
      <c r="H1016">
        <v>2</v>
      </c>
      <c r="I1016" t="s">
        <v>24</v>
      </c>
      <c r="J1016" t="s">
        <v>31</v>
      </c>
      <c r="K1016">
        <v>9</v>
      </c>
      <c r="O1016">
        <f t="shared" si="17"/>
        <v>37.979999999999997</v>
      </c>
    </row>
    <row r="1017" spans="1:15" x14ac:dyDescent="0.35">
      <c r="A1017" t="s">
        <v>1357</v>
      </c>
      <c r="B1017">
        <v>1</v>
      </c>
      <c r="C1017">
        <v>30.99</v>
      </c>
      <c r="D1017">
        <v>30.99</v>
      </c>
      <c r="E1017" t="s">
        <v>176</v>
      </c>
      <c r="F1017" t="s">
        <v>1728</v>
      </c>
      <c r="G1017" t="s">
        <v>16</v>
      </c>
      <c r="H1017">
        <v>3</v>
      </c>
      <c r="I1017" t="s">
        <v>41</v>
      </c>
      <c r="J1017" t="s">
        <v>18</v>
      </c>
      <c r="K1017">
        <v>10.5</v>
      </c>
      <c r="O1017">
        <f t="shared" si="17"/>
        <v>21.99</v>
      </c>
    </row>
    <row r="1018" spans="1:15" x14ac:dyDescent="0.35">
      <c r="A1018" t="s">
        <v>1358</v>
      </c>
      <c r="B1018">
        <v>3</v>
      </c>
      <c r="C1018">
        <v>18.989999999999998</v>
      </c>
      <c r="D1018">
        <v>45.28</v>
      </c>
      <c r="E1018" t="s">
        <v>1022</v>
      </c>
      <c r="F1018" t="s">
        <v>1717</v>
      </c>
      <c r="G1018" t="s">
        <v>16</v>
      </c>
      <c r="H1018">
        <v>14</v>
      </c>
      <c r="I1018" t="s">
        <v>12</v>
      </c>
      <c r="J1018" t="s">
        <v>42</v>
      </c>
      <c r="K1018">
        <v>6</v>
      </c>
      <c r="O1018">
        <f t="shared" si="17"/>
        <v>84.73</v>
      </c>
    </row>
    <row r="1019" spans="1:15" x14ac:dyDescent="0.35">
      <c r="A1019" t="s">
        <v>1359</v>
      </c>
      <c r="B1019">
        <v>3</v>
      </c>
      <c r="C1019">
        <v>27.99</v>
      </c>
      <c r="D1019">
        <v>66.239999999999995</v>
      </c>
      <c r="E1019" t="s">
        <v>1268</v>
      </c>
      <c r="F1019" t="s">
        <v>1718</v>
      </c>
      <c r="G1019" t="s">
        <v>21</v>
      </c>
      <c r="H1019">
        <v>0</v>
      </c>
      <c r="I1019" t="s">
        <v>17</v>
      </c>
      <c r="J1019" t="s">
        <v>31</v>
      </c>
      <c r="K1019">
        <v>9</v>
      </c>
      <c r="O1019">
        <f t="shared" si="17"/>
        <v>84.73</v>
      </c>
    </row>
    <row r="1020" spans="1:15" x14ac:dyDescent="0.35">
      <c r="A1020" t="s">
        <v>1360</v>
      </c>
      <c r="B1020">
        <v>1</v>
      </c>
      <c r="C1020">
        <v>27.99</v>
      </c>
      <c r="D1020">
        <v>27.99</v>
      </c>
      <c r="E1020" t="s">
        <v>122</v>
      </c>
      <c r="F1020" t="s">
        <v>1719</v>
      </c>
      <c r="G1020" t="s">
        <v>16</v>
      </c>
      <c r="H1020">
        <v>3</v>
      </c>
      <c r="I1020" t="s">
        <v>24</v>
      </c>
      <c r="J1020" t="s">
        <v>31</v>
      </c>
      <c r="K1020">
        <v>9</v>
      </c>
      <c r="O1020">
        <f t="shared" si="17"/>
        <v>21.99</v>
      </c>
    </row>
    <row r="1021" spans="1:15" x14ac:dyDescent="0.35">
      <c r="A1021" t="s">
        <v>1361</v>
      </c>
      <c r="B1021">
        <v>1</v>
      </c>
      <c r="C1021">
        <v>18.989999999999998</v>
      </c>
      <c r="D1021">
        <v>18.989999999999998</v>
      </c>
      <c r="E1021" t="s">
        <v>148</v>
      </c>
      <c r="F1021" t="s">
        <v>1720</v>
      </c>
      <c r="G1021" t="s">
        <v>16</v>
      </c>
      <c r="H1021">
        <v>10</v>
      </c>
      <c r="I1021" t="s">
        <v>12</v>
      </c>
      <c r="J1021" t="s">
        <v>42</v>
      </c>
      <c r="K1021">
        <v>6</v>
      </c>
      <c r="O1021">
        <f t="shared" si="17"/>
        <v>21.99</v>
      </c>
    </row>
    <row r="1022" spans="1:15" x14ac:dyDescent="0.35">
      <c r="A1022" t="s">
        <v>1362</v>
      </c>
      <c r="B1022">
        <v>2</v>
      </c>
      <c r="C1022">
        <v>27.99</v>
      </c>
      <c r="D1022">
        <v>48.54</v>
      </c>
      <c r="E1022" t="s">
        <v>857</v>
      </c>
      <c r="F1022" t="s">
        <v>1721</v>
      </c>
      <c r="G1022" t="s">
        <v>28</v>
      </c>
      <c r="H1022">
        <v>0</v>
      </c>
      <c r="I1022" t="s">
        <v>17</v>
      </c>
      <c r="J1022" t="s">
        <v>31</v>
      </c>
      <c r="K1022">
        <v>9</v>
      </c>
      <c r="O1022">
        <f t="shared" si="17"/>
        <v>37.979999999999997</v>
      </c>
    </row>
    <row r="1023" spans="1:15" x14ac:dyDescent="0.35">
      <c r="A1023" t="s">
        <v>1363</v>
      </c>
      <c r="B1023">
        <v>3</v>
      </c>
      <c r="C1023">
        <v>16.989999999999998</v>
      </c>
      <c r="D1023">
        <v>41.09</v>
      </c>
      <c r="E1023" t="s">
        <v>699</v>
      </c>
      <c r="F1023" t="s">
        <v>1722</v>
      </c>
      <c r="G1023" t="s">
        <v>87</v>
      </c>
      <c r="H1023">
        <v>0</v>
      </c>
      <c r="I1023" t="s">
        <v>12</v>
      </c>
      <c r="J1023" t="s">
        <v>25</v>
      </c>
      <c r="K1023">
        <v>5</v>
      </c>
      <c r="O1023">
        <f t="shared" si="17"/>
        <v>84.73</v>
      </c>
    </row>
    <row r="1024" spans="1:15" x14ac:dyDescent="0.35">
      <c r="A1024" t="s">
        <v>1364</v>
      </c>
      <c r="B1024">
        <v>1</v>
      </c>
      <c r="C1024">
        <v>30.99</v>
      </c>
      <c r="D1024">
        <v>30.99</v>
      </c>
      <c r="E1024" t="s">
        <v>1114</v>
      </c>
      <c r="F1024" t="s">
        <v>1723</v>
      </c>
      <c r="G1024" t="s">
        <v>16</v>
      </c>
      <c r="H1024">
        <v>3</v>
      </c>
      <c r="I1024" t="s">
        <v>41</v>
      </c>
      <c r="J1024" t="s">
        <v>18</v>
      </c>
      <c r="K1024">
        <v>10.5</v>
      </c>
      <c r="O1024">
        <f t="shared" si="17"/>
        <v>21.99</v>
      </c>
    </row>
    <row r="1025" spans="1:15" x14ac:dyDescent="0.35">
      <c r="A1025" t="s">
        <v>1365</v>
      </c>
      <c r="B1025">
        <v>1</v>
      </c>
      <c r="C1025">
        <v>18.989999999999998</v>
      </c>
      <c r="D1025">
        <v>18.989999999999998</v>
      </c>
      <c r="E1025" t="s">
        <v>703</v>
      </c>
      <c r="F1025" t="s">
        <v>1724</v>
      </c>
      <c r="G1025" t="s">
        <v>21</v>
      </c>
      <c r="H1025">
        <v>0</v>
      </c>
      <c r="I1025" t="s">
        <v>12</v>
      </c>
      <c r="J1025" t="s">
        <v>42</v>
      </c>
      <c r="K1025">
        <v>6</v>
      </c>
      <c r="O1025">
        <f t="shared" si="17"/>
        <v>21.99</v>
      </c>
    </row>
    <row r="1026" spans="1:15" x14ac:dyDescent="0.35">
      <c r="A1026" t="s">
        <v>1366</v>
      </c>
      <c r="B1026">
        <v>3</v>
      </c>
      <c r="C1026">
        <v>16.989999999999998</v>
      </c>
      <c r="D1026">
        <v>41.25</v>
      </c>
      <c r="E1026" t="s">
        <v>1367</v>
      </c>
      <c r="F1026" t="s">
        <v>1725</v>
      </c>
      <c r="G1026" t="s">
        <v>16</v>
      </c>
      <c r="H1026">
        <v>18</v>
      </c>
      <c r="I1026" t="s">
        <v>41</v>
      </c>
      <c r="J1026" t="s">
        <v>25</v>
      </c>
      <c r="K1026">
        <v>5</v>
      </c>
      <c r="O1026">
        <f t="shared" ref="O1026:O1089" si="18">VLOOKUP(B:B,B:H,3,FALSE)</f>
        <v>84.73</v>
      </c>
    </row>
    <row r="1027" spans="1:15" x14ac:dyDescent="0.35">
      <c r="A1027" t="s">
        <v>1368</v>
      </c>
      <c r="B1027">
        <v>2</v>
      </c>
      <c r="C1027">
        <v>27.99</v>
      </c>
      <c r="D1027">
        <v>48.89</v>
      </c>
      <c r="E1027" t="s">
        <v>1369</v>
      </c>
      <c r="F1027" t="s">
        <v>1726</v>
      </c>
      <c r="G1027" t="s">
        <v>16</v>
      </c>
      <c r="H1027">
        <v>3</v>
      </c>
      <c r="I1027" t="s">
        <v>24</v>
      </c>
      <c r="J1027" t="s">
        <v>31</v>
      </c>
      <c r="K1027">
        <v>9</v>
      </c>
      <c r="O1027">
        <f t="shared" si="18"/>
        <v>37.979999999999997</v>
      </c>
    </row>
    <row r="1028" spans="1:15" x14ac:dyDescent="0.35">
      <c r="A1028" t="s">
        <v>1370</v>
      </c>
      <c r="B1028">
        <v>1</v>
      </c>
      <c r="C1028">
        <v>34.99</v>
      </c>
      <c r="D1028">
        <v>34.99</v>
      </c>
      <c r="E1028" t="s">
        <v>655</v>
      </c>
      <c r="F1028" t="s">
        <v>1727</v>
      </c>
      <c r="G1028" t="s">
        <v>21</v>
      </c>
      <c r="H1028">
        <v>0</v>
      </c>
      <c r="I1028" t="s">
        <v>17</v>
      </c>
      <c r="J1028" t="s">
        <v>36</v>
      </c>
      <c r="K1028">
        <v>12.5</v>
      </c>
      <c r="O1028">
        <f t="shared" si="18"/>
        <v>21.99</v>
      </c>
    </row>
    <row r="1029" spans="1:15" x14ac:dyDescent="0.35">
      <c r="A1029" t="s">
        <v>1371</v>
      </c>
      <c r="B1029">
        <v>2</v>
      </c>
      <c r="C1029">
        <v>30.99</v>
      </c>
      <c r="D1029">
        <v>53.02</v>
      </c>
      <c r="E1029" t="s">
        <v>134</v>
      </c>
      <c r="F1029" t="s">
        <v>1728</v>
      </c>
      <c r="G1029" t="s">
        <v>16</v>
      </c>
      <c r="H1029">
        <v>3</v>
      </c>
      <c r="I1029" t="s">
        <v>12</v>
      </c>
      <c r="J1029" t="s">
        <v>18</v>
      </c>
      <c r="K1029">
        <v>10.5</v>
      </c>
      <c r="O1029">
        <f t="shared" si="18"/>
        <v>37.979999999999997</v>
      </c>
    </row>
    <row r="1030" spans="1:15" x14ac:dyDescent="0.35">
      <c r="A1030" t="s">
        <v>1372</v>
      </c>
      <c r="B1030">
        <v>2</v>
      </c>
      <c r="C1030">
        <v>18.989999999999998</v>
      </c>
      <c r="D1030">
        <v>32.770000000000003</v>
      </c>
      <c r="E1030" t="s">
        <v>923</v>
      </c>
      <c r="F1030" t="s">
        <v>1717</v>
      </c>
      <c r="G1030" t="s">
        <v>87</v>
      </c>
      <c r="H1030">
        <v>0</v>
      </c>
      <c r="I1030" t="s">
        <v>12</v>
      </c>
      <c r="J1030" t="s">
        <v>42</v>
      </c>
      <c r="K1030">
        <v>6</v>
      </c>
      <c r="O1030">
        <f t="shared" si="18"/>
        <v>37.979999999999997</v>
      </c>
    </row>
    <row r="1031" spans="1:15" x14ac:dyDescent="0.35">
      <c r="A1031" t="s">
        <v>1373</v>
      </c>
      <c r="B1031">
        <v>1</v>
      </c>
      <c r="C1031">
        <v>27.99</v>
      </c>
      <c r="D1031">
        <v>27.99</v>
      </c>
      <c r="E1031" t="s">
        <v>549</v>
      </c>
      <c r="F1031" t="s">
        <v>1718</v>
      </c>
      <c r="G1031" t="s">
        <v>11</v>
      </c>
      <c r="H1031">
        <v>2</v>
      </c>
      <c r="I1031" t="s">
        <v>12</v>
      </c>
      <c r="J1031" t="s">
        <v>31</v>
      </c>
      <c r="K1031">
        <v>9</v>
      </c>
      <c r="O1031">
        <f t="shared" si="18"/>
        <v>21.99</v>
      </c>
    </row>
    <row r="1032" spans="1:15" x14ac:dyDescent="0.35">
      <c r="A1032" t="s">
        <v>1374</v>
      </c>
      <c r="B1032">
        <v>1</v>
      </c>
      <c r="C1032">
        <v>21.99</v>
      </c>
      <c r="D1032">
        <v>21.99</v>
      </c>
      <c r="E1032" t="s">
        <v>1123</v>
      </c>
      <c r="F1032" t="s">
        <v>1719</v>
      </c>
      <c r="G1032" t="s">
        <v>11</v>
      </c>
      <c r="H1032">
        <v>3</v>
      </c>
      <c r="I1032" t="s">
        <v>24</v>
      </c>
      <c r="J1032" t="s">
        <v>13</v>
      </c>
      <c r="K1032">
        <v>7</v>
      </c>
      <c r="O1032">
        <f t="shared" si="18"/>
        <v>21.99</v>
      </c>
    </row>
    <row r="1033" spans="1:15" x14ac:dyDescent="0.35">
      <c r="A1033" t="s">
        <v>1375</v>
      </c>
      <c r="B1033">
        <v>1</v>
      </c>
      <c r="C1033">
        <v>21.99</v>
      </c>
      <c r="D1033">
        <v>21.99</v>
      </c>
      <c r="E1033" s="6">
        <v>46165</v>
      </c>
      <c r="F1033" t="s">
        <v>1720</v>
      </c>
      <c r="G1033" t="s">
        <v>87</v>
      </c>
      <c r="H1033">
        <v>0</v>
      </c>
      <c r="I1033" t="s">
        <v>17</v>
      </c>
      <c r="J1033" t="s">
        <v>13</v>
      </c>
      <c r="K1033">
        <v>7</v>
      </c>
      <c r="O1033">
        <f t="shared" si="18"/>
        <v>21.99</v>
      </c>
    </row>
    <row r="1034" spans="1:15" x14ac:dyDescent="0.35">
      <c r="A1034" t="s">
        <v>1376</v>
      </c>
      <c r="B1034">
        <v>2</v>
      </c>
      <c r="C1034">
        <v>34.99</v>
      </c>
      <c r="D1034">
        <v>61.18</v>
      </c>
      <c r="E1034" t="s">
        <v>66</v>
      </c>
      <c r="F1034" t="s">
        <v>1721</v>
      </c>
      <c r="G1034" t="s">
        <v>16</v>
      </c>
      <c r="H1034">
        <v>8</v>
      </c>
      <c r="I1034" t="s">
        <v>24</v>
      </c>
      <c r="J1034" t="s">
        <v>36</v>
      </c>
      <c r="K1034">
        <v>12.5</v>
      </c>
      <c r="O1034">
        <f t="shared" si="18"/>
        <v>37.979999999999997</v>
      </c>
    </row>
    <row r="1035" spans="1:15" x14ac:dyDescent="0.35">
      <c r="A1035" t="s">
        <v>1377</v>
      </c>
      <c r="B1035">
        <v>1</v>
      </c>
      <c r="C1035">
        <v>16.989999999999998</v>
      </c>
      <c r="D1035">
        <v>16.989999999999998</v>
      </c>
      <c r="E1035" t="s">
        <v>668</v>
      </c>
      <c r="F1035" t="s">
        <v>1722</v>
      </c>
      <c r="G1035" t="s">
        <v>16</v>
      </c>
      <c r="H1035">
        <v>16</v>
      </c>
      <c r="I1035" t="s">
        <v>17</v>
      </c>
      <c r="J1035" t="s">
        <v>25</v>
      </c>
      <c r="K1035">
        <v>5</v>
      </c>
      <c r="O1035">
        <f t="shared" si="18"/>
        <v>21.99</v>
      </c>
    </row>
    <row r="1036" spans="1:15" x14ac:dyDescent="0.35">
      <c r="A1036" t="s">
        <v>1378</v>
      </c>
      <c r="B1036">
        <v>3</v>
      </c>
      <c r="C1036">
        <v>27.99</v>
      </c>
      <c r="D1036">
        <v>66.2</v>
      </c>
      <c r="E1036" t="s">
        <v>453</v>
      </c>
      <c r="F1036" t="s">
        <v>1723</v>
      </c>
      <c r="G1036" t="s">
        <v>21</v>
      </c>
      <c r="H1036">
        <v>0</v>
      </c>
      <c r="I1036" t="s">
        <v>17</v>
      </c>
      <c r="J1036" t="s">
        <v>31</v>
      </c>
      <c r="K1036">
        <v>9</v>
      </c>
      <c r="O1036">
        <f t="shared" si="18"/>
        <v>84.73</v>
      </c>
    </row>
    <row r="1037" spans="1:15" x14ac:dyDescent="0.35">
      <c r="A1037" t="s">
        <v>1379</v>
      </c>
      <c r="B1037">
        <v>1</v>
      </c>
      <c r="C1037">
        <v>34.99</v>
      </c>
      <c r="D1037">
        <v>34.99</v>
      </c>
      <c r="E1037" t="s">
        <v>955</v>
      </c>
      <c r="F1037" t="s">
        <v>1724</v>
      </c>
      <c r="G1037" t="s">
        <v>11</v>
      </c>
      <c r="H1037">
        <v>8</v>
      </c>
      <c r="I1037" t="s">
        <v>12</v>
      </c>
      <c r="J1037" t="s">
        <v>36</v>
      </c>
      <c r="K1037">
        <v>12.5</v>
      </c>
      <c r="O1037">
        <f t="shared" si="18"/>
        <v>21.99</v>
      </c>
    </row>
    <row r="1038" spans="1:15" x14ac:dyDescent="0.35">
      <c r="A1038" t="s">
        <v>1380</v>
      </c>
      <c r="B1038">
        <v>1</v>
      </c>
      <c r="C1038">
        <v>34.99</v>
      </c>
      <c r="D1038">
        <v>34.99</v>
      </c>
      <c r="E1038" t="s">
        <v>567</v>
      </c>
      <c r="F1038" t="s">
        <v>1725</v>
      </c>
      <c r="G1038" t="s">
        <v>16</v>
      </c>
      <c r="H1038">
        <v>5</v>
      </c>
      <c r="I1038" t="s">
        <v>17</v>
      </c>
      <c r="J1038" t="s">
        <v>36</v>
      </c>
      <c r="K1038">
        <v>12.5</v>
      </c>
      <c r="O1038">
        <f t="shared" si="18"/>
        <v>21.99</v>
      </c>
    </row>
    <row r="1039" spans="1:15" x14ac:dyDescent="0.35">
      <c r="A1039" t="s">
        <v>1381</v>
      </c>
      <c r="B1039">
        <v>1</v>
      </c>
      <c r="C1039">
        <v>34.99</v>
      </c>
      <c r="D1039">
        <v>34.99</v>
      </c>
      <c r="E1039" t="s">
        <v>240</v>
      </c>
      <c r="F1039" t="s">
        <v>1726</v>
      </c>
      <c r="G1039" t="s">
        <v>16</v>
      </c>
      <c r="H1039">
        <v>5</v>
      </c>
      <c r="I1039" t="s">
        <v>17</v>
      </c>
      <c r="J1039" t="s">
        <v>36</v>
      </c>
      <c r="K1039">
        <v>12.5</v>
      </c>
      <c r="O1039">
        <f t="shared" si="18"/>
        <v>21.99</v>
      </c>
    </row>
    <row r="1040" spans="1:15" x14ac:dyDescent="0.35">
      <c r="A1040" t="s">
        <v>1382</v>
      </c>
      <c r="B1040">
        <v>1</v>
      </c>
      <c r="C1040">
        <v>30.99</v>
      </c>
      <c r="D1040">
        <v>30.99</v>
      </c>
      <c r="E1040" t="s">
        <v>625</v>
      </c>
      <c r="F1040" t="s">
        <v>1727</v>
      </c>
      <c r="G1040" t="s">
        <v>21</v>
      </c>
      <c r="H1040">
        <v>0</v>
      </c>
      <c r="I1040" t="s">
        <v>41</v>
      </c>
      <c r="J1040" t="s">
        <v>18</v>
      </c>
      <c r="K1040">
        <v>10.5</v>
      </c>
      <c r="O1040">
        <f t="shared" si="18"/>
        <v>21.99</v>
      </c>
    </row>
    <row r="1041" spans="1:15" x14ac:dyDescent="0.35">
      <c r="A1041" t="s">
        <v>1383</v>
      </c>
      <c r="B1041">
        <v>1</v>
      </c>
      <c r="C1041">
        <v>21.99</v>
      </c>
      <c r="D1041">
        <v>21.99</v>
      </c>
      <c r="E1041" t="s">
        <v>890</v>
      </c>
      <c r="F1041" t="s">
        <v>1728</v>
      </c>
      <c r="G1041" t="s">
        <v>21</v>
      </c>
      <c r="H1041">
        <v>0</v>
      </c>
      <c r="I1041" t="s">
        <v>24</v>
      </c>
      <c r="J1041" t="s">
        <v>13</v>
      </c>
      <c r="K1041">
        <v>7</v>
      </c>
      <c r="O1041">
        <f t="shared" si="18"/>
        <v>21.99</v>
      </c>
    </row>
    <row r="1042" spans="1:15" x14ac:dyDescent="0.35">
      <c r="A1042" t="s">
        <v>1384</v>
      </c>
      <c r="B1042">
        <v>1</v>
      </c>
      <c r="C1042">
        <v>21.99</v>
      </c>
      <c r="D1042">
        <v>21.99</v>
      </c>
      <c r="E1042" t="s">
        <v>1385</v>
      </c>
      <c r="F1042" t="s">
        <v>1717</v>
      </c>
      <c r="G1042" t="s">
        <v>16</v>
      </c>
      <c r="H1042">
        <v>3</v>
      </c>
      <c r="I1042" t="s">
        <v>17</v>
      </c>
      <c r="J1042" t="s">
        <v>13</v>
      </c>
      <c r="K1042">
        <v>7</v>
      </c>
      <c r="O1042">
        <f t="shared" si="18"/>
        <v>21.99</v>
      </c>
    </row>
    <row r="1043" spans="1:15" x14ac:dyDescent="0.35">
      <c r="A1043" t="s">
        <v>1386</v>
      </c>
      <c r="B1043">
        <v>1</v>
      </c>
      <c r="C1043">
        <v>34.99</v>
      </c>
      <c r="D1043">
        <v>34.99</v>
      </c>
      <c r="E1043" t="s">
        <v>734</v>
      </c>
      <c r="F1043" t="s">
        <v>1718</v>
      </c>
      <c r="G1043" t="s">
        <v>11</v>
      </c>
      <c r="H1043">
        <v>10</v>
      </c>
      <c r="I1043" t="s">
        <v>17</v>
      </c>
      <c r="J1043" t="s">
        <v>36</v>
      </c>
      <c r="K1043">
        <v>12.5</v>
      </c>
      <c r="O1043">
        <f t="shared" si="18"/>
        <v>21.99</v>
      </c>
    </row>
    <row r="1044" spans="1:15" x14ac:dyDescent="0.35">
      <c r="A1044" t="s">
        <v>1387</v>
      </c>
      <c r="B1044">
        <v>1</v>
      </c>
      <c r="C1044">
        <v>27.99</v>
      </c>
      <c r="D1044">
        <v>27.99</v>
      </c>
      <c r="E1044" t="s">
        <v>832</v>
      </c>
      <c r="F1044" t="s">
        <v>1719</v>
      </c>
      <c r="G1044" t="s">
        <v>87</v>
      </c>
      <c r="H1044">
        <v>0</v>
      </c>
      <c r="I1044" t="s">
        <v>12</v>
      </c>
      <c r="J1044" t="s">
        <v>31</v>
      </c>
      <c r="K1044">
        <v>9</v>
      </c>
      <c r="O1044">
        <f t="shared" si="18"/>
        <v>21.99</v>
      </c>
    </row>
    <row r="1045" spans="1:15" x14ac:dyDescent="0.35">
      <c r="A1045" t="s">
        <v>1388</v>
      </c>
      <c r="B1045">
        <v>3</v>
      </c>
      <c r="C1045">
        <v>16.989999999999998</v>
      </c>
      <c r="D1045">
        <v>41.07</v>
      </c>
      <c r="E1045" t="s">
        <v>126</v>
      </c>
      <c r="F1045" t="s">
        <v>1720</v>
      </c>
      <c r="G1045" t="s">
        <v>87</v>
      </c>
      <c r="H1045">
        <v>0</v>
      </c>
      <c r="I1045" t="s">
        <v>12</v>
      </c>
      <c r="J1045" t="s">
        <v>25</v>
      </c>
      <c r="K1045">
        <v>5</v>
      </c>
      <c r="O1045">
        <f t="shared" si="18"/>
        <v>84.73</v>
      </c>
    </row>
    <row r="1046" spans="1:15" x14ac:dyDescent="0.35">
      <c r="A1046" t="s">
        <v>1389</v>
      </c>
      <c r="B1046">
        <v>1</v>
      </c>
      <c r="C1046">
        <v>18.989999999999998</v>
      </c>
      <c r="D1046">
        <v>18.989999999999998</v>
      </c>
      <c r="E1046" t="s">
        <v>1176</v>
      </c>
      <c r="F1046" t="s">
        <v>1721</v>
      </c>
      <c r="G1046" t="s">
        <v>16</v>
      </c>
      <c r="H1046">
        <v>13</v>
      </c>
      <c r="I1046" t="s">
        <v>12</v>
      </c>
      <c r="J1046" t="s">
        <v>42</v>
      </c>
      <c r="K1046">
        <v>6</v>
      </c>
      <c r="O1046">
        <f t="shared" si="18"/>
        <v>21.99</v>
      </c>
    </row>
    <row r="1047" spans="1:15" x14ac:dyDescent="0.35">
      <c r="A1047" t="s">
        <v>1390</v>
      </c>
      <c r="B1047">
        <v>3</v>
      </c>
      <c r="C1047">
        <v>18.989999999999998</v>
      </c>
      <c r="D1047">
        <v>45.69</v>
      </c>
      <c r="E1047" t="s">
        <v>1385</v>
      </c>
      <c r="F1047" t="s">
        <v>1722</v>
      </c>
      <c r="G1047" t="s">
        <v>16</v>
      </c>
      <c r="H1047">
        <v>11</v>
      </c>
      <c r="I1047" t="s">
        <v>24</v>
      </c>
      <c r="J1047" t="s">
        <v>42</v>
      </c>
      <c r="K1047">
        <v>6</v>
      </c>
      <c r="O1047">
        <f t="shared" si="18"/>
        <v>84.73</v>
      </c>
    </row>
    <row r="1048" spans="1:15" x14ac:dyDescent="0.35">
      <c r="A1048" t="s">
        <v>1391</v>
      </c>
      <c r="B1048">
        <v>1</v>
      </c>
      <c r="C1048">
        <v>34.99</v>
      </c>
      <c r="D1048">
        <v>34.99</v>
      </c>
      <c r="E1048" t="s">
        <v>1232</v>
      </c>
      <c r="F1048" t="s">
        <v>1723</v>
      </c>
      <c r="G1048" t="s">
        <v>28</v>
      </c>
      <c r="H1048">
        <v>0</v>
      </c>
      <c r="I1048" t="s">
        <v>12</v>
      </c>
      <c r="J1048" t="s">
        <v>36</v>
      </c>
      <c r="K1048">
        <v>12.5</v>
      </c>
      <c r="O1048">
        <f t="shared" si="18"/>
        <v>21.99</v>
      </c>
    </row>
    <row r="1049" spans="1:15" x14ac:dyDescent="0.35">
      <c r="A1049" t="s">
        <v>1392</v>
      </c>
      <c r="B1049">
        <v>2</v>
      </c>
      <c r="C1049">
        <v>27.99</v>
      </c>
      <c r="D1049">
        <v>48.8</v>
      </c>
      <c r="E1049" t="s">
        <v>664</v>
      </c>
      <c r="F1049" t="s">
        <v>1724</v>
      </c>
      <c r="G1049" t="s">
        <v>11</v>
      </c>
      <c r="H1049">
        <v>3</v>
      </c>
      <c r="I1049" t="s">
        <v>24</v>
      </c>
      <c r="J1049" t="s">
        <v>31</v>
      </c>
      <c r="K1049">
        <v>9</v>
      </c>
      <c r="O1049">
        <f t="shared" si="18"/>
        <v>37.979999999999997</v>
      </c>
    </row>
    <row r="1050" spans="1:15" x14ac:dyDescent="0.35">
      <c r="A1050" t="s">
        <v>1393</v>
      </c>
      <c r="B1050">
        <v>3</v>
      </c>
      <c r="C1050">
        <v>30.99</v>
      </c>
      <c r="D1050">
        <v>73.47</v>
      </c>
      <c r="E1050" t="s">
        <v>1319</v>
      </c>
      <c r="F1050" t="s">
        <v>1725</v>
      </c>
      <c r="G1050" t="s">
        <v>16</v>
      </c>
      <c r="H1050">
        <v>2</v>
      </c>
      <c r="I1050" t="s">
        <v>24</v>
      </c>
      <c r="J1050" t="s">
        <v>18</v>
      </c>
      <c r="K1050">
        <v>10.5</v>
      </c>
      <c r="O1050">
        <f t="shared" si="18"/>
        <v>84.73</v>
      </c>
    </row>
    <row r="1051" spans="1:15" x14ac:dyDescent="0.35">
      <c r="A1051" t="s">
        <v>1394</v>
      </c>
      <c r="B1051">
        <v>1</v>
      </c>
      <c r="C1051">
        <v>18.989999999999998</v>
      </c>
      <c r="D1051">
        <v>18.989999999999998</v>
      </c>
      <c r="E1051" t="s">
        <v>84</v>
      </c>
      <c r="F1051" t="s">
        <v>1726</v>
      </c>
      <c r="G1051" t="s">
        <v>21</v>
      </c>
      <c r="H1051">
        <v>0</v>
      </c>
      <c r="I1051" t="s">
        <v>24</v>
      </c>
      <c r="J1051" t="s">
        <v>42</v>
      </c>
      <c r="K1051">
        <v>6</v>
      </c>
      <c r="O1051">
        <f t="shared" si="18"/>
        <v>21.99</v>
      </c>
    </row>
    <row r="1052" spans="1:15" x14ac:dyDescent="0.35">
      <c r="A1052" t="s">
        <v>1395</v>
      </c>
      <c r="B1052">
        <v>1</v>
      </c>
      <c r="C1052">
        <v>16.989999999999998</v>
      </c>
      <c r="D1052">
        <v>16.989999999999998</v>
      </c>
      <c r="E1052" t="s">
        <v>1396</v>
      </c>
      <c r="F1052" t="s">
        <v>1727</v>
      </c>
      <c r="G1052" t="s">
        <v>21</v>
      </c>
      <c r="H1052">
        <v>0</v>
      </c>
      <c r="I1052" t="s">
        <v>41</v>
      </c>
      <c r="J1052" t="s">
        <v>25</v>
      </c>
      <c r="K1052">
        <v>5</v>
      </c>
      <c r="O1052">
        <f t="shared" si="18"/>
        <v>21.99</v>
      </c>
    </row>
    <row r="1053" spans="1:15" x14ac:dyDescent="0.35">
      <c r="A1053" t="s">
        <v>1397</v>
      </c>
      <c r="B1053">
        <v>1</v>
      </c>
      <c r="C1053">
        <v>18.989999999999998</v>
      </c>
      <c r="D1053">
        <v>18.989999999999998</v>
      </c>
      <c r="E1053" t="s">
        <v>806</v>
      </c>
      <c r="F1053" t="s">
        <v>1728</v>
      </c>
      <c r="G1053" t="s">
        <v>16</v>
      </c>
      <c r="H1053">
        <v>12</v>
      </c>
      <c r="I1053" t="s">
        <v>24</v>
      </c>
      <c r="J1053" t="s">
        <v>42</v>
      </c>
      <c r="K1053">
        <v>6</v>
      </c>
      <c r="O1053">
        <f t="shared" si="18"/>
        <v>21.99</v>
      </c>
    </row>
    <row r="1054" spans="1:15" x14ac:dyDescent="0.35">
      <c r="A1054" t="s">
        <v>1398</v>
      </c>
      <c r="B1054">
        <v>1</v>
      </c>
      <c r="C1054">
        <v>16.989999999999998</v>
      </c>
      <c r="D1054">
        <v>16.989999999999998</v>
      </c>
      <c r="E1054" t="s">
        <v>52</v>
      </c>
      <c r="F1054" t="s">
        <v>1717</v>
      </c>
      <c r="G1054" t="s">
        <v>11</v>
      </c>
      <c r="H1054">
        <v>15</v>
      </c>
      <c r="I1054" t="s">
        <v>24</v>
      </c>
      <c r="J1054" t="s">
        <v>25</v>
      </c>
      <c r="K1054">
        <v>5</v>
      </c>
      <c r="O1054">
        <f t="shared" si="18"/>
        <v>21.99</v>
      </c>
    </row>
    <row r="1055" spans="1:15" x14ac:dyDescent="0.35">
      <c r="A1055" t="s">
        <v>1399</v>
      </c>
      <c r="B1055">
        <v>1</v>
      </c>
      <c r="C1055">
        <v>27.99</v>
      </c>
      <c r="D1055">
        <v>27.99</v>
      </c>
      <c r="E1055" t="s">
        <v>498</v>
      </c>
      <c r="F1055" t="s">
        <v>1718</v>
      </c>
      <c r="G1055" t="s">
        <v>21</v>
      </c>
      <c r="H1055">
        <v>0</v>
      </c>
      <c r="I1055" t="s">
        <v>24</v>
      </c>
      <c r="J1055" t="s">
        <v>31</v>
      </c>
      <c r="K1055">
        <v>9</v>
      </c>
      <c r="O1055">
        <f t="shared" si="18"/>
        <v>21.99</v>
      </c>
    </row>
    <row r="1056" spans="1:15" x14ac:dyDescent="0.35">
      <c r="A1056" t="s">
        <v>1400</v>
      </c>
      <c r="B1056">
        <v>1</v>
      </c>
      <c r="C1056">
        <v>18.989999999999998</v>
      </c>
      <c r="D1056">
        <v>18.989999999999998</v>
      </c>
      <c r="E1056" t="s">
        <v>108</v>
      </c>
      <c r="F1056" t="s">
        <v>1719</v>
      </c>
      <c r="G1056" t="s">
        <v>87</v>
      </c>
      <c r="H1056">
        <v>0</v>
      </c>
      <c r="I1056" t="s">
        <v>12</v>
      </c>
      <c r="J1056" t="s">
        <v>42</v>
      </c>
      <c r="K1056">
        <v>6</v>
      </c>
      <c r="O1056">
        <f t="shared" si="18"/>
        <v>21.99</v>
      </c>
    </row>
    <row r="1057" spans="1:15" x14ac:dyDescent="0.35">
      <c r="A1057" t="s">
        <v>1401</v>
      </c>
      <c r="B1057">
        <v>1</v>
      </c>
      <c r="C1057">
        <v>21.99</v>
      </c>
      <c r="D1057">
        <v>21.99</v>
      </c>
      <c r="E1057" t="s">
        <v>610</v>
      </c>
      <c r="F1057" t="s">
        <v>1720</v>
      </c>
      <c r="G1057" t="s">
        <v>16</v>
      </c>
      <c r="H1057">
        <v>3</v>
      </c>
      <c r="I1057" t="s">
        <v>12</v>
      </c>
      <c r="J1057" t="s">
        <v>13</v>
      </c>
      <c r="K1057">
        <v>7</v>
      </c>
      <c r="O1057">
        <f t="shared" si="18"/>
        <v>21.99</v>
      </c>
    </row>
    <row r="1058" spans="1:15" x14ac:dyDescent="0.35">
      <c r="A1058" t="s">
        <v>1402</v>
      </c>
      <c r="B1058">
        <v>1</v>
      </c>
      <c r="C1058">
        <v>30.99</v>
      </c>
      <c r="D1058">
        <v>30.99</v>
      </c>
      <c r="E1058" t="s">
        <v>1403</v>
      </c>
      <c r="F1058" t="s">
        <v>1721</v>
      </c>
      <c r="G1058" t="s">
        <v>16</v>
      </c>
      <c r="H1058">
        <v>3</v>
      </c>
      <c r="I1058" t="s">
        <v>41</v>
      </c>
      <c r="J1058" t="s">
        <v>18</v>
      </c>
      <c r="K1058">
        <v>10.5</v>
      </c>
      <c r="O1058">
        <f t="shared" si="18"/>
        <v>21.99</v>
      </c>
    </row>
    <row r="1059" spans="1:15" x14ac:dyDescent="0.35">
      <c r="A1059" t="s">
        <v>1404</v>
      </c>
      <c r="B1059">
        <v>3</v>
      </c>
      <c r="C1059">
        <v>30.99</v>
      </c>
      <c r="D1059">
        <v>74.77</v>
      </c>
      <c r="E1059" t="s">
        <v>50</v>
      </c>
      <c r="F1059" t="s">
        <v>1722</v>
      </c>
      <c r="G1059" t="s">
        <v>21</v>
      </c>
      <c r="H1059">
        <v>0</v>
      </c>
      <c r="I1059" t="s">
        <v>24</v>
      </c>
      <c r="J1059" t="s">
        <v>18</v>
      </c>
      <c r="K1059">
        <v>10.5</v>
      </c>
      <c r="O1059">
        <f t="shared" si="18"/>
        <v>84.73</v>
      </c>
    </row>
    <row r="1060" spans="1:15" x14ac:dyDescent="0.35">
      <c r="A1060" t="s">
        <v>1405</v>
      </c>
      <c r="B1060">
        <v>1</v>
      </c>
      <c r="C1060">
        <v>16.989999999999998</v>
      </c>
      <c r="D1060">
        <v>16.989999999999998</v>
      </c>
      <c r="E1060" t="s">
        <v>191</v>
      </c>
      <c r="F1060" t="s">
        <v>1723</v>
      </c>
      <c r="G1060" t="s">
        <v>16</v>
      </c>
      <c r="H1060">
        <v>15</v>
      </c>
      <c r="I1060" t="s">
        <v>12</v>
      </c>
      <c r="J1060" t="s">
        <v>25</v>
      </c>
      <c r="K1060">
        <v>5</v>
      </c>
      <c r="O1060">
        <f t="shared" si="18"/>
        <v>21.99</v>
      </c>
    </row>
    <row r="1061" spans="1:15" x14ac:dyDescent="0.35">
      <c r="A1061" t="s">
        <v>1406</v>
      </c>
      <c r="B1061">
        <v>2</v>
      </c>
      <c r="C1061">
        <v>34.99</v>
      </c>
      <c r="D1061">
        <v>59.89</v>
      </c>
      <c r="E1061" t="s">
        <v>567</v>
      </c>
      <c r="F1061" t="s">
        <v>1724</v>
      </c>
      <c r="G1061" t="s">
        <v>11</v>
      </c>
      <c r="H1061">
        <v>8</v>
      </c>
      <c r="I1061" t="s">
        <v>41</v>
      </c>
      <c r="J1061" t="s">
        <v>36</v>
      </c>
      <c r="K1061">
        <v>12.5</v>
      </c>
      <c r="O1061">
        <f t="shared" si="18"/>
        <v>37.979999999999997</v>
      </c>
    </row>
    <row r="1062" spans="1:15" x14ac:dyDescent="0.35">
      <c r="A1062" t="s">
        <v>1407</v>
      </c>
      <c r="B1062">
        <v>1</v>
      </c>
      <c r="C1062">
        <v>30.99</v>
      </c>
      <c r="D1062">
        <v>30.99</v>
      </c>
      <c r="E1062" t="s">
        <v>744</v>
      </c>
      <c r="F1062" t="s">
        <v>1725</v>
      </c>
      <c r="G1062" t="s">
        <v>16</v>
      </c>
      <c r="H1062">
        <v>3</v>
      </c>
      <c r="I1062" t="s">
        <v>17</v>
      </c>
      <c r="J1062" t="s">
        <v>18</v>
      </c>
      <c r="K1062">
        <v>10.5</v>
      </c>
      <c r="O1062">
        <f t="shared" si="18"/>
        <v>21.99</v>
      </c>
    </row>
    <row r="1063" spans="1:15" x14ac:dyDescent="0.35">
      <c r="A1063" t="s">
        <v>1408</v>
      </c>
      <c r="B1063">
        <v>1</v>
      </c>
      <c r="C1063">
        <v>16.989999999999998</v>
      </c>
      <c r="D1063">
        <v>16.989999999999998</v>
      </c>
      <c r="E1063" t="s">
        <v>1409</v>
      </c>
      <c r="F1063" t="s">
        <v>1726</v>
      </c>
      <c r="G1063" t="s">
        <v>16</v>
      </c>
      <c r="H1063">
        <v>17</v>
      </c>
      <c r="I1063" t="s">
        <v>12</v>
      </c>
      <c r="J1063" t="s">
        <v>25</v>
      </c>
      <c r="K1063">
        <v>5</v>
      </c>
      <c r="O1063">
        <f t="shared" si="18"/>
        <v>21.99</v>
      </c>
    </row>
    <row r="1064" spans="1:15" x14ac:dyDescent="0.35">
      <c r="A1064" t="s">
        <v>1410</v>
      </c>
      <c r="B1064">
        <v>1</v>
      </c>
      <c r="C1064">
        <v>18.989999999999998</v>
      </c>
      <c r="D1064">
        <v>18.989999999999998</v>
      </c>
      <c r="E1064" t="s">
        <v>1167</v>
      </c>
      <c r="F1064" t="s">
        <v>1727</v>
      </c>
      <c r="G1064" t="s">
        <v>11</v>
      </c>
      <c r="H1064">
        <v>14</v>
      </c>
      <c r="I1064" t="s">
        <v>17</v>
      </c>
      <c r="J1064" t="s">
        <v>42</v>
      </c>
      <c r="K1064">
        <v>6</v>
      </c>
      <c r="O1064">
        <f t="shared" si="18"/>
        <v>21.99</v>
      </c>
    </row>
    <row r="1065" spans="1:15" x14ac:dyDescent="0.35">
      <c r="A1065" t="s">
        <v>1411</v>
      </c>
      <c r="B1065">
        <v>3</v>
      </c>
      <c r="C1065">
        <v>21.99</v>
      </c>
      <c r="D1065">
        <v>53.17</v>
      </c>
      <c r="E1065" t="s">
        <v>625</v>
      </c>
      <c r="F1065" t="s">
        <v>1728</v>
      </c>
      <c r="G1065" t="s">
        <v>16</v>
      </c>
      <c r="H1065">
        <v>6</v>
      </c>
      <c r="I1065" t="s">
        <v>41</v>
      </c>
      <c r="J1065" t="s">
        <v>13</v>
      </c>
      <c r="K1065">
        <v>7</v>
      </c>
      <c r="O1065">
        <f t="shared" si="18"/>
        <v>84.73</v>
      </c>
    </row>
    <row r="1066" spans="1:15" x14ac:dyDescent="0.35">
      <c r="A1066" t="s">
        <v>1412</v>
      </c>
      <c r="B1066">
        <v>2</v>
      </c>
      <c r="C1066">
        <v>16.989999999999998</v>
      </c>
      <c r="D1066">
        <v>29.69</v>
      </c>
      <c r="E1066" t="s">
        <v>1260</v>
      </c>
      <c r="F1066" t="s">
        <v>1717</v>
      </c>
      <c r="G1066" t="s">
        <v>16</v>
      </c>
      <c r="H1066">
        <v>19</v>
      </c>
      <c r="I1066" t="s">
        <v>17</v>
      </c>
      <c r="J1066" t="s">
        <v>25</v>
      </c>
      <c r="K1066">
        <v>5</v>
      </c>
      <c r="O1066">
        <f t="shared" si="18"/>
        <v>37.979999999999997</v>
      </c>
    </row>
    <row r="1067" spans="1:15" x14ac:dyDescent="0.35">
      <c r="A1067" t="s">
        <v>1413</v>
      </c>
      <c r="B1067">
        <v>3</v>
      </c>
      <c r="C1067">
        <v>27.99</v>
      </c>
      <c r="D1067">
        <v>67.5</v>
      </c>
      <c r="E1067" s="6">
        <v>46187</v>
      </c>
      <c r="F1067" t="s">
        <v>1718</v>
      </c>
      <c r="G1067" t="s">
        <v>16</v>
      </c>
      <c r="H1067">
        <v>2</v>
      </c>
      <c r="I1067" t="s">
        <v>41</v>
      </c>
      <c r="J1067" t="s">
        <v>31</v>
      </c>
      <c r="K1067">
        <v>9</v>
      </c>
      <c r="O1067">
        <f t="shared" si="18"/>
        <v>84.73</v>
      </c>
    </row>
    <row r="1068" spans="1:15" x14ac:dyDescent="0.35">
      <c r="A1068" t="s">
        <v>1414</v>
      </c>
      <c r="B1068">
        <v>1</v>
      </c>
      <c r="C1068">
        <v>16.989999999999998</v>
      </c>
      <c r="D1068">
        <v>16.989999999999998</v>
      </c>
      <c r="E1068" t="s">
        <v>567</v>
      </c>
      <c r="F1068" t="s">
        <v>1719</v>
      </c>
      <c r="G1068" t="s">
        <v>16</v>
      </c>
      <c r="H1068">
        <v>19</v>
      </c>
      <c r="I1068" t="s">
        <v>24</v>
      </c>
      <c r="J1068" t="s">
        <v>25</v>
      </c>
      <c r="K1068">
        <v>5</v>
      </c>
      <c r="O1068">
        <f t="shared" si="18"/>
        <v>21.99</v>
      </c>
    </row>
    <row r="1069" spans="1:15" x14ac:dyDescent="0.35">
      <c r="A1069" t="s">
        <v>1415</v>
      </c>
      <c r="B1069">
        <v>2</v>
      </c>
      <c r="C1069">
        <v>34.99</v>
      </c>
      <c r="D1069">
        <v>60.72</v>
      </c>
      <c r="E1069" s="6">
        <v>46202</v>
      </c>
      <c r="F1069" t="s">
        <v>1720</v>
      </c>
      <c r="G1069" t="s">
        <v>16</v>
      </c>
      <c r="H1069">
        <v>6</v>
      </c>
      <c r="I1069" t="s">
        <v>12</v>
      </c>
      <c r="J1069" t="s">
        <v>36</v>
      </c>
      <c r="K1069">
        <v>12.5</v>
      </c>
      <c r="O1069">
        <f t="shared" si="18"/>
        <v>37.979999999999997</v>
      </c>
    </row>
    <row r="1070" spans="1:15" x14ac:dyDescent="0.35">
      <c r="A1070" t="s">
        <v>1416</v>
      </c>
      <c r="B1070">
        <v>1</v>
      </c>
      <c r="C1070">
        <v>18.989999999999998</v>
      </c>
      <c r="D1070">
        <v>18.989999999999998</v>
      </c>
      <c r="E1070" t="s">
        <v>1152</v>
      </c>
      <c r="F1070" t="s">
        <v>1721</v>
      </c>
      <c r="G1070" t="s">
        <v>87</v>
      </c>
      <c r="H1070">
        <v>0</v>
      </c>
      <c r="I1070" t="s">
        <v>41</v>
      </c>
      <c r="J1070" t="s">
        <v>42</v>
      </c>
      <c r="K1070">
        <v>6</v>
      </c>
      <c r="O1070">
        <f t="shared" si="18"/>
        <v>21.99</v>
      </c>
    </row>
    <row r="1071" spans="1:15" x14ac:dyDescent="0.35">
      <c r="A1071" t="s">
        <v>1417</v>
      </c>
      <c r="B1071">
        <v>3</v>
      </c>
      <c r="C1071">
        <v>34.99</v>
      </c>
      <c r="D1071">
        <v>83.42</v>
      </c>
      <c r="E1071" t="s">
        <v>630</v>
      </c>
      <c r="F1071" t="s">
        <v>1722</v>
      </c>
      <c r="G1071" t="s">
        <v>16</v>
      </c>
      <c r="H1071">
        <v>7</v>
      </c>
      <c r="I1071" t="s">
        <v>41</v>
      </c>
      <c r="J1071" t="s">
        <v>36</v>
      </c>
      <c r="K1071">
        <v>12.5</v>
      </c>
      <c r="O1071">
        <f t="shared" si="18"/>
        <v>84.73</v>
      </c>
    </row>
    <row r="1072" spans="1:15" x14ac:dyDescent="0.35">
      <c r="A1072" t="s">
        <v>1418</v>
      </c>
      <c r="B1072">
        <v>1</v>
      </c>
      <c r="C1072">
        <v>18.989999999999998</v>
      </c>
      <c r="D1072">
        <v>18.989999999999998</v>
      </c>
      <c r="E1072" t="s">
        <v>547</v>
      </c>
      <c r="F1072" t="s">
        <v>1723</v>
      </c>
      <c r="G1072" t="s">
        <v>16</v>
      </c>
      <c r="H1072">
        <v>11</v>
      </c>
      <c r="I1072" t="s">
        <v>41</v>
      </c>
      <c r="J1072" t="s">
        <v>42</v>
      </c>
      <c r="K1072">
        <v>6</v>
      </c>
      <c r="O1072">
        <f t="shared" si="18"/>
        <v>21.99</v>
      </c>
    </row>
    <row r="1073" spans="1:15" x14ac:dyDescent="0.35">
      <c r="A1073" t="s">
        <v>1419</v>
      </c>
      <c r="B1073">
        <v>1</v>
      </c>
      <c r="C1073">
        <v>34.99</v>
      </c>
      <c r="D1073">
        <v>34.99</v>
      </c>
      <c r="E1073" t="s">
        <v>1298</v>
      </c>
      <c r="F1073" t="s">
        <v>1724</v>
      </c>
      <c r="G1073" t="s">
        <v>87</v>
      </c>
      <c r="H1073">
        <v>0</v>
      </c>
      <c r="I1073" t="s">
        <v>24</v>
      </c>
      <c r="J1073" t="s">
        <v>36</v>
      </c>
      <c r="K1073">
        <v>12.5</v>
      </c>
      <c r="O1073">
        <f t="shared" si="18"/>
        <v>21.99</v>
      </c>
    </row>
    <row r="1074" spans="1:15" x14ac:dyDescent="0.35">
      <c r="A1074" t="s">
        <v>1420</v>
      </c>
      <c r="B1074">
        <v>3</v>
      </c>
      <c r="C1074">
        <v>34.99</v>
      </c>
      <c r="D1074">
        <v>82.45</v>
      </c>
      <c r="E1074" t="s">
        <v>541</v>
      </c>
      <c r="F1074" t="s">
        <v>1725</v>
      </c>
      <c r="G1074" t="s">
        <v>21</v>
      </c>
      <c r="H1074">
        <v>0</v>
      </c>
      <c r="I1074" t="s">
        <v>41</v>
      </c>
      <c r="J1074" t="s">
        <v>36</v>
      </c>
      <c r="K1074">
        <v>12.5</v>
      </c>
      <c r="O1074">
        <f t="shared" si="18"/>
        <v>84.73</v>
      </c>
    </row>
    <row r="1075" spans="1:15" x14ac:dyDescent="0.35">
      <c r="A1075" t="s">
        <v>1421</v>
      </c>
      <c r="B1075">
        <v>1</v>
      </c>
      <c r="C1075">
        <v>16.989999999999998</v>
      </c>
      <c r="D1075">
        <v>16.989999999999998</v>
      </c>
      <c r="E1075" t="s">
        <v>30</v>
      </c>
      <c r="F1075" t="s">
        <v>1726</v>
      </c>
      <c r="G1075" t="s">
        <v>16</v>
      </c>
      <c r="H1075">
        <v>22</v>
      </c>
      <c r="I1075" t="s">
        <v>24</v>
      </c>
      <c r="J1075" t="s">
        <v>25</v>
      </c>
      <c r="K1075">
        <v>5</v>
      </c>
      <c r="O1075">
        <f t="shared" si="18"/>
        <v>21.99</v>
      </c>
    </row>
    <row r="1076" spans="1:15" x14ac:dyDescent="0.35">
      <c r="A1076" t="s">
        <v>1422</v>
      </c>
      <c r="B1076">
        <v>2</v>
      </c>
      <c r="C1076">
        <v>18.989999999999998</v>
      </c>
      <c r="D1076">
        <v>32.89</v>
      </c>
      <c r="E1076" t="s">
        <v>171</v>
      </c>
      <c r="F1076" t="s">
        <v>1727</v>
      </c>
      <c r="G1076" t="s">
        <v>16</v>
      </c>
      <c r="H1076">
        <v>13</v>
      </c>
      <c r="I1076" t="s">
        <v>24</v>
      </c>
      <c r="J1076" t="s">
        <v>42</v>
      </c>
      <c r="K1076">
        <v>6</v>
      </c>
      <c r="O1076">
        <f t="shared" si="18"/>
        <v>37.979999999999997</v>
      </c>
    </row>
    <row r="1077" spans="1:15" x14ac:dyDescent="0.35">
      <c r="A1077" t="s">
        <v>1423</v>
      </c>
      <c r="B1077">
        <v>1</v>
      </c>
      <c r="C1077">
        <v>21.99</v>
      </c>
      <c r="D1077">
        <v>21.99</v>
      </c>
      <c r="E1077" t="s">
        <v>958</v>
      </c>
      <c r="F1077" t="s">
        <v>1728</v>
      </c>
      <c r="G1077" t="s">
        <v>28</v>
      </c>
      <c r="H1077">
        <v>0</v>
      </c>
      <c r="I1077" t="s">
        <v>12</v>
      </c>
      <c r="J1077" t="s">
        <v>13</v>
      </c>
      <c r="K1077">
        <v>7</v>
      </c>
      <c r="O1077">
        <f t="shared" si="18"/>
        <v>21.99</v>
      </c>
    </row>
    <row r="1078" spans="1:15" x14ac:dyDescent="0.35">
      <c r="A1078" t="s">
        <v>1424</v>
      </c>
      <c r="B1078">
        <v>1</v>
      </c>
      <c r="C1078">
        <v>30.99</v>
      </c>
      <c r="D1078">
        <v>30.99</v>
      </c>
      <c r="E1078" t="s">
        <v>732</v>
      </c>
      <c r="F1078" t="s">
        <v>1717</v>
      </c>
      <c r="G1078" t="s">
        <v>16</v>
      </c>
      <c r="H1078">
        <v>3</v>
      </c>
      <c r="I1078" t="s">
        <v>12</v>
      </c>
      <c r="J1078" t="s">
        <v>18</v>
      </c>
      <c r="K1078">
        <v>10.5</v>
      </c>
      <c r="O1078">
        <f t="shared" si="18"/>
        <v>21.99</v>
      </c>
    </row>
    <row r="1079" spans="1:15" x14ac:dyDescent="0.35">
      <c r="A1079" t="s">
        <v>1425</v>
      </c>
      <c r="B1079">
        <v>2</v>
      </c>
      <c r="C1079">
        <v>16.989999999999998</v>
      </c>
      <c r="D1079">
        <v>29.44</v>
      </c>
      <c r="E1079" t="s">
        <v>1291</v>
      </c>
      <c r="F1079" t="s">
        <v>1718</v>
      </c>
      <c r="G1079" t="s">
        <v>87</v>
      </c>
      <c r="H1079">
        <v>0</v>
      </c>
      <c r="I1079" t="s">
        <v>17</v>
      </c>
      <c r="J1079" t="s">
        <v>25</v>
      </c>
      <c r="K1079">
        <v>5</v>
      </c>
      <c r="O1079">
        <f t="shared" si="18"/>
        <v>37.979999999999997</v>
      </c>
    </row>
    <row r="1080" spans="1:15" x14ac:dyDescent="0.35">
      <c r="A1080" t="s">
        <v>1426</v>
      </c>
      <c r="B1080">
        <v>1</v>
      </c>
      <c r="C1080">
        <v>34.99</v>
      </c>
      <c r="D1080">
        <v>34.99</v>
      </c>
      <c r="E1080" t="s">
        <v>429</v>
      </c>
      <c r="F1080" t="s">
        <v>1719</v>
      </c>
      <c r="G1080" t="s">
        <v>16</v>
      </c>
      <c r="H1080">
        <v>5</v>
      </c>
      <c r="I1080" t="s">
        <v>24</v>
      </c>
      <c r="J1080" t="s">
        <v>36</v>
      </c>
      <c r="K1080">
        <v>12.5</v>
      </c>
      <c r="O1080">
        <f t="shared" si="18"/>
        <v>21.99</v>
      </c>
    </row>
    <row r="1081" spans="1:15" x14ac:dyDescent="0.35">
      <c r="A1081" t="s">
        <v>1427</v>
      </c>
      <c r="B1081">
        <v>1</v>
      </c>
      <c r="C1081">
        <v>34.99</v>
      </c>
      <c r="D1081">
        <v>34.99</v>
      </c>
      <c r="E1081" t="s">
        <v>20</v>
      </c>
      <c r="F1081" t="s">
        <v>1720</v>
      </c>
      <c r="G1081" t="s">
        <v>16</v>
      </c>
      <c r="H1081">
        <v>8</v>
      </c>
      <c r="I1081" t="s">
        <v>24</v>
      </c>
      <c r="J1081" t="s">
        <v>36</v>
      </c>
      <c r="K1081">
        <v>12.5</v>
      </c>
      <c r="O1081">
        <f t="shared" si="18"/>
        <v>21.99</v>
      </c>
    </row>
    <row r="1082" spans="1:15" x14ac:dyDescent="0.35">
      <c r="A1082" t="s">
        <v>1428</v>
      </c>
      <c r="B1082">
        <v>2</v>
      </c>
      <c r="C1082">
        <v>18.989999999999998</v>
      </c>
      <c r="D1082">
        <v>32.97</v>
      </c>
      <c r="E1082" t="s">
        <v>443</v>
      </c>
      <c r="F1082" t="s">
        <v>1721</v>
      </c>
      <c r="G1082" t="s">
        <v>21</v>
      </c>
      <c r="H1082">
        <v>0</v>
      </c>
      <c r="I1082" t="s">
        <v>17</v>
      </c>
      <c r="J1082" t="s">
        <v>42</v>
      </c>
      <c r="K1082">
        <v>6</v>
      </c>
      <c r="O1082">
        <f t="shared" si="18"/>
        <v>37.979999999999997</v>
      </c>
    </row>
    <row r="1083" spans="1:15" x14ac:dyDescent="0.35">
      <c r="A1083" t="s">
        <v>1429</v>
      </c>
      <c r="B1083">
        <v>1</v>
      </c>
      <c r="C1083">
        <v>27.99</v>
      </c>
      <c r="D1083">
        <v>27.99</v>
      </c>
      <c r="E1083" t="s">
        <v>683</v>
      </c>
      <c r="F1083" t="s">
        <v>1722</v>
      </c>
      <c r="G1083" t="s">
        <v>28</v>
      </c>
      <c r="H1083">
        <v>0</v>
      </c>
      <c r="I1083" t="s">
        <v>12</v>
      </c>
      <c r="J1083" t="s">
        <v>31</v>
      </c>
      <c r="K1083">
        <v>9</v>
      </c>
      <c r="O1083">
        <f t="shared" si="18"/>
        <v>21.99</v>
      </c>
    </row>
    <row r="1084" spans="1:15" x14ac:dyDescent="0.35">
      <c r="A1084" t="s">
        <v>1430</v>
      </c>
      <c r="B1084">
        <v>1</v>
      </c>
      <c r="C1084">
        <v>16.989999999999998</v>
      </c>
      <c r="D1084">
        <v>16.989999999999998</v>
      </c>
      <c r="E1084" t="s">
        <v>162</v>
      </c>
      <c r="F1084" t="s">
        <v>1723</v>
      </c>
      <c r="G1084" t="s">
        <v>87</v>
      </c>
      <c r="H1084">
        <v>0</v>
      </c>
      <c r="I1084" t="s">
        <v>41</v>
      </c>
      <c r="J1084" t="s">
        <v>25</v>
      </c>
      <c r="K1084">
        <v>5</v>
      </c>
      <c r="O1084">
        <f t="shared" si="18"/>
        <v>21.99</v>
      </c>
    </row>
    <row r="1085" spans="1:15" x14ac:dyDescent="0.35">
      <c r="A1085" t="s">
        <v>1431</v>
      </c>
      <c r="B1085">
        <v>1</v>
      </c>
      <c r="C1085">
        <v>34.99</v>
      </c>
      <c r="D1085">
        <v>34.99</v>
      </c>
      <c r="E1085" t="s">
        <v>1330</v>
      </c>
      <c r="F1085" t="s">
        <v>1724</v>
      </c>
      <c r="G1085" t="s">
        <v>16</v>
      </c>
      <c r="H1085">
        <v>7</v>
      </c>
      <c r="I1085" t="s">
        <v>12</v>
      </c>
      <c r="J1085" t="s">
        <v>36</v>
      </c>
      <c r="K1085">
        <v>12.5</v>
      </c>
      <c r="O1085">
        <f t="shared" si="18"/>
        <v>21.99</v>
      </c>
    </row>
    <row r="1086" spans="1:15" x14ac:dyDescent="0.35">
      <c r="A1086" t="s">
        <v>1432</v>
      </c>
      <c r="B1086">
        <v>1</v>
      </c>
      <c r="C1086">
        <v>30.99</v>
      </c>
      <c r="D1086">
        <v>30.99</v>
      </c>
      <c r="E1086" t="s">
        <v>734</v>
      </c>
      <c r="F1086" t="s">
        <v>1725</v>
      </c>
      <c r="G1086" t="s">
        <v>21</v>
      </c>
      <c r="H1086">
        <v>0</v>
      </c>
      <c r="I1086" t="s">
        <v>24</v>
      </c>
      <c r="J1086" t="s">
        <v>18</v>
      </c>
      <c r="K1086">
        <v>10.5</v>
      </c>
      <c r="O1086">
        <f t="shared" si="18"/>
        <v>21.99</v>
      </c>
    </row>
    <row r="1087" spans="1:15" x14ac:dyDescent="0.35">
      <c r="A1087" t="s">
        <v>1433</v>
      </c>
      <c r="B1087">
        <v>2</v>
      </c>
      <c r="C1087">
        <v>27.99</v>
      </c>
      <c r="D1087">
        <v>48.34</v>
      </c>
      <c r="E1087" t="s">
        <v>838</v>
      </c>
      <c r="F1087" t="s">
        <v>1726</v>
      </c>
      <c r="G1087" t="s">
        <v>87</v>
      </c>
      <c r="H1087">
        <v>0</v>
      </c>
      <c r="I1087" t="s">
        <v>17</v>
      </c>
      <c r="J1087" t="s">
        <v>31</v>
      </c>
      <c r="K1087">
        <v>9</v>
      </c>
      <c r="O1087">
        <f t="shared" si="18"/>
        <v>37.979999999999997</v>
      </c>
    </row>
    <row r="1088" spans="1:15" x14ac:dyDescent="0.35">
      <c r="A1088" t="s">
        <v>1434</v>
      </c>
      <c r="B1088">
        <v>1</v>
      </c>
      <c r="C1088">
        <v>30.99</v>
      </c>
      <c r="D1088">
        <v>30.99</v>
      </c>
      <c r="E1088" t="s">
        <v>1125</v>
      </c>
      <c r="F1088" t="s">
        <v>1727</v>
      </c>
      <c r="G1088" t="s">
        <v>16</v>
      </c>
      <c r="H1088">
        <v>2</v>
      </c>
      <c r="I1088" t="s">
        <v>17</v>
      </c>
      <c r="J1088" t="s">
        <v>18</v>
      </c>
      <c r="K1088">
        <v>10.5</v>
      </c>
      <c r="O1088">
        <f t="shared" si="18"/>
        <v>21.99</v>
      </c>
    </row>
    <row r="1089" spans="1:15" x14ac:dyDescent="0.35">
      <c r="A1089" t="s">
        <v>1435</v>
      </c>
      <c r="B1089">
        <v>1</v>
      </c>
      <c r="C1089">
        <v>34.99</v>
      </c>
      <c r="D1089">
        <v>34.99</v>
      </c>
      <c r="E1089" t="s">
        <v>447</v>
      </c>
      <c r="F1089" t="s">
        <v>1728</v>
      </c>
      <c r="G1089" t="s">
        <v>87</v>
      </c>
      <c r="H1089">
        <v>0</v>
      </c>
      <c r="I1089" t="s">
        <v>17</v>
      </c>
      <c r="J1089" t="s">
        <v>36</v>
      </c>
      <c r="K1089">
        <v>12.5</v>
      </c>
      <c r="O1089">
        <f t="shared" si="18"/>
        <v>21.99</v>
      </c>
    </row>
    <row r="1090" spans="1:15" x14ac:dyDescent="0.35">
      <c r="A1090" t="s">
        <v>1436</v>
      </c>
      <c r="B1090">
        <v>1</v>
      </c>
      <c r="C1090">
        <v>18.989999999999998</v>
      </c>
      <c r="D1090">
        <v>18.989999999999998</v>
      </c>
      <c r="E1090" t="s">
        <v>27</v>
      </c>
      <c r="F1090" t="s">
        <v>1717</v>
      </c>
      <c r="G1090" t="s">
        <v>16</v>
      </c>
      <c r="H1090">
        <v>11</v>
      </c>
      <c r="I1090" t="s">
        <v>41</v>
      </c>
      <c r="J1090" t="s">
        <v>42</v>
      </c>
      <c r="K1090">
        <v>6</v>
      </c>
      <c r="O1090">
        <f t="shared" ref="O1090:O1153" si="19">VLOOKUP(B:B,B:H,3,FALSE)</f>
        <v>21.99</v>
      </c>
    </row>
    <row r="1091" spans="1:15" x14ac:dyDescent="0.35">
      <c r="A1091" t="s">
        <v>1437</v>
      </c>
      <c r="B1091">
        <v>1</v>
      </c>
      <c r="C1091">
        <v>34.99</v>
      </c>
      <c r="D1091">
        <v>34.99</v>
      </c>
      <c r="E1091" t="s">
        <v>500</v>
      </c>
      <c r="F1091" t="s">
        <v>1718</v>
      </c>
      <c r="G1091" t="s">
        <v>16</v>
      </c>
      <c r="H1091">
        <v>7</v>
      </c>
      <c r="I1091" t="s">
        <v>24</v>
      </c>
      <c r="J1091" t="s">
        <v>36</v>
      </c>
      <c r="K1091">
        <v>12.5</v>
      </c>
      <c r="O1091">
        <f t="shared" si="19"/>
        <v>21.99</v>
      </c>
    </row>
    <row r="1092" spans="1:15" x14ac:dyDescent="0.35">
      <c r="A1092" t="s">
        <v>1438</v>
      </c>
      <c r="B1092">
        <v>1</v>
      </c>
      <c r="C1092">
        <v>30.99</v>
      </c>
      <c r="D1092">
        <v>30.99</v>
      </c>
      <c r="E1092" t="s">
        <v>567</v>
      </c>
      <c r="F1092" t="s">
        <v>1719</v>
      </c>
      <c r="G1092" t="s">
        <v>21</v>
      </c>
      <c r="H1092">
        <v>0</v>
      </c>
      <c r="I1092" t="s">
        <v>17</v>
      </c>
      <c r="J1092" t="s">
        <v>18</v>
      </c>
      <c r="K1092">
        <v>10.5</v>
      </c>
      <c r="O1092">
        <f t="shared" si="19"/>
        <v>21.99</v>
      </c>
    </row>
    <row r="1093" spans="1:15" x14ac:dyDescent="0.35">
      <c r="A1093" t="s">
        <v>1439</v>
      </c>
      <c r="B1093">
        <v>2</v>
      </c>
      <c r="C1093">
        <v>21.99</v>
      </c>
      <c r="D1093">
        <v>38.229999999999997</v>
      </c>
      <c r="E1093" t="s">
        <v>431</v>
      </c>
      <c r="F1093" t="s">
        <v>1720</v>
      </c>
      <c r="G1093" t="s">
        <v>28</v>
      </c>
      <c r="H1093">
        <v>0</v>
      </c>
      <c r="I1093" t="s">
        <v>12</v>
      </c>
      <c r="J1093" t="s">
        <v>13</v>
      </c>
      <c r="K1093">
        <v>7</v>
      </c>
      <c r="O1093">
        <f t="shared" si="19"/>
        <v>37.979999999999997</v>
      </c>
    </row>
    <row r="1094" spans="1:15" x14ac:dyDescent="0.35">
      <c r="A1094" t="s">
        <v>1440</v>
      </c>
      <c r="B1094">
        <v>1</v>
      </c>
      <c r="C1094">
        <v>16.989999999999998</v>
      </c>
      <c r="D1094">
        <v>16.989999999999998</v>
      </c>
      <c r="E1094" s="6">
        <v>46103</v>
      </c>
      <c r="F1094" t="s">
        <v>1721</v>
      </c>
      <c r="G1094" t="s">
        <v>16</v>
      </c>
      <c r="H1094">
        <v>16</v>
      </c>
      <c r="I1094" t="s">
        <v>24</v>
      </c>
      <c r="J1094" t="s">
        <v>25</v>
      </c>
      <c r="K1094">
        <v>5</v>
      </c>
      <c r="O1094">
        <f t="shared" si="19"/>
        <v>21.99</v>
      </c>
    </row>
    <row r="1095" spans="1:15" x14ac:dyDescent="0.35">
      <c r="A1095" t="s">
        <v>1441</v>
      </c>
      <c r="B1095">
        <v>1</v>
      </c>
      <c r="C1095">
        <v>30.99</v>
      </c>
      <c r="D1095">
        <v>30.99</v>
      </c>
      <c r="E1095" t="s">
        <v>470</v>
      </c>
      <c r="F1095" t="s">
        <v>1722</v>
      </c>
      <c r="G1095" t="s">
        <v>21</v>
      </c>
      <c r="H1095">
        <v>0</v>
      </c>
      <c r="I1095" t="s">
        <v>12</v>
      </c>
      <c r="J1095" t="s">
        <v>18</v>
      </c>
      <c r="K1095">
        <v>10.5</v>
      </c>
      <c r="O1095">
        <f t="shared" si="19"/>
        <v>21.99</v>
      </c>
    </row>
    <row r="1096" spans="1:15" x14ac:dyDescent="0.35">
      <c r="A1096" t="s">
        <v>1442</v>
      </c>
      <c r="B1096">
        <v>3</v>
      </c>
      <c r="C1096">
        <v>16.989999999999998</v>
      </c>
      <c r="D1096">
        <v>41.23</v>
      </c>
      <c r="E1096" t="s">
        <v>841</v>
      </c>
      <c r="F1096" t="s">
        <v>1723</v>
      </c>
      <c r="G1096" t="s">
        <v>11</v>
      </c>
      <c r="H1096">
        <v>15</v>
      </c>
      <c r="I1096" t="s">
        <v>17</v>
      </c>
      <c r="J1096" t="s">
        <v>25</v>
      </c>
      <c r="K1096">
        <v>5</v>
      </c>
      <c r="O1096">
        <f t="shared" si="19"/>
        <v>84.73</v>
      </c>
    </row>
    <row r="1097" spans="1:15" x14ac:dyDescent="0.35">
      <c r="A1097" t="s">
        <v>1443</v>
      </c>
      <c r="B1097">
        <v>2</v>
      </c>
      <c r="C1097">
        <v>18.989999999999998</v>
      </c>
      <c r="D1097">
        <v>33.200000000000003</v>
      </c>
      <c r="E1097" t="s">
        <v>602</v>
      </c>
      <c r="F1097" t="s">
        <v>1724</v>
      </c>
      <c r="G1097" t="s">
        <v>16</v>
      </c>
      <c r="H1097">
        <v>13</v>
      </c>
      <c r="I1097" t="s">
        <v>41</v>
      </c>
      <c r="J1097" t="s">
        <v>42</v>
      </c>
      <c r="K1097">
        <v>6</v>
      </c>
      <c r="O1097">
        <f t="shared" si="19"/>
        <v>37.979999999999997</v>
      </c>
    </row>
    <row r="1098" spans="1:15" x14ac:dyDescent="0.35">
      <c r="A1098" t="s">
        <v>1444</v>
      </c>
      <c r="B1098">
        <v>1</v>
      </c>
      <c r="C1098">
        <v>27.99</v>
      </c>
      <c r="D1098">
        <v>27.99</v>
      </c>
      <c r="E1098" t="s">
        <v>1017</v>
      </c>
      <c r="F1098" t="s">
        <v>1725</v>
      </c>
      <c r="G1098" t="s">
        <v>21</v>
      </c>
      <c r="H1098">
        <v>0</v>
      </c>
      <c r="I1098" t="s">
        <v>17</v>
      </c>
      <c r="J1098" t="s">
        <v>31</v>
      </c>
      <c r="K1098">
        <v>9</v>
      </c>
      <c r="O1098">
        <f t="shared" si="19"/>
        <v>21.99</v>
      </c>
    </row>
    <row r="1099" spans="1:15" x14ac:dyDescent="0.35">
      <c r="A1099" t="s">
        <v>1445</v>
      </c>
      <c r="B1099">
        <v>3</v>
      </c>
      <c r="C1099">
        <v>18.989999999999998</v>
      </c>
      <c r="D1099">
        <v>46.09</v>
      </c>
      <c r="E1099" t="s">
        <v>812</v>
      </c>
      <c r="F1099" t="s">
        <v>1726</v>
      </c>
      <c r="G1099" t="s">
        <v>16</v>
      </c>
      <c r="H1099">
        <v>11</v>
      </c>
      <c r="I1099" t="s">
        <v>17</v>
      </c>
      <c r="J1099" t="s">
        <v>42</v>
      </c>
      <c r="K1099">
        <v>6</v>
      </c>
      <c r="O1099">
        <f t="shared" si="19"/>
        <v>84.73</v>
      </c>
    </row>
    <row r="1100" spans="1:15" x14ac:dyDescent="0.35">
      <c r="A1100" t="s">
        <v>1446</v>
      </c>
      <c r="B1100">
        <v>3</v>
      </c>
      <c r="C1100">
        <v>27.99</v>
      </c>
      <c r="D1100">
        <v>66.78</v>
      </c>
      <c r="E1100" t="s">
        <v>921</v>
      </c>
      <c r="F1100" t="s">
        <v>1727</v>
      </c>
      <c r="G1100" t="s">
        <v>16</v>
      </c>
      <c r="H1100">
        <v>2</v>
      </c>
      <c r="I1100" t="s">
        <v>12</v>
      </c>
      <c r="J1100" t="s">
        <v>31</v>
      </c>
      <c r="K1100">
        <v>9</v>
      </c>
      <c r="O1100">
        <f t="shared" si="19"/>
        <v>84.73</v>
      </c>
    </row>
    <row r="1101" spans="1:15" x14ac:dyDescent="0.35">
      <c r="A1101" t="s">
        <v>1447</v>
      </c>
      <c r="B1101">
        <v>2</v>
      </c>
      <c r="C1101">
        <v>30.99</v>
      </c>
      <c r="D1101">
        <v>53.73</v>
      </c>
      <c r="E1101" t="s">
        <v>1260</v>
      </c>
      <c r="F1101" t="s">
        <v>1728</v>
      </c>
      <c r="G1101" t="s">
        <v>16</v>
      </c>
      <c r="H1101">
        <v>3</v>
      </c>
      <c r="I1101" t="s">
        <v>17</v>
      </c>
      <c r="J1101" t="s">
        <v>18</v>
      </c>
      <c r="K1101">
        <v>10.5</v>
      </c>
      <c r="O1101">
        <f t="shared" si="19"/>
        <v>37.979999999999997</v>
      </c>
    </row>
    <row r="1102" spans="1:15" x14ac:dyDescent="0.35">
      <c r="A1102" t="s">
        <v>1448</v>
      </c>
      <c r="B1102">
        <v>1</v>
      </c>
      <c r="C1102">
        <v>16.989999999999998</v>
      </c>
      <c r="D1102">
        <v>16.989999999999998</v>
      </c>
      <c r="E1102" t="s">
        <v>1449</v>
      </c>
      <c r="F1102" t="s">
        <v>1717</v>
      </c>
      <c r="G1102" t="s">
        <v>16</v>
      </c>
      <c r="H1102">
        <v>15</v>
      </c>
      <c r="I1102" t="s">
        <v>12</v>
      </c>
      <c r="J1102" t="s">
        <v>25</v>
      </c>
      <c r="K1102">
        <v>5</v>
      </c>
      <c r="O1102">
        <f t="shared" si="19"/>
        <v>21.99</v>
      </c>
    </row>
    <row r="1103" spans="1:15" x14ac:dyDescent="0.35">
      <c r="A1103" t="s">
        <v>1450</v>
      </c>
      <c r="B1103">
        <v>1</v>
      </c>
      <c r="C1103">
        <v>21.99</v>
      </c>
      <c r="D1103">
        <v>21.99</v>
      </c>
      <c r="E1103" t="s">
        <v>1352</v>
      </c>
      <c r="F1103" t="s">
        <v>1718</v>
      </c>
      <c r="G1103" t="s">
        <v>21</v>
      </c>
      <c r="H1103">
        <v>0</v>
      </c>
      <c r="I1103" t="s">
        <v>24</v>
      </c>
      <c r="J1103" t="s">
        <v>13</v>
      </c>
      <c r="K1103">
        <v>7</v>
      </c>
      <c r="O1103">
        <f t="shared" si="19"/>
        <v>21.99</v>
      </c>
    </row>
    <row r="1104" spans="1:15" x14ac:dyDescent="0.35">
      <c r="A1104" t="s">
        <v>1451</v>
      </c>
      <c r="B1104">
        <v>2</v>
      </c>
      <c r="C1104">
        <v>21.99</v>
      </c>
      <c r="D1104">
        <v>38.049999999999997</v>
      </c>
      <c r="E1104" t="s">
        <v>909</v>
      </c>
      <c r="F1104" t="s">
        <v>1719</v>
      </c>
      <c r="G1104" t="s">
        <v>16</v>
      </c>
      <c r="H1104">
        <v>8</v>
      </c>
      <c r="I1104" t="s">
        <v>17</v>
      </c>
      <c r="J1104" t="s">
        <v>13</v>
      </c>
      <c r="K1104">
        <v>7</v>
      </c>
      <c r="O1104">
        <f t="shared" si="19"/>
        <v>37.979999999999997</v>
      </c>
    </row>
    <row r="1105" spans="1:15" x14ac:dyDescent="0.35">
      <c r="A1105" t="s">
        <v>1452</v>
      </c>
      <c r="B1105">
        <v>3</v>
      </c>
      <c r="C1105">
        <v>21.99</v>
      </c>
      <c r="D1105">
        <v>51.89</v>
      </c>
      <c r="E1105" t="s">
        <v>333</v>
      </c>
      <c r="F1105" t="s">
        <v>1720</v>
      </c>
      <c r="G1105" t="s">
        <v>16</v>
      </c>
      <c r="H1105">
        <v>3</v>
      </c>
      <c r="I1105" t="s">
        <v>17</v>
      </c>
      <c r="J1105" t="s">
        <v>13</v>
      </c>
      <c r="K1105">
        <v>7</v>
      </c>
      <c r="O1105">
        <f t="shared" si="19"/>
        <v>84.73</v>
      </c>
    </row>
    <row r="1106" spans="1:15" x14ac:dyDescent="0.35">
      <c r="A1106" t="s">
        <v>1453</v>
      </c>
      <c r="B1106">
        <v>1</v>
      </c>
      <c r="C1106">
        <v>34.99</v>
      </c>
      <c r="D1106">
        <v>34.99</v>
      </c>
      <c r="E1106" t="s">
        <v>106</v>
      </c>
      <c r="F1106" t="s">
        <v>1721</v>
      </c>
      <c r="G1106" t="s">
        <v>21</v>
      </c>
      <c r="H1106">
        <v>0</v>
      </c>
      <c r="I1106" t="s">
        <v>41</v>
      </c>
      <c r="J1106" t="s">
        <v>36</v>
      </c>
      <c r="K1106">
        <v>12.5</v>
      </c>
      <c r="O1106">
        <f t="shared" si="19"/>
        <v>21.99</v>
      </c>
    </row>
    <row r="1107" spans="1:15" x14ac:dyDescent="0.35">
      <c r="A1107" t="s">
        <v>1454</v>
      </c>
      <c r="B1107">
        <v>1</v>
      </c>
      <c r="C1107">
        <v>30.99</v>
      </c>
      <c r="D1107">
        <v>30.99</v>
      </c>
      <c r="E1107" t="s">
        <v>730</v>
      </c>
      <c r="F1107" t="s">
        <v>1722</v>
      </c>
      <c r="G1107" t="s">
        <v>16</v>
      </c>
      <c r="H1107">
        <v>7</v>
      </c>
      <c r="I1107" t="s">
        <v>17</v>
      </c>
      <c r="J1107" t="s">
        <v>18</v>
      </c>
      <c r="K1107">
        <v>10.5</v>
      </c>
      <c r="O1107">
        <f t="shared" si="19"/>
        <v>21.99</v>
      </c>
    </row>
    <row r="1108" spans="1:15" x14ac:dyDescent="0.35">
      <c r="A1108" t="s">
        <v>1455</v>
      </c>
      <c r="B1108">
        <v>1</v>
      </c>
      <c r="C1108">
        <v>27.99</v>
      </c>
      <c r="D1108">
        <v>27.99</v>
      </c>
      <c r="E1108" t="s">
        <v>46</v>
      </c>
      <c r="F1108" t="s">
        <v>1723</v>
      </c>
      <c r="G1108" t="s">
        <v>16</v>
      </c>
      <c r="H1108">
        <v>2</v>
      </c>
      <c r="I1108" t="s">
        <v>41</v>
      </c>
      <c r="J1108" t="s">
        <v>31</v>
      </c>
      <c r="K1108">
        <v>9</v>
      </c>
      <c r="O1108">
        <f t="shared" si="19"/>
        <v>21.99</v>
      </c>
    </row>
    <row r="1109" spans="1:15" x14ac:dyDescent="0.35">
      <c r="A1109" t="s">
        <v>1456</v>
      </c>
      <c r="B1109">
        <v>3</v>
      </c>
      <c r="C1109">
        <v>27.99</v>
      </c>
      <c r="D1109">
        <v>66.94</v>
      </c>
      <c r="E1109" t="s">
        <v>812</v>
      </c>
      <c r="F1109" t="s">
        <v>1724</v>
      </c>
      <c r="G1109" t="s">
        <v>87</v>
      </c>
      <c r="H1109">
        <v>0</v>
      </c>
      <c r="I1109" t="s">
        <v>24</v>
      </c>
      <c r="J1109" t="s">
        <v>31</v>
      </c>
      <c r="K1109">
        <v>9</v>
      </c>
      <c r="O1109">
        <f t="shared" si="19"/>
        <v>84.73</v>
      </c>
    </row>
    <row r="1110" spans="1:15" x14ac:dyDescent="0.35">
      <c r="A1110" t="s">
        <v>1457</v>
      </c>
      <c r="B1110">
        <v>3</v>
      </c>
      <c r="C1110">
        <v>16.989999999999998</v>
      </c>
      <c r="D1110">
        <v>40.78</v>
      </c>
      <c r="E1110" s="6">
        <v>46041</v>
      </c>
      <c r="F1110" t="s">
        <v>1725</v>
      </c>
      <c r="G1110" t="s">
        <v>16</v>
      </c>
      <c r="H1110">
        <v>15</v>
      </c>
      <c r="I1110" t="s">
        <v>41</v>
      </c>
      <c r="J1110" t="s">
        <v>25</v>
      </c>
      <c r="K1110">
        <v>5</v>
      </c>
      <c r="O1110">
        <f t="shared" si="19"/>
        <v>84.73</v>
      </c>
    </row>
    <row r="1111" spans="1:15" x14ac:dyDescent="0.35">
      <c r="A1111" t="s">
        <v>1458</v>
      </c>
      <c r="B1111">
        <v>2</v>
      </c>
      <c r="C1111">
        <v>34.99</v>
      </c>
      <c r="D1111">
        <v>60.77</v>
      </c>
      <c r="E1111" t="s">
        <v>955</v>
      </c>
      <c r="F1111" t="s">
        <v>1726</v>
      </c>
      <c r="G1111" t="s">
        <v>16</v>
      </c>
      <c r="H1111">
        <v>5</v>
      </c>
      <c r="I1111" t="s">
        <v>12</v>
      </c>
      <c r="J1111" t="s">
        <v>36</v>
      </c>
      <c r="K1111">
        <v>12.5</v>
      </c>
      <c r="O1111">
        <f t="shared" si="19"/>
        <v>37.979999999999997</v>
      </c>
    </row>
    <row r="1112" spans="1:15" x14ac:dyDescent="0.35">
      <c r="A1112" t="s">
        <v>1459</v>
      </c>
      <c r="B1112">
        <v>3</v>
      </c>
      <c r="C1112">
        <v>34.99</v>
      </c>
      <c r="D1112">
        <v>84.88</v>
      </c>
      <c r="E1112" t="s">
        <v>703</v>
      </c>
      <c r="F1112" t="s">
        <v>1727</v>
      </c>
      <c r="G1112" t="s">
        <v>21</v>
      </c>
      <c r="H1112">
        <v>0</v>
      </c>
      <c r="I1112" t="s">
        <v>41</v>
      </c>
      <c r="J1112" t="s">
        <v>36</v>
      </c>
      <c r="K1112">
        <v>12.5</v>
      </c>
      <c r="O1112">
        <f t="shared" si="19"/>
        <v>84.73</v>
      </c>
    </row>
    <row r="1113" spans="1:15" x14ac:dyDescent="0.35">
      <c r="A1113" t="s">
        <v>1460</v>
      </c>
      <c r="B1113">
        <v>3</v>
      </c>
      <c r="C1113">
        <v>16.989999999999998</v>
      </c>
      <c r="D1113">
        <v>41.26</v>
      </c>
      <c r="E1113" t="s">
        <v>1260</v>
      </c>
      <c r="F1113" t="s">
        <v>1728</v>
      </c>
      <c r="G1113" t="s">
        <v>87</v>
      </c>
      <c r="H1113">
        <v>0</v>
      </c>
      <c r="I1113" t="s">
        <v>41</v>
      </c>
      <c r="J1113" t="s">
        <v>25</v>
      </c>
      <c r="K1113">
        <v>5</v>
      </c>
      <c r="O1113">
        <f t="shared" si="19"/>
        <v>84.73</v>
      </c>
    </row>
    <row r="1114" spans="1:15" x14ac:dyDescent="0.35">
      <c r="A1114" t="s">
        <v>1461</v>
      </c>
      <c r="B1114">
        <v>1</v>
      </c>
      <c r="C1114">
        <v>18.989999999999998</v>
      </c>
      <c r="D1114">
        <v>18.989999999999998</v>
      </c>
      <c r="E1114" t="s">
        <v>780</v>
      </c>
      <c r="F1114" t="s">
        <v>1717</v>
      </c>
      <c r="G1114" t="s">
        <v>11</v>
      </c>
      <c r="H1114">
        <v>10</v>
      </c>
      <c r="I1114" t="s">
        <v>17</v>
      </c>
      <c r="J1114" t="s">
        <v>42</v>
      </c>
      <c r="K1114">
        <v>6</v>
      </c>
      <c r="O1114">
        <f t="shared" si="19"/>
        <v>21.99</v>
      </c>
    </row>
    <row r="1115" spans="1:15" x14ac:dyDescent="0.35">
      <c r="A1115" t="s">
        <v>1462</v>
      </c>
      <c r="B1115">
        <v>1</v>
      </c>
      <c r="C1115">
        <v>30.99</v>
      </c>
      <c r="D1115">
        <v>30.99</v>
      </c>
      <c r="E1115" t="s">
        <v>1176</v>
      </c>
      <c r="F1115" t="s">
        <v>1718</v>
      </c>
      <c r="G1115" t="s">
        <v>87</v>
      </c>
      <c r="H1115">
        <v>0</v>
      </c>
      <c r="I1115" t="s">
        <v>17</v>
      </c>
      <c r="J1115" t="s">
        <v>18</v>
      </c>
      <c r="K1115">
        <v>10.5</v>
      </c>
      <c r="O1115">
        <f t="shared" si="19"/>
        <v>21.99</v>
      </c>
    </row>
    <row r="1116" spans="1:15" x14ac:dyDescent="0.35">
      <c r="A1116" t="s">
        <v>1463</v>
      </c>
      <c r="B1116">
        <v>1</v>
      </c>
      <c r="C1116">
        <v>27.99</v>
      </c>
      <c r="D1116">
        <v>27.99</v>
      </c>
      <c r="E1116" t="s">
        <v>158</v>
      </c>
      <c r="F1116" t="s">
        <v>1719</v>
      </c>
      <c r="G1116" t="s">
        <v>21</v>
      </c>
      <c r="H1116">
        <v>0</v>
      </c>
      <c r="I1116" t="s">
        <v>24</v>
      </c>
      <c r="J1116" t="s">
        <v>31</v>
      </c>
      <c r="K1116">
        <v>9</v>
      </c>
      <c r="O1116">
        <f t="shared" si="19"/>
        <v>21.99</v>
      </c>
    </row>
    <row r="1117" spans="1:15" x14ac:dyDescent="0.35">
      <c r="A1117" t="s">
        <v>1464</v>
      </c>
      <c r="B1117">
        <v>1</v>
      </c>
      <c r="C1117">
        <v>16.989999999999998</v>
      </c>
      <c r="D1117">
        <v>16.989999999999998</v>
      </c>
      <c r="E1117" t="s">
        <v>531</v>
      </c>
      <c r="F1117" t="s">
        <v>1720</v>
      </c>
      <c r="G1117" t="s">
        <v>16</v>
      </c>
      <c r="H1117">
        <v>19</v>
      </c>
      <c r="I1117" t="s">
        <v>12</v>
      </c>
      <c r="J1117" t="s">
        <v>25</v>
      </c>
      <c r="K1117">
        <v>5</v>
      </c>
      <c r="O1117">
        <f t="shared" si="19"/>
        <v>21.99</v>
      </c>
    </row>
    <row r="1118" spans="1:15" x14ac:dyDescent="0.35">
      <c r="A1118" t="s">
        <v>1465</v>
      </c>
      <c r="B1118">
        <v>2</v>
      </c>
      <c r="C1118">
        <v>16.989999999999998</v>
      </c>
      <c r="D1118">
        <v>29.17</v>
      </c>
      <c r="E1118" t="s">
        <v>732</v>
      </c>
      <c r="F1118" t="s">
        <v>1721</v>
      </c>
      <c r="G1118" t="s">
        <v>16</v>
      </c>
      <c r="H1118">
        <v>15</v>
      </c>
      <c r="I1118" t="s">
        <v>12</v>
      </c>
      <c r="J1118" t="s">
        <v>25</v>
      </c>
      <c r="K1118">
        <v>5</v>
      </c>
      <c r="O1118">
        <f t="shared" si="19"/>
        <v>37.979999999999997</v>
      </c>
    </row>
    <row r="1119" spans="1:15" x14ac:dyDescent="0.35">
      <c r="A1119" t="s">
        <v>1466</v>
      </c>
      <c r="B1119">
        <v>1</v>
      </c>
      <c r="C1119">
        <v>16.989999999999998</v>
      </c>
      <c r="D1119">
        <v>16.989999999999998</v>
      </c>
      <c r="E1119" t="s">
        <v>1249</v>
      </c>
      <c r="F1119" t="s">
        <v>1722</v>
      </c>
      <c r="G1119" t="s">
        <v>16</v>
      </c>
      <c r="H1119">
        <v>19</v>
      </c>
      <c r="I1119" t="s">
        <v>41</v>
      </c>
      <c r="J1119" t="s">
        <v>25</v>
      </c>
      <c r="K1119">
        <v>5</v>
      </c>
      <c r="O1119">
        <f t="shared" si="19"/>
        <v>21.99</v>
      </c>
    </row>
    <row r="1120" spans="1:15" x14ac:dyDescent="0.35">
      <c r="A1120" t="s">
        <v>1467</v>
      </c>
      <c r="B1120">
        <v>3</v>
      </c>
      <c r="C1120">
        <v>30.99</v>
      </c>
      <c r="D1120">
        <v>74.86</v>
      </c>
      <c r="E1120" t="s">
        <v>909</v>
      </c>
      <c r="F1120" t="s">
        <v>1723</v>
      </c>
      <c r="G1120" t="s">
        <v>21</v>
      </c>
      <c r="H1120">
        <v>0</v>
      </c>
      <c r="I1120" t="s">
        <v>17</v>
      </c>
      <c r="J1120" t="s">
        <v>18</v>
      </c>
      <c r="K1120">
        <v>10.5</v>
      </c>
      <c r="O1120">
        <f t="shared" si="19"/>
        <v>84.73</v>
      </c>
    </row>
    <row r="1121" spans="1:15" x14ac:dyDescent="0.35">
      <c r="A1121" t="s">
        <v>1468</v>
      </c>
      <c r="B1121">
        <v>1</v>
      </c>
      <c r="C1121">
        <v>30.99</v>
      </c>
      <c r="D1121">
        <v>30.99</v>
      </c>
      <c r="E1121" t="s">
        <v>20</v>
      </c>
      <c r="F1121" t="s">
        <v>1724</v>
      </c>
      <c r="G1121" t="s">
        <v>16</v>
      </c>
      <c r="H1121">
        <v>8</v>
      </c>
      <c r="I1121" t="s">
        <v>12</v>
      </c>
      <c r="J1121" t="s">
        <v>18</v>
      </c>
      <c r="K1121">
        <v>10.5</v>
      </c>
      <c r="O1121">
        <f t="shared" si="19"/>
        <v>21.99</v>
      </c>
    </row>
    <row r="1122" spans="1:15" x14ac:dyDescent="0.35">
      <c r="A1122" t="s">
        <v>1469</v>
      </c>
      <c r="B1122">
        <v>1</v>
      </c>
      <c r="C1122">
        <v>21.99</v>
      </c>
      <c r="D1122">
        <v>21.99</v>
      </c>
      <c r="E1122" t="s">
        <v>1470</v>
      </c>
      <c r="F1122" t="s">
        <v>1725</v>
      </c>
      <c r="G1122" t="s">
        <v>16</v>
      </c>
      <c r="H1122">
        <v>4</v>
      </c>
      <c r="I1122" t="s">
        <v>12</v>
      </c>
      <c r="J1122" t="s">
        <v>13</v>
      </c>
      <c r="K1122">
        <v>7</v>
      </c>
      <c r="O1122">
        <f t="shared" si="19"/>
        <v>21.99</v>
      </c>
    </row>
    <row r="1123" spans="1:15" x14ac:dyDescent="0.35">
      <c r="A1123" t="s">
        <v>1471</v>
      </c>
      <c r="B1123">
        <v>2</v>
      </c>
      <c r="C1123">
        <v>18.989999999999998</v>
      </c>
      <c r="D1123">
        <v>33.17</v>
      </c>
      <c r="E1123" t="s">
        <v>474</v>
      </c>
      <c r="F1123" t="s">
        <v>1726</v>
      </c>
      <c r="G1123" t="s">
        <v>16</v>
      </c>
      <c r="H1123">
        <v>10</v>
      </c>
      <c r="I1123" t="s">
        <v>24</v>
      </c>
      <c r="J1123" t="s">
        <v>42</v>
      </c>
      <c r="K1123">
        <v>6</v>
      </c>
      <c r="O1123">
        <f t="shared" si="19"/>
        <v>37.979999999999997</v>
      </c>
    </row>
    <row r="1124" spans="1:15" x14ac:dyDescent="0.35">
      <c r="A1124" t="s">
        <v>1472</v>
      </c>
      <c r="B1124">
        <v>3</v>
      </c>
      <c r="C1124">
        <v>27.99</v>
      </c>
      <c r="D1124">
        <v>66.44</v>
      </c>
      <c r="E1124" t="s">
        <v>143</v>
      </c>
      <c r="F1124" t="s">
        <v>1727</v>
      </c>
      <c r="G1124" t="s">
        <v>11</v>
      </c>
      <c r="H1124">
        <v>2</v>
      </c>
      <c r="I1124" t="s">
        <v>17</v>
      </c>
      <c r="J1124" t="s">
        <v>31</v>
      </c>
      <c r="K1124">
        <v>9</v>
      </c>
      <c r="O1124">
        <f t="shared" si="19"/>
        <v>84.73</v>
      </c>
    </row>
    <row r="1125" spans="1:15" x14ac:dyDescent="0.35">
      <c r="A1125" t="s">
        <v>1473</v>
      </c>
      <c r="B1125">
        <v>3</v>
      </c>
      <c r="C1125">
        <v>27.99</v>
      </c>
      <c r="D1125">
        <v>66.97</v>
      </c>
      <c r="E1125" t="s">
        <v>1474</v>
      </c>
      <c r="F1125" t="s">
        <v>1728</v>
      </c>
      <c r="G1125" t="s">
        <v>16</v>
      </c>
      <c r="H1125">
        <v>3</v>
      </c>
      <c r="I1125" t="s">
        <v>41</v>
      </c>
      <c r="J1125" t="s">
        <v>31</v>
      </c>
      <c r="K1125">
        <v>9</v>
      </c>
      <c r="O1125">
        <f t="shared" si="19"/>
        <v>84.73</v>
      </c>
    </row>
    <row r="1126" spans="1:15" x14ac:dyDescent="0.35">
      <c r="A1126" t="s">
        <v>1475</v>
      </c>
      <c r="B1126">
        <v>3</v>
      </c>
      <c r="C1126">
        <v>16.989999999999998</v>
      </c>
      <c r="D1126">
        <v>41.26</v>
      </c>
      <c r="E1126" t="s">
        <v>888</v>
      </c>
      <c r="F1126" t="s">
        <v>1717</v>
      </c>
      <c r="G1126" t="s">
        <v>16</v>
      </c>
      <c r="H1126">
        <v>15</v>
      </c>
      <c r="I1126" t="s">
        <v>24</v>
      </c>
      <c r="J1126" t="s">
        <v>25</v>
      </c>
      <c r="K1126">
        <v>5</v>
      </c>
      <c r="O1126">
        <f t="shared" si="19"/>
        <v>84.73</v>
      </c>
    </row>
    <row r="1127" spans="1:15" x14ac:dyDescent="0.35">
      <c r="A1127" t="s">
        <v>1476</v>
      </c>
      <c r="B1127">
        <v>1</v>
      </c>
      <c r="C1127">
        <v>27.99</v>
      </c>
      <c r="D1127">
        <v>27.99</v>
      </c>
      <c r="E1127" t="s">
        <v>888</v>
      </c>
      <c r="F1127" t="s">
        <v>1718</v>
      </c>
      <c r="G1127" t="s">
        <v>21</v>
      </c>
      <c r="H1127">
        <v>0</v>
      </c>
      <c r="I1127" t="s">
        <v>24</v>
      </c>
      <c r="J1127" t="s">
        <v>31</v>
      </c>
      <c r="K1127">
        <v>9</v>
      </c>
      <c r="O1127">
        <f t="shared" si="19"/>
        <v>21.99</v>
      </c>
    </row>
    <row r="1128" spans="1:15" x14ac:dyDescent="0.35">
      <c r="A1128" t="s">
        <v>1477</v>
      </c>
      <c r="B1128">
        <v>1</v>
      </c>
      <c r="C1128">
        <v>30.99</v>
      </c>
      <c r="D1128">
        <v>30.99</v>
      </c>
      <c r="E1128" t="s">
        <v>1470</v>
      </c>
      <c r="F1128" t="s">
        <v>1719</v>
      </c>
      <c r="G1128" t="s">
        <v>28</v>
      </c>
      <c r="H1128">
        <v>0</v>
      </c>
      <c r="I1128" t="s">
        <v>41</v>
      </c>
      <c r="J1128" t="s">
        <v>18</v>
      </c>
      <c r="K1128">
        <v>10.5</v>
      </c>
      <c r="O1128">
        <f t="shared" si="19"/>
        <v>21.99</v>
      </c>
    </row>
    <row r="1129" spans="1:15" x14ac:dyDescent="0.35">
      <c r="A1129" t="s">
        <v>1478</v>
      </c>
      <c r="B1129">
        <v>2</v>
      </c>
      <c r="C1129">
        <v>18.989999999999998</v>
      </c>
      <c r="D1129">
        <v>33.06</v>
      </c>
      <c r="E1129" t="s">
        <v>1272</v>
      </c>
      <c r="F1129" t="s">
        <v>1720</v>
      </c>
      <c r="G1129" t="s">
        <v>16</v>
      </c>
      <c r="H1129">
        <v>15</v>
      </c>
      <c r="I1129" t="s">
        <v>24</v>
      </c>
      <c r="J1129" t="s">
        <v>42</v>
      </c>
      <c r="K1129">
        <v>6</v>
      </c>
      <c r="O1129">
        <f t="shared" si="19"/>
        <v>37.979999999999997</v>
      </c>
    </row>
    <row r="1130" spans="1:15" x14ac:dyDescent="0.35">
      <c r="A1130" t="s">
        <v>1479</v>
      </c>
      <c r="B1130">
        <v>1</v>
      </c>
      <c r="C1130">
        <v>27.99</v>
      </c>
      <c r="D1130">
        <v>27.99</v>
      </c>
      <c r="E1130" t="s">
        <v>449</v>
      </c>
      <c r="F1130" t="s">
        <v>1721</v>
      </c>
      <c r="G1130" t="s">
        <v>16</v>
      </c>
      <c r="H1130">
        <v>3</v>
      </c>
      <c r="I1130" t="s">
        <v>24</v>
      </c>
      <c r="J1130" t="s">
        <v>31</v>
      </c>
      <c r="K1130">
        <v>9</v>
      </c>
      <c r="O1130">
        <f t="shared" si="19"/>
        <v>21.99</v>
      </c>
    </row>
    <row r="1131" spans="1:15" x14ac:dyDescent="0.35">
      <c r="A1131" t="s">
        <v>1480</v>
      </c>
      <c r="B1131">
        <v>1</v>
      </c>
      <c r="C1131">
        <v>27.99</v>
      </c>
      <c r="D1131">
        <v>27.99</v>
      </c>
      <c r="E1131" t="s">
        <v>46</v>
      </c>
      <c r="F1131" t="s">
        <v>1722</v>
      </c>
      <c r="G1131" t="s">
        <v>16</v>
      </c>
      <c r="H1131">
        <v>2</v>
      </c>
      <c r="I1131" t="s">
        <v>41</v>
      </c>
      <c r="J1131" t="s">
        <v>31</v>
      </c>
      <c r="K1131">
        <v>9</v>
      </c>
      <c r="O1131">
        <f t="shared" si="19"/>
        <v>21.99</v>
      </c>
    </row>
    <row r="1132" spans="1:15" x14ac:dyDescent="0.35">
      <c r="A1132" t="s">
        <v>1481</v>
      </c>
      <c r="B1132">
        <v>1</v>
      </c>
      <c r="C1132">
        <v>34.99</v>
      </c>
      <c r="D1132">
        <v>34.99</v>
      </c>
      <c r="E1132" t="s">
        <v>1482</v>
      </c>
      <c r="F1132" t="s">
        <v>1723</v>
      </c>
      <c r="G1132" t="s">
        <v>16</v>
      </c>
      <c r="H1132">
        <v>8</v>
      </c>
      <c r="I1132" t="s">
        <v>24</v>
      </c>
      <c r="J1132" t="s">
        <v>36</v>
      </c>
      <c r="K1132">
        <v>12.5</v>
      </c>
      <c r="O1132">
        <f t="shared" si="19"/>
        <v>21.99</v>
      </c>
    </row>
    <row r="1133" spans="1:15" x14ac:dyDescent="0.35">
      <c r="A1133" t="s">
        <v>1483</v>
      </c>
      <c r="B1133">
        <v>1</v>
      </c>
      <c r="C1133">
        <v>27.99</v>
      </c>
      <c r="D1133">
        <v>27.99</v>
      </c>
      <c r="E1133" t="s">
        <v>531</v>
      </c>
      <c r="F1133" t="s">
        <v>1724</v>
      </c>
      <c r="G1133" t="s">
        <v>28</v>
      </c>
      <c r="H1133">
        <v>0</v>
      </c>
      <c r="I1133" t="s">
        <v>24</v>
      </c>
      <c r="J1133" t="s">
        <v>31</v>
      </c>
      <c r="K1133">
        <v>9</v>
      </c>
      <c r="O1133">
        <f t="shared" si="19"/>
        <v>21.99</v>
      </c>
    </row>
    <row r="1134" spans="1:15" x14ac:dyDescent="0.35">
      <c r="A1134" t="s">
        <v>1484</v>
      </c>
      <c r="B1134">
        <v>1</v>
      </c>
      <c r="C1134">
        <v>27.99</v>
      </c>
      <c r="D1134">
        <v>27.99</v>
      </c>
      <c r="E1134" t="s">
        <v>1485</v>
      </c>
      <c r="F1134" t="s">
        <v>1725</v>
      </c>
      <c r="G1134" t="s">
        <v>16</v>
      </c>
      <c r="H1134">
        <v>3</v>
      </c>
      <c r="I1134" t="s">
        <v>12</v>
      </c>
      <c r="J1134" t="s">
        <v>31</v>
      </c>
      <c r="K1134">
        <v>9</v>
      </c>
      <c r="O1134">
        <f t="shared" si="19"/>
        <v>21.99</v>
      </c>
    </row>
    <row r="1135" spans="1:15" x14ac:dyDescent="0.35">
      <c r="A1135" t="s">
        <v>1486</v>
      </c>
      <c r="B1135">
        <v>1</v>
      </c>
      <c r="C1135">
        <v>18.989999999999998</v>
      </c>
      <c r="D1135">
        <v>18.989999999999998</v>
      </c>
      <c r="E1135" t="s">
        <v>1230</v>
      </c>
      <c r="F1135" t="s">
        <v>1726</v>
      </c>
      <c r="G1135" t="s">
        <v>28</v>
      </c>
      <c r="H1135">
        <v>0</v>
      </c>
      <c r="I1135" t="s">
        <v>41</v>
      </c>
      <c r="J1135" t="s">
        <v>42</v>
      </c>
      <c r="K1135">
        <v>6</v>
      </c>
      <c r="O1135">
        <f t="shared" si="19"/>
        <v>21.99</v>
      </c>
    </row>
    <row r="1136" spans="1:15" x14ac:dyDescent="0.35">
      <c r="A1136" t="s">
        <v>1487</v>
      </c>
      <c r="B1136">
        <v>1</v>
      </c>
      <c r="C1136">
        <v>18.989999999999998</v>
      </c>
      <c r="D1136">
        <v>18.989999999999998</v>
      </c>
      <c r="E1136" t="s">
        <v>1337</v>
      </c>
      <c r="F1136" t="s">
        <v>1727</v>
      </c>
      <c r="G1136" t="s">
        <v>16</v>
      </c>
      <c r="H1136">
        <v>13</v>
      </c>
      <c r="I1136" t="s">
        <v>17</v>
      </c>
      <c r="J1136" t="s">
        <v>42</v>
      </c>
      <c r="K1136">
        <v>6</v>
      </c>
      <c r="O1136">
        <f t="shared" si="19"/>
        <v>21.99</v>
      </c>
    </row>
    <row r="1137" spans="1:15" x14ac:dyDescent="0.35">
      <c r="A1137" t="s">
        <v>1488</v>
      </c>
      <c r="B1137">
        <v>1</v>
      </c>
      <c r="C1137">
        <v>16.989999999999998</v>
      </c>
      <c r="D1137">
        <v>16.989999999999998</v>
      </c>
      <c r="E1137" t="s">
        <v>382</v>
      </c>
      <c r="F1137" t="s">
        <v>1728</v>
      </c>
      <c r="G1137" t="s">
        <v>11</v>
      </c>
      <c r="H1137">
        <v>18</v>
      </c>
      <c r="I1137" t="s">
        <v>41</v>
      </c>
      <c r="J1137" t="s">
        <v>25</v>
      </c>
      <c r="K1137">
        <v>5</v>
      </c>
      <c r="O1137">
        <f t="shared" si="19"/>
        <v>21.99</v>
      </c>
    </row>
    <row r="1138" spans="1:15" x14ac:dyDescent="0.35">
      <c r="A1138" t="s">
        <v>1489</v>
      </c>
      <c r="B1138">
        <v>3</v>
      </c>
      <c r="C1138">
        <v>18.989999999999998</v>
      </c>
      <c r="D1138">
        <v>45.43</v>
      </c>
      <c r="E1138" t="s">
        <v>742</v>
      </c>
      <c r="F1138" t="s">
        <v>1717</v>
      </c>
      <c r="G1138" t="s">
        <v>16</v>
      </c>
      <c r="H1138">
        <v>13</v>
      </c>
      <c r="I1138" t="s">
        <v>41</v>
      </c>
      <c r="J1138" t="s">
        <v>42</v>
      </c>
      <c r="K1138">
        <v>6</v>
      </c>
      <c r="O1138">
        <f t="shared" si="19"/>
        <v>84.73</v>
      </c>
    </row>
    <row r="1139" spans="1:15" x14ac:dyDescent="0.35">
      <c r="A1139" t="s">
        <v>1490</v>
      </c>
      <c r="B1139">
        <v>1</v>
      </c>
      <c r="C1139">
        <v>30.99</v>
      </c>
      <c r="D1139">
        <v>30.99</v>
      </c>
      <c r="E1139" t="s">
        <v>664</v>
      </c>
      <c r="F1139" t="s">
        <v>1718</v>
      </c>
      <c r="G1139" t="s">
        <v>28</v>
      </c>
      <c r="H1139">
        <v>0</v>
      </c>
      <c r="I1139" t="s">
        <v>17</v>
      </c>
      <c r="J1139" t="s">
        <v>18</v>
      </c>
      <c r="K1139">
        <v>10.5</v>
      </c>
      <c r="O1139">
        <f t="shared" si="19"/>
        <v>21.99</v>
      </c>
    </row>
    <row r="1140" spans="1:15" x14ac:dyDescent="0.35">
      <c r="A1140" t="s">
        <v>1491</v>
      </c>
      <c r="B1140">
        <v>1</v>
      </c>
      <c r="C1140">
        <v>30.99</v>
      </c>
      <c r="D1140">
        <v>30.99</v>
      </c>
      <c r="E1140" t="s">
        <v>50</v>
      </c>
      <c r="F1140" t="s">
        <v>1719</v>
      </c>
      <c r="G1140" t="s">
        <v>16</v>
      </c>
      <c r="H1140">
        <v>3</v>
      </c>
      <c r="I1140" t="s">
        <v>17</v>
      </c>
      <c r="J1140" t="s">
        <v>18</v>
      </c>
      <c r="K1140">
        <v>10.5</v>
      </c>
      <c r="O1140">
        <f t="shared" si="19"/>
        <v>21.99</v>
      </c>
    </row>
    <row r="1141" spans="1:15" x14ac:dyDescent="0.35">
      <c r="A1141" t="s">
        <v>1492</v>
      </c>
      <c r="B1141">
        <v>1</v>
      </c>
      <c r="C1141">
        <v>34.99</v>
      </c>
      <c r="D1141">
        <v>34.99</v>
      </c>
      <c r="E1141" t="s">
        <v>231</v>
      </c>
      <c r="F1141" t="s">
        <v>1720</v>
      </c>
      <c r="G1141" t="s">
        <v>11</v>
      </c>
      <c r="H1141">
        <v>6</v>
      </c>
      <c r="I1141" t="s">
        <v>24</v>
      </c>
      <c r="J1141" t="s">
        <v>36</v>
      </c>
      <c r="K1141">
        <v>12.5</v>
      </c>
      <c r="O1141">
        <f t="shared" si="19"/>
        <v>21.99</v>
      </c>
    </row>
    <row r="1142" spans="1:15" x14ac:dyDescent="0.35">
      <c r="A1142" t="s">
        <v>1493</v>
      </c>
      <c r="B1142">
        <v>1</v>
      </c>
      <c r="C1142">
        <v>34.99</v>
      </c>
      <c r="D1142">
        <v>34.99</v>
      </c>
      <c r="E1142" t="s">
        <v>1314</v>
      </c>
      <c r="F1142" t="s">
        <v>1721</v>
      </c>
      <c r="G1142" t="s">
        <v>21</v>
      </c>
      <c r="H1142">
        <v>0</v>
      </c>
      <c r="I1142" t="s">
        <v>17</v>
      </c>
      <c r="J1142" t="s">
        <v>36</v>
      </c>
      <c r="K1142">
        <v>12.5</v>
      </c>
      <c r="O1142">
        <f t="shared" si="19"/>
        <v>21.99</v>
      </c>
    </row>
    <row r="1143" spans="1:15" x14ac:dyDescent="0.35">
      <c r="A1143" t="s">
        <v>1494</v>
      </c>
      <c r="B1143">
        <v>3</v>
      </c>
      <c r="C1143">
        <v>27.99</v>
      </c>
      <c r="D1143">
        <v>67.430000000000007</v>
      </c>
      <c r="E1143" t="s">
        <v>556</v>
      </c>
      <c r="F1143" t="s">
        <v>1722</v>
      </c>
      <c r="G1143" t="s">
        <v>16</v>
      </c>
      <c r="H1143">
        <v>3</v>
      </c>
      <c r="I1143" t="s">
        <v>24</v>
      </c>
      <c r="J1143" t="s">
        <v>31</v>
      </c>
      <c r="K1143">
        <v>9</v>
      </c>
      <c r="O1143">
        <f t="shared" si="19"/>
        <v>84.73</v>
      </c>
    </row>
    <row r="1144" spans="1:15" x14ac:dyDescent="0.35">
      <c r="A1144" t="s">
        <v>1495</v>
      </c>
      <c r="B1144">
        <v>3</v>
      </c>
      <c r="C1144">
        <v>18.989999999999998</v>
      </c>
      <c r="D1144">
        <v>44.87</v>
      </c>
      <c r="E1144" t="s">
        <v>655</v>
      </c>
      <c r="F1144" t="s">
        <v>1723</v>
      </c>
      <c r="G1144" t="s">
        <v>16</v>
      </c>
      <c r="H1144">
        <v>15</v>
      </c>
      <c r="I1144" t="s">
        <v>41</v>
      </c>
      <c r="J1144" t="s">
        <v>42</v>
      </c>
      <c r="K1144">
        <v>6</v>
      </c>
      <c r="O1144">
        <f t="shared" si="19"/>
        <v>84.73</v>
      </c>
    </row>
    <row r="1145" spans="1:15" x14ac:dyDescent="0.35">
      <c r="A1145" t="s">
        <v>1496</v>
      </c>
      <c r="B1145">
        <v>1</v>
      </c>
      <c r="C1145">
        <v>21.99</v>
      </c>
      <c r="D1145">
        <v>21.99</v>
      </c>
      <c r="E1145" t="s">
        <v>551</v>
      </c>
      <c r="F1145" t="s">
        <v>1724</v>
      </c>
      <c r="G1145" t="s">
        <v>21</v>
      </c>
      <c r="H1145">
        <v>0</v>
      </c>
      <c r="I1145" t="s">
        <v>12</v>
      </c>
      <c r="J1145" t="s">
        <v>13</v>
      </c>
      <c r="K1145">
        <v>7</v>
      </c>
      <c r="O1145">
        <f t="shared" si="19"/>
        <v>21.99</v>
      </c>
    </row>
    <row r="1146" spans="1:15" x14ac:dyDescent="0.35">
      <c r="A1146" t="s">
        <v>1497</v>
      </c>
      <c r="B1146">
        <v>1</v>
      </c>
      <c r="C1146">
        <v>27.99</v>
      </c>
      <c r="D1146">
        <v>27.99</v>
      </c>
      <c r="E1146" t="s">
        <v>1498</v>
      </c>
      <c r="F1146" t="s">
        <v>1725</v>
      </c>
      <c r="G1146" t="s">
        <v>21</v>
      </c>
      <c r="H1146">
        <v>0</v>
      </c>
      <c r="I1146" t="s">
        <v>17</v>
      </c>
      <c r="J1146" t="s">
        <v>31</v>
      </c>
      <c r="K1146">
        <v>9</v>
      </c>
      <c r="O1146">
        <f t="shared" si="19"/>
        <v>21.99</v>
      </c>
    </row>
    <row r="1147" spans="1:15" x14ac:dyDescent="0.35">
      <c r="A1147" t="s">
        <v>1499</v>
      </c>
      <c r="B1147">
        <v>3</v>
      </c>
      <c r="C1147">
        <v>34.99</v>
      </c>
      <c r="D1147">
        <v>84.73</v>
      </c>
      <c r="E1147" t="s">
        <v>70</v>
      </c>
      <c r="F1147" t="s">
        <v>1726</v>
      </c>
      <c r="G1147" t="s">
        <v>16</v>
      </c>
      <c r="H1147">
        <v>7</v>
      </c>
      <c r="I1147" t="s">
        <v>17</v>
      </c>
      <c r="J1147" t="s">
        <v>36</v>
      </c>
      <c r="K1147">
        <v>12.5</v>
      </c>
      <c r="O1147">
        <f t="shared" si="19"/>
        <v>84.73</v>
      </c>
    </row>
    <row r="1148" spans="1:15" x14ac:dyDescent="0.35">
      <c r="A1148" t="s">
        <v>1500</v>
      </c>
      <c r="B1148">
        <v>1</v>
      </c>
      <c r="C1148">
        <v>16.989999999999998</v>
      </c>
      <c r="D1148">
        <v>16.989999999999998</v>
      </c>
      <c r="E1148" t="s">
        <v>50</v>
      </c>
      <c r="F1148" t="s">
        <v>1727</v>
      </c>
      <c r="G1148" t="s">
        <v>11</v>
      </c>
      <c r="H1148">
        <v>20</v>
      </c>
      <c r="I1148" t="s">
        <v>24</v>
      </c>
      <c r="J1148" t="s">
        <v>25</v>
      </c>
      <c r="K1148">
        <v>5</v>
      </c>
      <c r="O1148">
        <f t="shared" si="19"/>
        <v>21.99</v>
      </c>
    </row>
    <row r="1149" spans="1:15" x14ac:dyDescent="0.35">
      <c r="A1149" t="s">
        <v>1501</v>
      </c>
      <c r="B1149">
        <v>1</v>
      </c>
      <c r="C1149">
        <v>21.99</v>
      </c>
      <c r="D1149">
        <v>21.99</v>
      </c>
      <c r="E1149" t="s">
        <v>118</v>
      </c>
      <c r="F1149" t="s">
        <v>1728</v>
      </c>
      <c r="G1149" t="s">
        <v>28</v>
      </c>
      <c r="H1149">
        <v>0</v>
      </c>
      <c r="I1149" t="s">
        <v>17</v>
      </c>
      <c r="J1149" t="s">
        <v>13</v>
      </c>
      <c r="K1149">
        <v>7</v>
      </c>
      <c r="O1149">
        <f t="shared" si="19"/>
        <v>21.99</v>
      </c>
    </row>
    <row r="1150" spans="1:15" x14ac:dyDescent="0.35">
      <c r="A1150" t="s">
        <v>1502</v>
      </c>
      <c r="B1150">
        <v>1</v>
      </c>
      <c r="C1150">
        <v>16.989999999999998</v>
      </c>
      <c r="D1150">
        <v>16.989999999999998</v>
      </c>
      <c r="E1150" s="6">
        <v>46202</v>
      </c>
      <c r="F1150" t="s">
        <v>1717</v>
      </c>
      <c r="G1150" t="s">
        <v>21</v>
      </c>
      <c r="H1150">
        <v>0</v>
      </c>
      <c r="I1150" t="s">
        <v>17</v>
      </c>
      <c r="J1150" t="s">
        <v>25</v>
      </c>
      <c r="K1150">
        <v>5</v>
      </c>
      <c r="O1150">
        <f t="shared" si="19"/>
        <v>21.99</v>
      </c>
    </row>
    <row r="1151" spans="1:15" x14ac:dyDescent="0.35">
      <c r="A1151" t="s">
        <v>1503</v>
      </c>
      <c r="B1151">
        <v>2</v>
      </c>
      <c r="C1151">
        <v>30.99</v>
      </c>
      <c r="D1151">
        <v>53.81</v>
      </c>
      <c r="E1151" t="s">
        <v>722</v>
      </c>
      <c r="F1151" t="s">
        <v>1718</v>
      </c>
      <c r="G1151" t="s">
        <v>16</v>
      </c>
      <c r="H1151">
        <v>2</v>
      </c>
      <c r="I1151" t="s">
        <v>12</v>
      </c>
      <c r="J1151" t="s">
        <v>18</v>
      </c>
      <c r="K1151">
        <v>10.5</v>
      </c>
      <c r="O1151">
        <f t="shared" si="19"/>
        <v>37.979999999999997</v>
      </c>
    </row>
    <row r="1152" spans="1:15" x14ac:dyDescent="0.35">
      <c r="A1152" t="s">
        <v>1504</v>
      </c>
      <c r="B1152">
        <v>1</v>
      </c>
      <c r="C1152">
        <v>21.99</v>
      </c>
      <c r="D1152">
        <v>21.99</v>
      </c>
      <c r="E1152" t="s">
        <v>1505</v>
      </c>
      <c r="F1152" t="s">
        <v>1719</v>
      </c>
      <c r="G1152" t="s">
        <v>16</v>
      </c>
      <c r="H1152">
        <v>8</v>
      </c>
      <c r="I1152" t="s">
        <v>12</v>
      </c>
      <c r="J1152" t="s">
        <v>13</v>
      </c>
      <c r="K1152">
        <v>7</v>
      </c>
      <c r="O1152">
        <f t="shared" si="19"/>
        <v>21.99</v>
      </c>
    </row>
    <row r="1153" spans="1:15" x14ac:dyDescent="0.35">
      <c r="A1153" t="s">
        <v>1506</v>
      </c>
      <c r="B1153">
        <v>1</v>
      </c>
      <c r="C1153">
        <v>34.99</v>
      </c>
      <c r="D1153">
        <v>34.99</v>
      </c>
      <c r="E1153" t="s">
        <v>290</v>
      </c>
      <c r="F1153" t="s">
        <v>1720</v>
      </c>
      <c r="G1153" t="s">
        <v>16</v>
      </c>
      <c r="H1153">
        <v>11</v>
      </c>
      <c r="I1153" t="s">
        <v>17</v>
      </c>
      <c r="J1153" t="s">
        <v>36</v>
      </c>
      <c r="K1153">
        <v>12.5</v>
      </c>
      <c r="O1153">
        <f t="shared" si="19"/>
        <v>21.99</v>
      </c>
    </row>
    <row r="1154" spans="1:15" x14ac:dyDescent="0.35">
      <c r="A1154" t="s">
        <v>1507</v>
      </c>
      <c r="B1154">
        <v>1</v>
      </c>
      <c r="C1154">
        <v>16.989999999999998</v>
      </c>
      <c r="D1154">
        <v>16.989999999999998</v>
      </c>
      <c r="E1154" t="s">
        <v>465</v>
      </c>
      <c r="F1154" t="s">
        <v>1721</v>
      </c>
      <c r="G1154" t="s">
        <v>16</v>
      </c>
      <c r="H1154">
        <v>15</v>
      </c>
      <c r="I1154" t="s">
        <v>17</v>
      </c>
      <c r="J1154" t="s">
        <v>25</v>
      </c>
      <c r="K1154">
        <v>5</v>
      </c>
      <c r="O1154">
        <f t="shared" ref="O1154:O1217" si="20">VLOOKUP(B:B,B:H,3,FALSE)</f>
        <v>21.99</v>
      </c>
    </row>
    <row r="1155" spans="1:15" x14ac:dyDescent="0.35">
      <c r="A1155" t="s">
        <v>1508</v>
      </c>
      <c r="B1155">
        <v>1</v>
      </c>
      <c r="C1155">
        <v>34.99</v>
      </c>
      <c r="D1155">
        <v>34.99</v>
      </c>
      <c r="E1155" t="s">
        <v>199</v>
      </c>
      <c r="F1155" t="s">
        <v>1722</v>
      </c>
      <c r="G1155" t="s">
        <v>11</v>
      </c>
      <c r="H1155">
        <v>7</v>
      </c>
      <c r="I1155" t="s">
        <v>12</v>
      </c>
      <c r="J1155" t="s">
        <v>36</v>
      </c>
      <c r="K1155">
        <v>12.5</v>
      </c>
      <c r="O1155">
        <f t="shared" si="20"/>
        <v>21.99</v>
      </c>
    </row>
    <row r="1156" spans="1:15" x14ac:dyDescent="0.35">
      <c r="A1156" t="s">
        <v>1509</v>
      </c>
      <c r="B1156">
        <v>1</v>
      </c>
      <c r="C1156">
        <v>16.989999999999998</v>
      </c>
      <c r="D1156">
        <v>16.989999999999998</v>
      </c>
      <c r="E1156" t="s">
        <v>730</v>
      </c>
      <c r="F1156" t="s">
        <v>1723</v>
      </c>
      <c r="G1156" t="s">
        <v>16</v>
      </c>
      <c r="H1156">
        <v>20</v>
      </c>
      <c r="I1156" t="s">
        <v>41</v>
      </c>
      <c r="J1156" t="s">
        <v>25</v>
      </c>
      <c r="K1156">
        <v>5</v>
      </c>
      <c r="O1156">
        <f t="shared" si="20"/>
        <v>21.99</v>
      </c>
    </row>
    <row r="1157" spans="1:15" x14ac:dyDescent="0.35">
      <c r="A1157" t="s">
        <v>1510</v>
      </c>
      <c r="B1157">
        <v>1</v>
      </c>
      <c r="C1157">
        <v>21.99</v>
      </c>
      <c r="D1157">
        <v>21.99</v>
      </c>
      <c r="E1157" t="s">
        <v>1324</v>
      </c>
      <c r="F1157" t="s">
        <v>1724</v>
      </c>
      <c r="G1157" t="s">
        <v>16</v>
      </c>
      <c r="H1157">
        <v>3</v>
      </c>
      <c r="I1157" t="s">
        <v>17</v>
      </c>
      <c r="J1157" t="s">
        <v>13</v>
      </c>
      <c r="K1157">
        <v>7</v>
      </c>
      <c r="O1157">
        <f t="shared" si="20"/>
        <v>21.99</v>
      </c>
    </row>
    <row r="1158" spans="1:15" x14ac:dyDescent="0.35">
      <c r="A1158" t="s">
        <v>1511</v>
      </c>
      <c r="B1158">
        <v>1</v>
      </c>
      <c r="C1158">
        <v>30.99</v>
      </c>
      <c r="D1158">
        <v>30.99</v>
      </c>
      <c r="E1158" t="s">
        <v>730</v>
      </c>
      <c r="F1158" t="s">
        <v>1725</v>
      </c>
      <c r="G1158" t="s">
        <v>16</v>
      </c>
      <c r="H1158">
        <v>3</v>
      </c>
      <c r="I1158" t="s">
        <v>17</v>
      </c>
      <c r="J1158" t="s">
        <v>18</v>
      </c>
      <c r="K1158">
        <v>10.5</v>
      </c>
      <c r="O1158">
        <f t="shared" si="20"/>
        <v>21.99</v>
      </c>
    </row>
    <row r="1159" spans="1:15" x14ac:dyDescent="0.35">
      <c r="A1159" t="s">
        <v>1512</v>
      </c>
      <c r="B1159">
        <v>1</v>
      </c>
      <c r="C1159">
        <v>30.99</v>
      </c>
      <c r="D1159">
        <v>30.99</v>
      </c>
      <c r="E1159" t="s">
        <v>674</v>
      </c>
      <c r="F1159" t="s">
        <v>1726</v>
      </c>
      <c r="G1159" t="s">
        <v>11</v>
      </c>
      <c r="H1159">
        <v>3</v>
      </c>
      <c r="I1159" t="s">
        <v>17</v>
      </c>
      <c r="J1159" t="s">
        <v>18</v>
      </c>
      <c r="K1159">
        <v>10.5</v>
      </c>
      <c r="O1159">
        <f t="shared" si="20"/>
        <v>21.99</v>
      </c>
    </row>
    <row r="1160" spans="1:15" x14ac:dyDescent="0.35">
      <c r="A1160" t="s">
        <v>1513</v>
      </c>
      <c r="B1160">
        <v>1</v>
      </c>
      <c r="C1160">
        <v>30.99</v>
      </c>
      <c r="D1160">
        <v>30.99</v>
      </c>
      <c r="E1160" t="s">
        <v>164</v>
      </c>
      <c r="F1160" t="s">
        <v>1727</v>
      </c>
      <c r="G1160" t="s">
        <v>16</v>
      </c>
      <c r="H1160">
        <v>3</v>
      </c>
      <c r="I1160" t="s">
        <v>17</v>
      </c>
      <c r="J1160" t="s">
        <v>18</v>
      </c>
      <c r="K1160">
        <v>10.5</v>
      </c>
      <c r="O1160">
        <f t="shared" si="20"/>
        <v>21.99</v>
      </c>
    </row>
    <row r="1161" spans="1:15" x14ac:dyDescent="0.35">
      <c r="A1161" t="s">
        <v>1514</v>
      </c>
      <c r="B1161">
        <v>2</v>
      </c>
      <c r="C1161">
        <v>16.989999999999998</v>
      </c>
      <c r="D1161">
        <v>29.54</v>
      </c>
      <c r="E1161" s="6">
        <v>46293</v>
      </c>
      <c r="F1161" t="s">
        <v>1728</v>
      </c>
      <c r="G1161" t="s">
        <v>16</v>
      </c>
      <c r="H1161">
        <v>20</v>
      </c>
      <c r="I1161" t="s">
        <v>17</v>
      </c>
      <c r="J1161" t="s">
        <v>25</v>
      </c>
      <c r="K1161">
        <v>5</v>
      </c>
      <c r="O1161">
        <f t="shared" si="20"/>
        <v>37.979999999999997</v>
      </c>
    </row>
    <row r="1162" spans="1:15" x14ac:dyDescent="0.35">
      <c r="A1162" t="s">
        <v>1515</v>
      </c>
      <c r="B1162">
        <v>3</v>
      </c>
      <c r="C1162">
        <v>34.99</v>
      </c>
      <c r="D1162">
        <v>84.02</v>
      </c>
      <c r="E1162" t="s">
        <v>439</v>
      </c>
      <c r="F1162" t="s">
        <v>1717</v>
      </c>
      <c r="G1162" t="s">
        <v>16</v>
      </c>
      <c r="H1162">
        <v>7</v>
      </c>
      <c r="I1162" t="s">
        <v>41</v>
      </c>
      <c r="J1162" t="s">
        <v>36</v>
      </c>
      <c r="K1162">
        <v>12.5</v>
      </c>
      <c r="O1162">
        <f t="shared" si="20"/>
        <v>84.73</v>
      </c>
    </row>
    <row r="1163" spans="1:15" x14ac:dyDescent="0.35">
      <c r="A1163" t="s">
        <v>1516</v>
      </c>
      <c r="B1163">
        <v>1</v>
      </c>
      <c r="C1163">
        <v>30.99</v>
      </c>
      <c r="D1163">
        <v>30.99</v>
      </c>
      <c r="E1163" t="s">
        <v>598</v>
      </c>
      <c r="F1163" t="s">
        <v>1718</v>
      </c>
      <c r="G1163" t="s">
        <v>16</v>
      </c>
      <c r="H1163">
        <v>2</v>
      </c>
      <c r="I1163" t="s">
        <v>12</v>
      </c>
      <c r="J1163" t="s">
        <v>18</v>
      </c>
      <c r="K1163">
        <v>10.5</v>
      </c>
      <c r="O1163">
        <f t="shared" si="20"/>
        <v>21.99</v>
      </c>
    </row>
    <row r="1164" spans="1:15" x14ac:dyDescent="0.35">
      <c r="A1164" t="s">
        <v>1517</v>
      </c>
      <c r="B1164">
        <v>1</v>
      </c>
      <c r="C1164">
        <v>27.99</v>
      </c>
      <c r="D1164">
        <v>27.99</v>
      </c>
      <c r="E1164" t="s">
        <v>1238</v>
      </c>
      <c r="F1164" t="s">
        <v>1719</v>
      </c>
      <c r="G1164" t="s">
        <v>16</v>
      </c>
      <c r="H1164">
        <v>2</v>
      </c>
      <c r="I1164" t="s">
        <v>24</v>
      </c>
      <c r="J1164" t="s">
        <v>31</v>
      </c>
      <c r="K1164">
        <v>9</v>
      </c>
      <c r="O1164">
        <f t="shared" si="20"/>
        <v>21.99</v>
      </c>
    </row>
    <row r="1165" spans="1:15" x14ac:dyDescent="0.35">
      <c r="A1165" t="s">
        <v>1518</v>
      </c>
      <c r="B1165">
        <v>1</v>
      </c>
      <c r="C1165">
        <v>34.99</v>
      </c>
      <c r="D1165">
        <v>34.99</v>
      </c>
      <c r="E1165" t="s">
        <v>474</v>
      </c>
      <c r="F1165" t="s">
        <v>1720</v>
      </c>
      <c r="G1165" t="s">
        <v>16</v>
      </c>
      <c r="H1165">
        <v>7</v>
      </c>
      <c r="I1165" t="s">
        <v>24</v>
      </c>
      <c r="J1165" t="s">
        <v>36</v>
      </c>
      <c r="K1165">
        <v>12.5</v>
      </c>
      <c r="O1165">
        <f t="shared" si="20"/>
        <v>21.99</v>
      </c>
    </row>
    <row r="1166" spans="1:15" x14ac:dyDescent="0.35">
      <c r="A1166" t="s">
        <v>1519</v>
      </c>
      <c r="B1166">
        <v>1</v>
      </c>
      <c r="C1166">
        <v>30.99</v>
      </c>
      <c r="D1166">
        <v>30.99</v>
      </c>
      <c r="E1166" t="s">
        <v>610</v>
      </c>
      <c r="F1166" t="s">
        <v>1721</v>
      </c>
      <c r="G1166" t="s">
        <v>28</v>
      </c>
      <c r="H1166">
        <v>0</v>
      </c>
      <c r="I1166" t="s">
        <v>41</v>
      </c>
      <c r="J1166" t="s">
        <v>18</v>
      </c>
      <c r="K1166">
        <v>10.5</v>
      </c>
      <c r="O1166">
        <f t="shared" si="20"/>
        <v>21.99</v>
      </c>
    </row>
    <row r="1167" spans="1:15" x14ac:dyDescent="0.35">
      <c r="A1167" t="s">
        <v>1520</v>
      </c>
      <c r="B1167">
        <v>3</v>
      </c>
      <c r="C1167">
        <v>16.989999999999998</v>
      </c>
      <c r="D1167">
        <v>40.85</v>
      </c>
      <c r="E1167" t="s">
        <v>231</v>
      </c>
      <c r="F1167" t="s">
        <v>1722</v>
      </c>
      <c r="G1167" t="s">
        <v>16</v>
      </c>
      <c r="H1167">
        <v>18</v>
      </c>
      <c r="I1167" t="s">
        <v>17</v>
      </c>
      <c r="J1167" t="s">
        <v>25</v>
      </c>
      <c r="K1167">
        <v>5</v>
      </c>
      <c r="O1167">
        <f t="shared" si="20"/>
        <v>84.73</v>
      </c>
    </row>
    <row r="1168" spans="1:15" x14ac:dyDescent="0.35">
      <c r="A1168" t="s">
        <v>1521</v>
      </c>
      <c r="B1168">
        <v>3</v>
      </c>
      <c r="C1168">
        <v>34.99</v>
      </c>
      <c r="D1168">
        <v>83.39</v>
      </c>
      <c r="E1168" t="s">
        <v>1474</v>
      </c>
      <c r="F1168" t="s">
        <v>1723</v>
      </c>
      <c r="G1168" t="s">
        <v>16</v>
      </c>
      <c r="H1168">
        <v>6</v>
      </c>
      <c r="I1168" t="s">
        <v>17</v>
      </c>
      <c r="J1168" t="s">
        <v>36</v>
      </c>
      <c r="K1168">
        <v>12.5</v>
      </c>
      <c r="O1168">
        <f t="shared" si="20"/>
        <v>84.73</v>
      </c>
    </row>
    <row r="1169" spans="1:15" x14ac:dyDescent="0.35">
      <c r="A1169" t="s">
        <v>1522</v>
      </c>
      <c r="B1169">
        <v>1</v>
      </c>
      <c r="C1169">
        <v>18.989999999999998</v>
      </c>
      <c r="D1169">
        <v>18.989999999999998</v>
      </c>
      <c r="E1169" t="s">
        <v>1523</v>
      </c>
      <c r="F1169" t="s">
        <v>1724</v>
      </c>
      <c r="G1169" t="s">
        <v>28</v>
      </c>
      <c r="H1169">
        <v>0</v>
      </c>
      <c r="I1169" t="s">
        <v>17</v>
      </c>
      <c r="J1169" t="s">
        <v>42</v>
      </c>
      <c r="K1169">
        <v>6</v>
      </c>
      <c r="O1169">
        <f t="shared" si="20"/>
        <v>21.99</v>
      </c>
    </row>
    <row r="1170" spans="1:15" x14ac:dyDescent="0.35">
      <c r="A1170" t="s">
        <v>1524</v>
      </c>
      <c r="B1170">
        <v>3</v>
      </c>
      <c r="C1170">
        <v>30.99</v>
      </c>
      <c r="D1170">
        <v>74.290000000000006</v>
      </c>
      <c r="E1170" t="s">
        <v>1125</v>
      </c>
      <c r="F1170" t="s">
        <v>1725</v>
      </c>
      <c r="G1170" t="s">
        <v>87</v>
      </c>
      <c r="H1170">
        <v>0</v>
      </c>
      <c r="I1170" t="s">
        <v>12</v>
      </c>
      <c r="J1170" t="s">
        <v>18</v>
      </c>
      <c r="K1170">
        <v>10.5</v>
      </c>
      <c r="O1170">
        <f t="shared" si="20"/>
        <v>84.73</v>
      </c>
    </row>
    <row r="1171" spans="1:15" x14ac:dyDescent="0.35">
      <c r="A1171" t="s">
        <v>1525</v>
      </c>
      <c r="B1171">
        <v>1</v>
      </c>
      <c r="C1171">
        <v>30.99</v>
      </c>
      <c r="D1171">
        <v>30.99</v>
      </c>
      <c r="E1171" t="s">
        <v>46</v>
      </c>
      <c r="F1171" t="s">
        <v>1726</v>
      </c>
      <c r="G1171" t="s">
        <v>16</v>
      </c>
      <c r="H1171">
        <v>2</v>
      </c>
      <c r="I1171" t="s">
        <v>17</v>
      </c>
      <c r="J1171" t="s">
        <v>18</v>
      </c>
      <c r="K1171">
        <v>10.5</v>
      </c>
      <c r="O1171">
        <f t="shared" si="20"/>
        <v>21.99</v>
      </c>
    </row>
    <row r="1172" spans="1:15" x14ac:dyDescent="0.35">
      <c r="A1172" t="s">
        <v>1526</v>
      </c>
      <c r="B1172">
        <v>1</v>
      </c>
      <c r="C1172">
        <v>27.99</v>
      </c>
      <c r="D1172">
        <v>27.99</v>
      </c>
      <c r="E1172" t="s">
        <v>199</v>
      </c>
      <c r="F1172" t="s">
        <v>1727</v>
      </c>
      <c r="G1172" t="s">
        <v>28</v>
      </c>
      <c r="H1172">
        <v>0</v>
      </c>
      <c r="I1172" t="s">
        <v>17</v>
      </c>
      <c r="J1172" t="s">
        <v>31</v>
      </c>
      <c r="K1172">
        <v>9</v>
      </c>
      <c r="O1172">
        <f t="shared" si="20"/>
        <v>21.99</v>
      </c>
    </row>
    <row r="1173" spans="1:15" x14ac:dyDescent="0.35">
      <c r="A1173" t="s">
        <v>1527</v>
      </c>
      <c r="B1173">
        <v>3</v>
      </c>
      <c r="C1173">
        <v>18.989999999999998</v>
      </c>
      <c r="D1173">
        <v>44.78</v>
      </c>
      <c r="E1173" t="s">
        <v>917</v>
      </c>
      <c r="F1173" t="s">
        <v>1728</v>
      </c>
      <c r="G1173" t="s">
        <v>16</v>
      </c>
      <c r="H1173">
        <v>12</v>
      </c>
      <c r="I1173" t="s">
        <v>17</v>
      </c>
      <c r="J1173" t="s">
        <v>42</v>
      </c>
      <c r="K1173">
        <v>6</v>
      </c>
      <c r="O1173">
        <f t="shared" si="20"/>
        <v>84.73</v>
      </c>
    </row>
    <row r="1174" spans="1:15" x14ac:dyDescent="0.35">
      <c r="A1174" t="s">
        <v>1528</v>
      </c>
      <c r="B1174">
        <v>1</v>
      </c>
      <c r="C1174">
        <v>18.989999999999998</v>
      </c>
      <c r="D1174">
        <v>18.989999999999998</v>
      </c>
      <c r="E1174" t="s">
        <v>485</v>
      </c>
      <c r="F1174" t="s">
        <v>1717</v>
      </c>
      <c r="G1174" t="s">
        <v>21</v>
      </c>
      <c r="H1174">
        <v>0</v>
      </c>
      <c r="I1174" t="s">
        <v>12</v>
      </c>
      <c r="J1174" t="s">
        <v>42</v>
      </c>
      <c r="K1174">
        <v>6</v>
      </c>
      <c r="O1174">
        <f t="shared" si="20"/>
        <v>21.99</v>
      </c>
    </row>
    <row r="1175" spans="1:15" x14ac:dyDescent="0.35">
      <c r="A1175" t="s">
        <v>1529</v>
      </c>
      <c r="B1175">
        <v>1</v>
      </c>
      <c r="C1175">
        <v>18.989999999999998</v>
      </c>
      <c r="D1175">
        <v>18.989999999999998</v>
      </c>
      <c r="E1175" t="s">
        <v>1530</v>
      </c>
      <c r="F1175" t="s">
        <v>1718</v>
      </c>
      <c r="G1175" t="s">
        <v>11</v>
      </c>
      <c r="H1175">
        <v>17</v>
      </c>
      <c r="I1175" t="s">
        <v>17</v>
      </c>
      <c r="J1175" t="s">
        <v>42</v>
      </c>
      <c r="K1175">
        <v>6</v>
      </c>
      <c r="O1175">
        <f t="shared" si="20"/>
        <v>21.99</v>
      </c>
    </row>
    <row r="1176" spans="1:15" x14ac:dyDescent="0.35">
      <c r="A1176" t="s">
        <v>1531</v>
      </c>
      <c r="B1176">
        <v>1</v>
      </c>
      <c r="C1176">
        <v>16.989999999999998</v>
      </c>
      <c r="D1176">
        <v>16.989999999999998</v>
      </c>
      <c r="E1176" t="s">
        <v>236</v>
      </c>
      <c r="F1176" t="s">
        <v>1719</v>
      </c>
      <c r="G1176" t="s">
        <v>16</v>
      </c>
      <c r="H1176">
        <v>16</v>
      </c>
      <c r="I1176" t="s">
        <v>12</v>
      </c>
      <c r="J1176" t="s">
        <v>25</v>
      </c>
      <c r="K1176">
        <v>5</v>
      </c>
      <c r="O1176">
        <f t="shared" si="20"/>
        <v>21.99</v>
      </c>
    </row>
    <row r="1177" spans="1:15" x14ac:dyDescent="0.35">
      <c r="A1177" t="s">
        <v>1532</v>
      </c>
      <c r="B1177">
        <v>1</v>
      </c>
      <c r="C1177">
        <v>34.99</v>
      </c>
      <c r="D1177">
        <v>34.99</v>
      </c>
      <c r="E1177" t="s">
        <v>1179</v>
      </c>
      <c r="F1177" t="s">
        <v>1720</v>
      </c>
      <c r="G1177" t="s">
        <v>16</v>
      </c>
      <c r="H1177">
        <v>6</v>
      </c>
      <c r="I1177" t="s">
        <v>17</v>
      </c>
      <c r="J1177" t="s">
        <v>36</v>
      </c>
      <c r="K1177">
        <v>12.5</v>
      </c>
      <c r="O1177">
        <f t="shared" si="20"/>
        <v>21.99</v>
      </c>
    </row>
    <row r="1178" spans="1:15" x14ac:dyDescent="0.35">
      <c r="A1178" t="s">
        <v>1533</v>
      </c>
      <c r="B1178">
        <v>1</v>
      </c>
      <c r="C1178">
        <v>27.99</v>
      </c>
      <c r="D1178">
        <v>27.99</v>
      </c>
      <c r="E1178" t="s">
        <v>1534</v>
      </c>
      <c r="F1178" t="s">
        <v>1721</v>
      </c>
      <c r="G1178" t="s">
        <v>16</v>
      </c>
      <c r="H1178">
        <v>2</v>
      </c>
      <c r="I1178" t="s">
        <v>17</v>
      </c>
      <c r="J1178" t="s">
        <v>31</v>
      </c>
      <c r="K1178">
        <v>9</v>
      </c>
      <c r="O1178">
        <f t="shared" si="20"/>
        <v>21.99</v>
      </c>
    </row>
    <row r="1179" spans="1:15" x14ac:dyDescent="0.35">
      <c r="A1179" t="s">
        <v>1535</v>
      </c>
      <c r="B1179">
        <v>1</v>
      </c>
      <c r="C1179">
        <v>16.989999999999998</v>
      </c>
      <c r="D1179">
        <v>16.989999999999998</v>
      </c>
      <c r="E1179" t="s">
        <v>1328</v>
      </c>
      <c r="F1179" t="s">
        <v>1722</v>
      </c>
      <c r="G1179" t="s">
        <v>16</v>
      </c>
      <c r="H1179">
        <v>20</v>
      </c>
      <c r="I1179" t="s">
        <v>24</v>
      </c>
      <c r="J1179" t="s">
        <v>25</v>
      </c>
      <c r="K1179">
        <v>5</v>
      </c>
      <c r="O1179">
        <f t="shared" si="20"/>
        <v>21.99</v>
      </c>
    </row>
    <row r="1180" spans="1:15" x14ac:dyDescent="0.35">
      <c r="A1180" t="s">
        <v>1536</v>
      </c>
      <c r="B1180">
        <v>1</v>
      </c>
      <c r="C1180">
        <v>21.99</v>
      </c>
      <c r="D1180">
        <v>21.99</v>
      </c>
      <c r="E1180" t="s">
        <v>1537</v>
      </c>
      <c r="F1180" t="s">
        <v>1723</v>
      </c>
      <c r="G1180" t="s">
        <v>16</v>
      </c>
      <c r="H1180">
        <v>8</v>
      </c>
      <c r="I1180" t="s">
        <v>24</v>
      </c>
      <c r="J1180" t="s">
        <v>13</v>
      </c>
      <c r="K1180">
        <v>7</v>
      </c>
      <c r="O1180">
        <f t="shared" si="20"/>
        <v>21.99</v>
      </c>
    </row>
    <row r="1181" spans="1:15" x14ac:dyDescent="0.35">
      <c r="A1181" t="s">
        <v>1538</v>
      </c>
      <c r="B1181">
        <v>3</v>
      </c>
      <c r="C1181">
        <v>18.989999999999998</v>
      </c>
      <c r="D1181">
        <v>45.11</v>
      </c>
      <c r="E1181" t="s">
        <v>1539</v>
      </c>
      <c r="F1181" t="s">
        <v>1724</v>
      </c>
      <c r="G1181" t="s">
        <v>16</v>
      </c>
      <c r="H1181">
        <v>20</v>
      </c>
      <c r="I1181" t="s">
        <v>24</v>
      </c>
      <c r="J1181" t="s">
        <v>42</v>
      </c>
      <c r="K1181">
        <v>6</v>
      </c>
      <c r="O1181">
        <f t="shared" si="20"/>
        <v>84.73</v>
      </c>
    </row>
    <row r="1182" spans="1:15" x14ac:dyDescent="0.35">
      <c r="A1182" t="s">
        <v>1540</v>
      </c>
      <c r="B1182">
        <v>3</v>
      </c>
      <c r="C1182">
        <v>27.99</v>
      </c>
      <c r="D1182">
        <v>67.709999999999994</v>
      </c>
      <c r="E1182" t="s">
        <v>1244</v>
      </c>
      <c r="F1182" t="s">
        <v>1725</v>
      </c>
      <c r="G1182" t="s">
        <v>21</v>
      </c>
      <c r="H1182">
        <v>0</v>
      </c>
      <c r="I1182" t="s">
        <v>24</v>
      </c>
      <c r="J1182" t="s">
        <v>31</v>
      </c>
      <c r="K1182">
        <v>9</v>
      </c>
      <c r="O1182">
        <f t="shared" si="20"/>
        <v>84.73</v>
      </c>
    </row>
    <row r="1183" spans="1:15" x14ac:dyDescent="0.35">
      <c r="A1183" t="s">
        <v>1541</v>
      </c>
      <c r="B1183">
        <v>1</v>
      </c>
      <c r="C1183">
        <v>27.99</v>
      </c>
      <c r="D1183">
        <v>27.99</v>
      </c>
      <c r="E1183" t="s">
        <v>1084</v>
      </c>
      <c r="F1183" t="s">
        <v>1726</v>
      </c>
      <c r="G1183" t="s">
        <v>28</v>
      </c>
      <c r="H1183">
        <v>0</v>
      </c>
      <c r="I1183" t="s">
        <v>24</v>
      </c>
      <c r="J1183" t="s">
        <v>31</v>
      </c>
      <c r="K1183">
        <v>9</v>
      </c>
      <c r="O1183">
        <f t="shared" si="20"/>
        <v>21.99</v>
      </c>
    </row>
    <row r="1184" spans="1:15" x14ac:dyDescent="0.35">
      <c r="A1184" t="s">
        <v>1542</v>
      </c>
      <c r="B1184">
        <v>1</v>
      </c>
      <c r="C1184">
        <v>18.989999999999998</v>
      </c>
      <c r="D1184">
        <v>18.989999999999998</v>
      </c>
      <c r="E1184" t="s">
        <v>701</v>
      </c>
      <c r="F1184" t="s">
        <v>1727</v>
      </c>
      <c r="G1184" t="s">
        <v>21</v>
      </c>
      <c r="H1184">
        <v>0</v>
      </c>
      <c r="I1184" t="s">
        <v>41</v>
      </c>
      <c r="J1184" t="s">
        <v>42</v>
      </c>
      <c r="K1184">
        <v>6</v>
      </c>
      <c r="O1184">
        <f t="shared" si="20"/>
        <v>21.99</v>
      </c>
    </row>
    <row r="1185" spans="1:15" x14ac:dyDescent="0.35">
      <c r="A1185" t="s">
        <v>1543</v>
      </c>
      <c r="B1185">
        <v>3</v>
      </c>
      <c r="C1185">
        <v>34.99</v>
      </c>
      <c r="D1185">
        <v>83.13</v>
      </c>
      <c r="E1185" t="s">
        <v>132</v>
      </c>
      <c r="F1185" t="s">
        <v>1728</v>
      </c>
      <c r="G1185" t="s">
        <v>16</v>
      </c>
      <c r="H1185">
        <v>6</v>
      </c>
      <c r="I1185" t="s">
        <v>24</v>
      </c>
      <c r="J1185" t="s">
        <v>36</v>
      </c>
      <c r="K1185">
        <v>12.5</v>
      </c>
      <c r="O1185">
        <f t="shared" si="20"/>
        <v>84.73</v>
      </c>
    </row>
    <row r="1186" spans="1:15" x14ac:dyDescent="0.35">
      <c r="A1186" t="s">
        <v>1544</v>
      </c>
      <c r="B1186">
        <v>3</v>
      </c>
      <c r="C1186">
        <v>30.99</v>
      </c>
      <c r="D1186">
        <v>73.66</v>
      </c>
      <c r="E1186" t="s">
        <v>666</v>
      </c>
      <c r="F1186" t="s">
        <v>1717</v>
      </c>
      <c r="G1186" t="s">
        <v>16</v>
      </c>
      <c r="H1186">
        <v>6</v>
      </c>
      <c r="I1186" t="s">
        <v>17</v>
      </c>
      <c r="J1186" t="s">
        <v>18</v>
      </c>
      <c r="K1186">
        <v>10.5</v>
      </c>
      <c r="O1186">
        <f t="shared" si="20"/>
        <v>84.73</v>
      </c>
    </row>
    <row r="1187" spans="1:15" x14ac:dyDescent="0.35">
      <c r="A1187" t="s">
        <v>1545</v>
      </c>
      <c r="B1187">
        <v>1</v>
      </c>
      <c r="C1187">
        <v>34.99</v>
      </c>
      <c r="D1187">
        <v>34.99</v>
      </c>
      <c r="E1187" t="s">
        <v>820</v>
      </c>
      <c r="F1187" t="s">
        <v>1718</v>
      </c>
      <c r="G1187" t="s">
        <v>87</v>
      </c>
      <c r="H1187">
        <v>0</v>
      </c>
      <c r="I1187" t="s">
        <v>17</v>
      </c>
      <c r="J1187" t="s">
        <v>36</v>
      </c>
      <c r="K1187">
        <v>12.5</v>
      </c>
      <c r="O1187">
        <f t="shared" si="20"/>
        <v>21.99</v>
      </c>
    </row>
    <row r="1188" spans="1:15" x14ac:dyDescent="0.35">
      <c r="A1188" t="s">
        <v>1546</v>
      </c>
      <c r="B1188">
        <v>1</v>
      </c>
      <c r="C1188">
        <v>18.989999999999998</v>
      </c>
      <c r="D1188">
        <v>18.989999999999998</v>
      </c>
      <c r="E1188" t="s">
        <v>1547</v>
      </c>
      <c r="F1188" t="s">
        <v>1719</v>
      </c>
      <c r="G1188" t="s">
        <v>21</v>
      </c>
      <c r="H1188">
        <v>0</v>
      </c>
      <c r="I1188" t="s">
        <v>24</v>
      </c>
      <c r="J1188" t="s">
        <v>42</v>
      </c>
      <c r="K1188">
        <v>6</v>
      </c>
      <c r="O1188">
        <f t="shared" si="20"/>
        <v>21.99</v>
      </c>
    </row>
    <row r="1189" spans="1:15" x14ac:dyDescent="0.35">
      <c r="A1189" t="s">
        <v>1548</v>
      </c>
      <c r="B1189">
        <v>1</v>
      </c>
      <c r="C1189">
        <v>21.99</v>
      </c>
      <c r="D1189">
        <v>21.99</v>
      </c>
      <c r="E1189" t="s">
        <v>171</v>
      </c>
      <c r="F1189" t="s">
        <v>1720</v>
      </c>
      <c r="G1189" t="s">
        <v>16</v>
      </c>
      <c r="H1189">
        <v>3</v>
      </c>
      <c r="I1189" t="s">
        <v>12</v>
      </c>
      <c r="J1189" t="s">
        <v>13</v>
      </c>
      <c r="K1189">
        <v>7</v>
      </c>
      <c r="O1189">
        <f t="shared" si="20"/>
        <v>21.99</v>
      </c>
    </row>
    <row r="1190" spans="1:15" x14ac:dyDescent="0.35">
      <c r="A1190" t="s">
        <v>1549</v>
      </c>
      <c r="B1190">
        <v>3</v>
      </c>
      <c r="C1190">
        <v>21.99</v>
      </c>
      <c r="D1190">
        <v>52.8</v>
      </c>
      <c r="E1190" t="s">
        <v>99</v>
      </c>
      <c r="F1190" t="s">
        <v>1721</v>
      </c>
      <c r="G1190" t="s">
        <v>28</v>
      </c>
      <c r="H1190">
        <v>0</v>
      </c>
      <c r="I1190" t="s">
        <v>17</v>
      </c>
      <c r="J1190" t="s">
        <v>13</v>
      </c>
      <c r="K1190">
        <v>7</v>
      </c>
      <c r="O1190">
        <f t="shared" si="20"/>
        <v>84.73</v>
      </c>
    </row>
    <row r="1191" spans="1:15" x14ac:dyDescent="0.35">
      <c r="A1191" t="s">
        <v>1550</v>
      </c>
      <c r="B1191">
        <v>1</v>
      </c>
      <c r="C1191">
        <v>30.99</v>
      </c>
      <c r="D1191">
        <v>30.99</v>
      </c>
      <c r="E1191" t="s">
        <v>349</v>
      </c>
      <c r="F1191" t="s">
        <v>1722</v>
      </c>
      <c r="G1191" t="s">
        <v>16</v>
      </c>
      <c r="H1191">
        <v>2</v>
      </c>
      <c r="I1191" t="s">
        <v>24</v>
      </c>
      <c r="J1191" t="s">
        <v>18</v>
      </c>
      <c r="K1191">
        <v>10.5</v>
      </c>
      <c r="O1191">
        <f t="shared" si="20"/>
        <v>21.99</v>
      </c>
    </row>
    <row r="1192" spans="1:15" x14ac:dyDescent="0.35">
      <c r="A1192" t="s">
        <v>1551</v>
      </c>
      <c r="B1192">
        <v>1</v>
      </c>
      <c r="C1192">
        <v>18.989999999999998</v>
      </c>
      <c r="D1192">
        <v>18.989999999999998</v>
      </c>
      <c r="E1192" t="s">
        <v>48</v>
      </c>
      <c r="F1192" t="s">
        <v>1723</v>
      </c>
      <c r="G1192" t="s">
        <v>21</v>
      </c>
      <c r="H1192">
        <v>0</v>
      </c>
      <c r="I1192" t="s">
        <v>12</v>
      </c>
      <c r="J1192" t="s">
        <v>42</v>
      </c>
      <c r="K1192">
        <v>6</v>
      </c>
      <c r="O1192">
        <f t="shared" si="20"/>
        <v>21.99</v>
      </c>
    </row>
    <row r="1193" spans="1:15" x14ac:dyDescent="0.35">
      <c r="A1193" t="s">
        <v>1552</v>
      </c>
      <c r="B1193">
        <v>3</v>
      </c>
      <c r="C1193">
        <v>27.99</v>
      </c>
      <c r="D1193">
        <v>67.7</v>
      </c>
      <c r="E1193" t="s">
        <v>725</v>
      </c>
      <c r="F1193" t="s">
        <v>1724</v>
      </c>
      <c r="G1193" t="s">
        <v>16</v>
      </c>
      <c r="H1193">
        <v>3</v>
      </c>
      <c r="I1193" t="s">
        <v>24</v>
      </c>
      <c r="J1193" t="s">
        <v>31</v>
      </c>
      <c r="K1193">
        <v>9</v>
      </c>
      <c r="O1193">
        <f t="shared" si="20"/>
        <v>84.73</v>
      </c>
    </row>
    <row r="1194" spans="1:15" x14ac:dyDescent="0.35">
      <c r="A1194" t="s">
        <v>1553</v>
      </c>
      <c r="B1194">
        <v>1</v>
      </c>
      <c r="C1194">
        <v>16.989999999999998</v>
      </c>
      <c r="D1194">
        <v>16.989999999999998</v>
      </c>
      <c r="E1194" t="s">
        <v>907</v>
      </c>
      <c r="F1194" t="s">
        <v>1725</v>
      </c>
      <c r="G1194" t="s">
        <v>28</v>
      </c>
      <c r="H1194">
        <v>0</v>
      </c>
      <c r="I1194" t="s">
        <v>41</v>
      </c>
      <c r="J1194" t="s">
        <v>25</v>
      </c>
      <c r="K1194">
        <v>5</v>
      </c>
      <c r="O1194">
        <f t="shared" si="20"/>
        <v>21.99</v>
      </c>
    </row>
    <row r="1195" spans="1:15" x14ac:dyDescent="0.35">
      <c r="A1195" t="s">
        <v>1554</v>
      </c>
      <c r="B1195">
        <v>1</v>
      </c>
      <c r="C1195">
        <v>30.99</v>
      </c>
      <c r="D1195">
        <v>30.99</v>
      </c>
      <c r="E1195" t="s">
        <v>618</v>
      </c>
      <c r="F1195" t="s">
        <v>1726</v>
      </c>
      <c r="G1195" t="s">
        <v>16</v>
      </c>
      <c r="H1195">
        <v>6</v>
      </c>
      <c r="I1195" t="s">
        <v>17</v>
      </c>
      <c r="J1195" t="s">
        <v>18</v>
      </c>
      <c r="K1195">
        <v>10.5</v>
      </c>
      <c r="O1195">
        <f t="shared" si="20"/>
        <v>21.99</v>
      </c>
    </row>
    <row r="1196" spans="1:15" x14ac:dyDescent="0.35">
      <c r="A1196" t="s">
        <v>1555</v>
      </c>
      <c r="B1196">
        <v>1</v>
      </c>
      <c r="C1196">
        <v>27.99</v>
      </c>
      <c r="D1196">
        <v>27.99</v>
      </c>
      <c r="E1196" t="s">
        <v>808</v>
      </c>
      <c r="F1196" t="s">
        <v>1727</v>
      </c>
      <c r="G1196" t="s">
        <v>16</v>
      </c>
      <c r="H1196">
        <v>3</v>
      </c>
      <c r="I1196" t="s">
        <v>41</v>
      </c>
      <c r="J1196" t="s">
        <v>31</v>
      </c>
      <c r="K1196">
        <v>9</v>
      </c>
      <c r="O1196">
        <f t="shared" si="20"/>
        <v>21.99</v>
      </c>
    </row>
    <row r="1197" spans="1:15" x14ac:dyDescent="0.35">
      <c r="A1197" t="s">
        <v>1556</v>
      </c>
      <c r="B1197">
        <v>3</v>
      </c>
      <c r="C1197">
        <v>21.99</v>
      </c>
      <c r="D1197">
        <v>52.66</v>
      </c>
      <c r="E1197" t="s">
        <v>919</v>
      </c>
      <c r="F1197" t="s">
        <v>1728</v>
      </c>
      <c r="G1197" t="s">
        <v>16</v>
      </c>
      <c r="H1197">
        <v>3</v>
      </c>
      <c r="I1197" t="s">
        <v>24</v>
      </c>
      <c r="J1197" t="s">
        <v>13</v>
      </c>
      <c r="K1197">
        <v>7</v>
      </c>
      <c r="O1197">
        <f t="shared" si="20"/>
        <v>84.73</v>
      </c>
    </row>
    <row r="1198" spans="1:15" x14ac:dyDescent="0.35">
      <c r="A1198" t="s">
        <v>1557</v>
      </c>
      <c r="B1198">
        <v>1</v>
      </c>
      <c r="C1198">
        <v>21.99</v>
      </c>
      <c r="D1198">
        <v>21.99</v>
      </c>
      <c r="E1198" t="s">
        <v>1558</v>
      </c>
      <c r="F1198" t="s">
        <v>1717</v>
      </c>
      <c r="G1198" t="s">
        <v>16</v>
      </c>
      <c r="H1198">
        <v>3</v>
      </c>
      <c r="I1198" t="s">
        <v>41</v>
      </c>
      <c r="J1198" t="s">
        <v>13</v>
      </c>
      <c r="K1198">
        <v>7</v>
      </c>
      <c r="O1198">
        <f t="shared" si="20"/>
        <v>21.99</v>
      </c>
    </row>
    <row r="1199" spans="1:15" x14ac:dyDescent="0.35">
      <c r="A1199" t="s">
        <v>1559</v>
      </c>
      <c r="B1199">
        <v>2</v>
      </c>
      <c r="C1199">
        <v>34.99</v>
      </c>
      <c r="D1199">
        <v>60.72</v>
      </c>
      <c r="E1199" t="s">
        <v>1312</v>
      </c>
      <c r="F1199" t="s">
        <v>1718</v>
      </c>
      <c r="G1199" t="s">
        <v>28</v>
      </c>
      <c r="H1199">
        <v>0</v>
      </c>
      <c r="I1199" t="s">
        <v>12</v>
      </c>
      <c r="J1199" t="s">
        <v>36</v>
      </c>
      <c r="K1199">
        <v>12.5</v>
      </c>
      <c r="O1199">
        <f t="shared" si="20"/>
        <v>37.979999999999997</v>
      </c>
    </row>
    <row r="1200" spans="1:15" x14ac:dyDescent="0.35">
      <c r="A1200" t="s">
        <v>1560</v>
      </c>
      <c r="B1200">
        <v>3</v>
      </c>
      <c r="C1200">
        <v>27.99</v>
      </c>
      <c r="D1200">
        <v>66.040000000000006</v>
      </c>
      <c r="E1200" t="s">
        <v>1230</v>
      </c>
      <c r="F1200" t="s">
        <v>1719</v>
      </c>
      <c r="G1200" t="s">
        <v>21</v>
      </c>
      <c r="H1200">
        <v>0</v>
      </c>
      <c r="I1200" t="s">
        <v>41</v>
      </c>
      <c r="J1200" t="s">
        <v>31</v>
      </c>
      <c r="K1200">
        <v>9</v>
      </c>
      <c r="O1200">
        <f t="shared" si="20"/>
        <v>84.73</v>
      </c>
    </row>
    <row r="1201" spans="1:15" x14ac:dyDescent="0.35">
      <c r="A1201" t="s">
        <v>1561</v>
      </c>
      <c r="B1201">
        <v>1</v>
      </c>
      <c r="C1201">
        <v>30.99</v>
      </c>
      <c r="D1201">
        <v>30.99</v>
      </c>
      <c r="E1201" t="s">
        <v>1064</v>
      </c>
      <c r="F1201" t="s">
        <v>1720</v>
      </c>
      <c r="G1201" t="s">
        <v>16</v>
      </c>
      <c r="H1201">
        <v>2</v>
      </c>
      <c r="I1201" t="s">
        <v>24</v>
      </c>
      <c r="J1201" t="s">
        <v>18</v>
      </c>
      <c r="K1201">
        <v>10.5</v>
      </c>
      <c r="O1201">
        <f t="shared" si="20"/>
        <v>21.99</v>
      </c>
    </row>
    <row r="1202" spans="1:15" x14ac:dyDescent="0.35">
      <c r="A1202" t="s">
        <v>1562</v>
      </c>
      <c r="B1202">
        <v>1</v>
      </c>
      <c r="C1202">
        <v>30.99</v>
      </c>
      <c r="D1202">
        <v>30.99</v>
      </c>
      <c r="E1202" t="s">
        <v>1319</v>
      </c>
      <c r="F1202" t="s">
        <v>1721</v>
      </c>
      <c r="G1202" t="s">
        <v>16</v>
      </c>
      <c r="H1202">
        <v>2</v>
      </c>
      <c r="I1202" t="s">
        <v>41</v>
      </c>
      <c r="J1202" t="s">
        <v>18</v>
      </c>
      <c r="K1202">
        <v>10.5</v>
      </c>
      <c r="O1202">
        <f t="shared" si="20"/>
        <v>21.99</v>
      </c>
    </row>
    <row r="1203" spans="1:15" x14ac:dyDescent="0.35">
      <c r="A1203" t="s">
        <v>1563</v>
      </c>
      <c r="B1203">
        <v>1</v>
      </c>
      <c r="C1203">
        <v>30.99</v>
      </c>
      <c r="D1203">
        <v>30.99</v>
      </c>
      <c r="E1203" t="s">
        <v>1014</v>
      </c>
      <c r="F1203" t="s">
        <v>1722</v>
      </c>
      <c r="G1203" t="s">
        <v>21</v>
      </c>
      <c r="H1203">
        <v>0</v>
      </c>
      <c r="I1203" t="s">
        <v>12</v>
      </c>
      <c r="J1203" t="s">
        <v>18</v>
      </c>
      <c r="K1203">
        <v>10.5</v>
      </c>
      <c r="O1203">
        <f t="shared" si="20"/>
        <v>21.99</v>
      </c>
    </row>
    <row r="1204" spans="1:15" x14ac:dyDescent="0.35">
      <c r="A1204" t="s">
        <v>1564</v>
      </c>
      <c r="B1204">
        <v>3</v>
      </c>
      <c r="C1204">
        <v>27.99</v>
      </c>
      <c r="D1204">
        <v>68</v>
      </c>
      <c r="E1204" t="s">
        <v>1565</v>
      </c>
      <c r="F1204" t="s">
        <v>1723</v>
      </c>
      <c r="G1204" t="s">
        <v>16</v>
      </c>
      <c r="H1204">
        <v>2</v>
      </c>
      <c r="I1204" t="s">
        <v>17</v>
      </c>
      <c r="J1204" t="s">
        <v>31</v>
      </c>
      <c r="K1204">
        <v>9</v>
      </c>
      <c r="O1204">
        <f t="shared" si="20"/>
        <v>84.73</v>
      </c>
    </row>
    <row r="1205" spans="1:15" x14ac:dyDescent="0.35">
      <c r="A1205" t="s">
        <v>1566</v>
      </c>
      <c r="B1205">
        <v>1</v>
      </c>
      <c r="C1205">
        <v>30.99</v>
      </c>
      <c r="D1205">
        <v>30.99</v>
      </c>
      <c r="E1205" t="s">
        <v>664</v>
      </c>
      <c r="F1205" t="s">
        <v>1724</v>
      </c>
      <c r="G1205" t="s">
        <v>16</v>
      </c>
      <c r="H1205">
        <v>2</v>
      </c>
      <c r="I1205" t="s">
        <v>41</v>
      </c>
      <c r="J1205" t="s">
        <v>18</v>
      </c>
      <c r="K1205">
        <v>10.5</v>
      </c>
      <c r="O1205">
        <f t="shared" si="20"/>
        <v>21.99</v>
      </c>
    </row>
    <row r="1206" spans="1:15" x14ac:dyDescent="0.35">
      <c r="A1206" t="s">
        <v>1567</v>
      </c>
      <c r="B1206">
        <v>1</v>
      </c>
      <c r="C1206">
        <v>21.99</v>
      </c>
      <c r="D1206">
        <v>21.99</v>
      </c>
      <c r="E1206" t="s">
        <v>82</v>
      </c>
      <c r="F1206" t="s">
        <v>1725</v>
      </c>
      <c r="G1206" t="s">
        <v>11</v>
      </c>
      <c r="H1206">
        <v>2</v>
      </c>
      <c r="I1206" t="s">
        <v>17</v>
      </c>
      <c r="J1206" t="s">
        <v>13</v>
      </c>
      <c r="K1206">
        <v>7</v>
      </c>
      <c r="O1206">
        <f t="shared" si="20"/>
        <v>21.99</v>
      </c>
    </row>
    <row r="1207" spans="1:15" x14ac:dyDescent="0.35">
      <c r="A1207" t="s">
        <v>1568</v>
      </c>
      <c r="B1207">
        <v>1</v>
      </c>
      <c r="C1207">
        <v>16.989999999999998</v>
      </c>
      <c r="D1207">
        <v>16.989999999999998</v>
      </c>
      <c r="E1207" t="s">
        <v>44</v>
      </c>
      <c r="F1207" t="s">
        <v>1726</v>
      </c>
      <c r="G1207" t="s">
        <v>16</v>
      </c>
      <c r="H1207">
        <v>17</v>
      </c>
      <c r="I1207" t="s">
        <v>24</v>
      </c>
      <c r="J1207" t="s">
        <v>25</v>
      </c>
      <c r="K1207">
        <v>5</v>
      </c>
      <c r="O1207">
        <f t="shared" si="20"/>
        <v>21.99</v>
      </c>
    </row>
    <row r="1208" spans="1:15" x14ac:dyDescent="0.35">
      <c r="A1208" t="s">
        <v>1569</v>
      </c>
      <c r="B1208">
        <v>1</v>
      </c>
      <c r="C1208">
        <v>34.99</v>
      </c>
      <c r="D1208">
        <v>34.99</v>
      </c>
      <c r="E1208" t="s">
        <v>1570</v>
      </c>
      <c r="F1208" t="s">
        <v>1727</v>
      </c>
      <c r="G1208" t="s">
        <v>16</v>
      </c>
      <c r="H1208">
        <v>7</v>
      </c>
      <c r="I1208" t="s">
        <v>41</v>
      </c>
      <c r="J1208" t="s">
        <v>36</v>
      </c>
      <c r="K1208">
        <v>12.5</v>
      </c>
      <c r="O1208">
        <f t="shared" si="20"/>
        <v>21.99</v>
      </c>
    </row>
    <row r="1209" spans="1:15" x14ac:dyDescent="0.35">
      <c r="A1209" t="s">
        <v>1571</v>
      </c>
      <c r="B1209">
        <v>1</v>
      </c>
      <c r="C1209">
        <v>16.989999999999998</v>
      </c>
      <c r="D1209">
        <v>16.989999999999998</v>
      </c>
      <c r="E1209" t="s">
        <v>694</v>
      </c>
      <c r="F1209" t="s">
        <v>1728</v>
      </c>
      <c r="G1209" t="s">
        <v>16</v>
      </c>
      <c r="H1209">
        <v>19</v>
      </c>
      <c r="I1209" t="s">
        <v>12</v>
      </c>
      <c r="J1209" t="s">
        <v>25</v>
      </c>
      <c r="K1209">
        <v>5</v>
      </c>
      <c r="O1209">
        <f t="shared" si="20"/>
        <v>21.99</v>
      </c>
    </row>
    <row r="1210" spans="1:15" x14ac:dyDescent="0.35">
      <c r="A1210" t="s">
        <v>1572</v>
      </c>
      <c r="B1210">
        <v>2</v>
      </c>
      <c r="C1210">
        <v>18.989999999999998</v>
      </c>
      <c r="D1210">
        <v>32.53</v>
      </c>
      <c r="E1210" t="s">
        <v>439</v>
      </c>
      <c r="F1210" t="s">
        <v>1717</v>
      </c>
      <c r="G1210" t="s">
        <v>21</v>
      </c>
      <c r="H1210">
        <v>0</v>
      </c>
      <c r="I1210" t="s">
        <v>17</v>
      </c>
      <c r="J1210" t="s">
        <v>42</v>
      </c>
      <c r="K1210">
        <v>6</v>
      </c>
      <c r="O1210">
        <f t="shared" si="20"/>
        <v>37.979999999999997</v>
      </c>
    </row>
    <row r="1211" spans="1:15" x14ac:dyDescent="0.35">
      <c r="A1211" t="s">
        <v>1573</v>
      </c>
      <c r="B1211">
        <v>3</v>
      </c>
      <c r="C1211">
        <v>27.99</v>
      </c>
      <c r="D1211">
        <v>65.959999999999994</v>
      </c>
      <c r="E1211" t="s">
        <v>1010</v>
      </c>
      <c r="F1211" t="s">
        <v>1718</v>
      </c>
      <c r="G1211" t="s">
        <v>16</v>
      </c>
      <c r="H1211">
        <v>7</v>
      </c>
      <c r="I1211" t="s">
        <v>12</v>
      </c>
      <c r="J1211" t="s">
        <v>31</v>
      </c>
      <c r="K1211">
        <v>9</v>
      </c>
      <c r="O1211">
        <f t="shared" si="20"/>
        <v>84.73</v>
      </c>
    </row>
    <row r="1212" spans="1:15" x14ac:dyDescent="0.35">
      <c r="A1212" t="s">
        <v>1574</v>
      </c>
      <c r="B1212">
        <v>1</v>
      </c>
      <c r="C1212">
        <v>16.989999999999998</v>
      </c>
      <c r="D1212">
        <v>16.989999999999998</v>
      </c>
      <c r="E1212" t="s">
        <v>1575</v>
      </c>
      <c r="F1212" t="s">
        <v>1719</v>
      </c>
      <c r="G1212" t="s">
        <v>16</v>
      </c>
      <c r="H1212">
        <v>16</v>
      </c>
      <c r="I1212" t="s">
        <v>12</v>
      </c>
      <c r="J1212" t="s">
        <v>25</v>
      </c>
      <c r="K1212">
        <v>5</v>
      </c>
      <c r="O1212">
        <f t="shared" si="20"/>
        <v>21.99</v>
      </c>
    </row>
    <row r="1213" spans="1:15" x14ac:dyDescent="0.35">
      <c r="A1213" t="s">
        <v>1576</v>
      </c>
      <c r="B1213">
        <v>1</v>
      </c>
      <c r="C1213">
        <v>18.989999999999998</v>
      </c>
      <c r="D1213">
        <v>18.989999999999998</v>
      </c>
      <c r="E1213" t="s">
        <v>660</v>
      </c>
      <c r="F1213" t="s">
        <v>1720</v>
      </c>
      <c r="G1213" t="s">
        <v>16</v>
      </c>
      <c r="H1213">
        <v>18</v>
      </c>
      <c r="I1213" t="s">
        <v>12</v>
      </c>
      <c r="J1213" t="s">
        <v>42</v>
      </c>
      <c r="K1213">
        <v>6</v>
      </c>
      <c r="O1213">
        <f t="shared" si="20"/>
        <v>21.99</v>
      </c>
    </row>
    <row r="1214" spans="1:15" x14ac:dyDescent="0.35">
      <c r="A1214" t="s">
        <v>1577</v>
      </c>
      <c r="B1214">
        <v>1</v>
      </c>
      <c r="C1214">
        <v>21.99</v>
      </c>
      <c r="D1214">
        <v>21.99</v>
      </c>
      <c r="E1214" t="s">
        <v>1578</v>
      </c>
      <c r="F1214" t="s">
        <v>1721</v>
      </c>
      <c r="G1214" t="s">
        <v>16</v>
      </c>
      <c r="H1214">
        <v>2</v>
      </c>
      <c r="I1214" t="s">
        <v>41</v>
      </c>
      <c r="J1214" t="s">
        <v>13</v>
      </c>
      <c r="K1214">
        <v>7</v>
      </c>
      <c r="O1214">
        <f t="shared" si="20"/>
        <v>21.99</v>
      </c>
    </row>
    <row r="1215" spans="1:15" x14ac:dyDescent="0.35">
      <c r="A1215" t="s">
        <v>1579</v>
      </c>
      <c r="B1215">
        <v>3</v>
      </c>
      <c r="C1215">
        <v>30.99</v>
      </c>
      <c r="D1215">
        <v>74.930000000000007</v>
      </c>
      <c r="E1215" t="s">
        <v>1580</v>
      </c>
      <c r="F1215" t="s">
        <v>1722</v>
      </c>
      <c r="G1215" t="s">
        <v>21</v>
      </c>
      <c r="H1215">
        <v>0</v>
      </c>
      <c r="I1215" t="s">
        <v>24</v>
      </c>
      <c r="J1215" t="s">
        <v>18</v>
      </c>
      <c r="K1215">
        <v>10.5</v>
      </c>
      <c r="O1215">
        <f t="shared" si="20"/>
        <v>84.73</v>
      </c>
    </row>
    <row r="1216" spans="1:15" x14ac:dyDescent="0.35">
      <c r="A1216" t="s">
        <v>1581</v>
      </c>
      <c r="B1216">
        <v>1</v>
      </c>
      <c r="C1216">
        <v>21.99</v>
      </c>
      <c r="D1216">
        <v>21.99</v>
      </c>
      <c r="E1216" t="s">
        <v>118</v>
      </c>
      <c r="F1216" t="s">
        <v>1723</v>
      </c>
      <c r="G1216" t="s">
        <v>21</v>
      </c>
      <c r="H1216">
        <v>0</v>
      </c>
      <c r="I1216" t="s">
        <v>17</v>
      </c>
      <c r="J1216" t="s">
        <v>13</v>
      </c>
      <c r="K1216">
        <v>7</v>
      </c>
      <c r="O1216">
        <f t="shared" si="20"/>
        <v>21.99</v>
      </c>
    </row>
    <row r="1217" spans="1:15" x14ac:dyDescent="0.35">
      <c r="A1217" t="s">
        <v>1582</v>
      </c>
      <c r="B1217">
        <v>2</v>
      </c>
      <c r="C1217">
        <v>16.989999999999998</v>
      </c>
      <c r="D1217">
        <v>29.44</v>
      </c>
      <c r="E1217" t="s">
        <v>639</v>
      </c>
      <c r="F1217" t="s">
        <v>1724</v>
      </c>
      <c r="G1217" t="s">
        <v>87</v>
      </c>
      <c r="H1217">
        <v>0</v>
      </c>
      <c r="I1217" t="s">
        <v>17</v>
      </c>
      <c r="J1217" t="s">
        <v>25</v>
      </c>
      <c r="K1217">
        <v>5</v>
      </c>
      <c r="O1217">
        <f t="shared" si="20"/>
        <v>37.979999999999997</v>
      </c>
    </row>
    <row r="1218" spans="1:15" x14ac:dyDescent="0.35">
      <c r="A1218" t="s">
        <v>1583</v>
      </c>
      <c r="B1218">
        <v>1</v>
      </c>
      <c r="C1218">
        <v>18.989999999999998</v>
      </c>
      <c r="D1218">
        <v>18.989999999999998</v>
      </c>
      <c r="E1218" t="s">
        <v>461</v>
      </c>
      <c r="F1218" t="s">
        <v>1725</v>
      </c>
      <c r="G1218" t="s">
        <v>16</v>
      </c>
      <c r="H1218">
        <v>10</v>
      </c>
      <c r="I1218" t="s">
        <v>12</v>
      </c>
      <c r="J1218" t="s">
        <v>42</v>
      </c>
      <c r="K1218">
        <v>6</v>
      </c>
      <c r="O1218">
        <f t="shared" ref="O1218:O1281" si="21">VLOOKUP(B:B,B:H,3,FALSE)</f>
        <v>21.99</v>
      </c>
    </row>
    <row r="1219" spans="1:15" x14ac:dyDescent="0.35">
      <c r="A1219" t="s">
        <v>1584</v>
      </c>
      <c r="B1219">
        <v>1</v>
      </c>
      <c r="C1219">
        <v>27.99</v>
      </c>
      <c r="D1219">
        <v>27.99</v>
      </c>
      <c r="E1219" s="6">
        <v>46191</v>
      </c>
      <c r="F1219" t="s">
        <v>1726</v>
      </c>
      <c r="G1219" t="s">
        <v>16</v>
      </c>
      <c r="H1219">
        <v>3</v>
      </c>
      <c r="I1219" t="s">
        <v>12</v>
      </c>
      <c r="J1219" t="s">
        <v>31</v>
      </c>
      <c r="K1219">
        <v>9</v>
      </c>
      <c r="O1219">
        <f t="shared" si="21"/>
        <v>21.99</v>
      </c>
    </row>
    <row r="1220" spans="1:15" x14ac:dyDescent="0.35">
      <c r="A1220" t="s">
        <v>1585</v>
      </c>
      <c r="B1220">
        <v>2</v>
      </c>
      <c r="C1220">
        <v>21.99</v>
      </c>
      <c r="D1220">
        <v>38.26</v>
      </c>
      <c r="E1220" t="s">
        <v>600</v>
      </c>
      <c r="F1220" t="s">
        <v>1727</v>
      </c>
      <c r="G1220" t="s">
        <v>16</v>
      </c>
      <c r="H1220">
        <v>2</v>
      </c>
      <c r="I1220" t="s">
        <v>17</v>
      </c>
      <c r="J1220" t="s">
        <v>13</v>
      </c>
      <c r="K1220">
        <v>7</v>
      </c>
      <c r="O1220">
        <f t="shared" si="21"/>
        <v>37.979999999999997</v>
      </c>
    </row>
    <row r="1221" spans="1:15" x14ac:dyDescent="0.35">
      <c r="A1221" t="s">
        <v>1586</v>
      </c>
      <c r="B1221">
        <v>3</v>
      </c>
      <c r="C1221">
        <v>18.989999999999998</v>
      </c>
      <c r="D1221">
        <v>45.03</v>
      </c>
      <c r="E1221" t="s">
        <v>644</v>
      </c>
      <c r="F1221" t="s">
        <v>1728</v>
      </c>
      <c r="G1221" t="s">
        <v>16</v>
      </c>
      <c r="H1221">
        <v>10</v>
      </c>
      <c r="I1221" t="s">
        <v>12</v>
      </c>
      <c r="J1221" t="s">
        <v>42</v>
      </c>
      <c r="K1221">
        <v>6</v>
      </c>
      <c r="O1221">
        <f t="shared" si="21"/>
        <v>84.73</v>
      </c>
    </row>
    <row r="1222" spans="1:15" x14ac:dyDescent="0.35">
      <c r="A1222" t="s">
        <v>1587</v>
      </c>
      <c r="B1222">
        <v>1</v>
      </c>
      <c r="C1222">
        <v>18.989999999999998</v>
      </c>
      <c r="D1222">
        <v>18.989999999999998</v>
      </c>
      <c r="E1222" t="s">
        <v>79</v>
      </c>
      <c r="F1222" t="s">
        <v>1717</v>
      </c>
      <c r="G1222" t="s">
        <v>16</v>
      </c>
      <c r="H1222">
        <v>10</v>
      </c>
      <c r="I1222" t="s">
        <v>24</v>
      </c>
      <c r="J1222" t="s">
        <v>42</v>
      </c>
      <c r="K1222">
        <v>6</v>
      </c>
      <c r="O1222">
        <f t="shared" si="21"/>
        <v>21.99</v>
      </c>
    </row>
    <row r="1223" spans="1:15" x14ac:dyDescent="0.35">
      <c r="A1223" t="s">
        <v>1588</v>
      </c>
      <c r="B1223">
        <v>1</v>
      </c>
      <c r="C1223">
        <v>30.99</v>
      </c>
      <c r="D1223">
        <v>30.99</v>
      </c>
      <c r="E1223" t="s">
        <v>639</v>
      </c>
      <c r="F1223" t="s">
        <v>1718</v>
      </c>
      <c r="G1223" t="s">
        <v>16</v>
      </c>
      <c r="H1223">
        <v>2</v>
      </c>
      <c r="I1223" t="s">
        <v>12</v>
      </c>
      <c r="J1223" t="s">
        <v>18</v>
      </c>
      <c r="K1223">
        <v>10.5</v>
      </c>
      <c r="O1223">
        <f t="shared" si="21"/>
        <v>21.99</v>
      </c>
    </row>
    <row r="1224" spans="1:15" x14ac:dyDescent="0.35">
      <c r="A1224" t="s">
        <v>1589</v>
      </c>
      <c r="B1224">
        <v>1</v>
      </c>
      <c r="C1224">
        <v>18.989999999999998</v>
      </c>
      <c r="D1224">
        <v>18.989999999999998</v>
      </c>
      <c r="E1224" t="s">
        <v>1590</v>
      </c>
      <c r="F1224" t="s">
        <v>1719</v>
      </c>
      <c r="G1224" t="s">
        <v>16</v>
      </c>
      <c r="H1224">
        <v>16</v>
      </c>
      <c r="I1224" t="s">
        <v>24</v>
      </c>
      <c r="J1224" t="s">
        <v>42</v>
      </c>
      <c r="K1224">
        <v>6</v>
      </c>
      <c r="O1224">
        <f t="shared" si="21"/>
        <v>21.99</v>
      </c>
    </row>
    <row r="1225" spans="1:15" x14ac:dyDescent="0.35">
      <c r="A1225" t="s">
        <v>1591</v>
      </c>
      <c r="B1225">
        <v>1</v>
      </c>
      <c r="C1225">
        <v>30.99</v>
      </c>
      <c r="D1225">
        <v>30.99</v>
      </c>
      <c r="E1225" t="s">
        <v>1007</v>
      </c>
      <c r="F1225" t="s">
        <v>1720</v>
      </c>
      <c r="G1225" t="s">
        <v>16</v>
      </c>
      <c r="H1225">
        <v>3</v>
      </c>
      <c r="I1225" t="s">
        <v>41</v>
      </c>
      <c r="J1225" t="s">
        <v>18</v>
      </c>
      <c r="K1225">
        <v>10.5</v>
      </c>
      <c r="O1225">
        <f t="shared" si="21"/>
        <v>21.99</v>
      </c>
    </row>
    <row r="1226" spans="1:15" x14ac:dyDescent="0.35">
      <c r="A1226" t="s">
        <v>1592</v>
      </c>
      <c r="B1226">
        <v>3</v>
      </c>
      <c r="C1226">
        <v>18.989999999999998</v>
      </c>
      <c r="D1226">
        <v>45.15</v>
      </c>
      <c r="E1226" t="s">
        <v>50</v>
      </c>
      <c r="F1226" t="s">
        <v>1721</v>
      </c>
      <c r="G1226" t="s">
        <v>21</v>
      </c>
      <c r="H1226">
        <v>0</v>
      </c>
      <c r="I1226" t="s">
        <v>41</v>
      </c>
      <c r="J1226" t="s">
        <v>42</v>
      </c>
      <c r="K1226">
        <v>6</v>
      </c>
      <c r="O1226">
        <f t="shared" si="21"/>
        <v>84.73</v>
      </c>
    </row>
    <row r="1227" spans="1:15" x14ac:dyDescent="0.35">
      <c r="A1227" t="s">
        <v>1593</v>
      </c>
      <c r="B1227">
        <v>1</v>
      </c>
      <c r="C1227">
        <v>18.989999999999998</v>
      </c>
      <c r="D1227">
        <v>18.989999999999998</v>
      </c>
      <c r="E1227" t="s">
        <v>522</v>
      </c>
      <c r="F1227" t="s">
        <v>1722</v>
      </c>
      <c r="G1227" t="s">
        <v>21</v>
      </c>
      <c r="H1227">
        <v>0</v>
      </c>
      <c r="I1227" t="s">
        <v>41</v>
      </c>
      <c r="J1227" t="s">
        <v>42</v>
      </c>
      <c r="K1227">
        <v>6</v>
      </c>
      <c r="O1227">
        <f t="shared" si="21"/>
        <v>21.99</v>
      </c>
    </row>
    <row r="1228" spans="1:15" x14ac:dyDescent="0.35">
      <c r="A1228" t="s">
        <v>1594</v>
      </c>
      <c r="B1228">
        <v>1</v>
      </c>
      <c r="C1228">
        <v>16.989999999999998</v>
      </c>
      <c r="D1228">
        <v>16.989999999999998</v>
      </c>
      <c r="E1228" t="s">
        <v>1314</v>
      </c>
      <c r="F1228" t="s">
        <v>1723</v>
      </c>
      <c r="G1228" t="s">
        <v>16</v>
      </c>
      <c r="H1228">
        <v>16</v>
      </c>
      <c r="I1228" t="s">
        <v>41</v>
      </c>
      <c r="J1228" t="s">
        <v>25</v>
      </c>
      <c r="K1228">
        <v>5</v>
      </c>
      <c r="O1228">
        <f t="shared" si="21"/>
        <v>21.99</v>
      </c>
    </row>
    <row r="1229" spans="1:15" x14ac:dyDescent="0.35">
      <c r="A1229" t="s">
        <v>1595</v>
      </c>
      <c r="B1229">
        <v>1</v>
      </c>
      <c r="C1229">
        <v>27.99</v>
      </c>
      <c r="D1229">
        <v>27.99</v>
      </c>
      <c r="E1229" t="s">
        <v>573</v>
      </c>
      <c r="F1229" t="s">
        <v>1724</v>
      </c>
      <c r="G1229" t="s">
        <v>16</v>
      </c>
      <c r="H1229">
        <v>2</v>
      </c>
      <c r="I1229" t="s">
        <v>12</v>
      </c>
      <c r="J1229" t="s">
        <v>31</v>
      </c>
      <c r="K1229">
        <v>9</v>
      </c>
      <c r="O1229">
        <f t="shared" si="21"/>
        <v>21.99</v>
      </c>
    </row>
    <row r="1230" spans="1:15" x14ac:dyDescent="0.35">
      <c r="A1230" t="s">
        <v>1596</v>
      </c>
      <c r="B1230">
        <v>3</v>
      </c>
      <c r="C1230">
        <v>34.99</v>
      </c>
      <c r="D1230">
        <v>83.23</v>
      </c>
      <c r="E1230" t="s">
        <v>1523</v>
      </c>
      <c r="F1230" t="s">
        <v>1725</v>
      </c>
      <c r="G1230" t="s">
        <v>16</v>
      </c>
      <c r="H1230">
        <v>6</v>
      </c>
      <c r="I1230" t="s">
        <v>41</v>
      </c>
      <c r="J1230" t="s">
        <v>36</v>
      </c>
      <c r="K1230">
        <v>12.5</v>
      </c>
      <c r="O1230">
        <f t="shared" si="21"/>
        <v>84.73</v>
      </c>
    </row>
    <row r="1231" spans="1:15" x14ac:dyDescent="0.35">
      <c r="A1231" t="s">
        <v>1597</v>
      </c>
      <c r="B1231">
        <v>1</v>
      </c>
      <c r="C1231">
        <v>16.989999999999998</v>
      </c>
      <c r="D1231">
        <v>16.989999999999998</v>
      </c>
      <c r="E1231" t="s">
        <v>443</v>
      </c>
      <c r="F1231" t="s">
        <v>1726</v>
      </c>
      <c r="G1231" t="s">
        <v>28</v>
      </c>
      <c r="H1231">
        <v>0</v>
      </c>
      <c r="I1231" t="s">
        <v>17</v>
      </c>
      <c r="J1231" t="s">
        <v>25</v>
      </c>
      <c r="K1231">
        <v>5</v>
      </c>
      <c r="O1231">
        <f t="shared" si="21"/>
        <v>21.99</v>
      </c>
    </row>
    <row r="1232" spans="1:15" x14ac:dyDescent="0.35">
      <c r="A1232" t="s">
        <v>1598</v>
      </c>
      <c r="B1232">
        <v>2</v>
      </c>
      <c r="C1232">
        <v>34.99</v>
      </c>
      <c r="D1232">
        <v>60.65</v>
      </c>
      <c r="E1232" t="s">
        <v>106</v>
      </c>
      <c r="F1232" t="s">
        <v>1727</v>
      </c>
      <c r="G1232" t="s">
        <v>28</v>
      </c>
      <c r="H1232">
        <v>0</v>
      </c>
      <c r="I1232" t="s">
        <v>12</v>
      </c>
      <c r="J1232" t="s">
        <v>36</v>
      </c>
      <c r="K1232">
        <v>12.5</v>
      </c>
      <c r="O1232">
        <f t="shared" si="21"/>
        <v>37.979999999999997</v>
      </c>
    </row>
    <row r="1233" spans="1:15" x14ac:dyDescent="0.35">
      <c r="A1233" t="s">
        <v>1599</v>
      </c>
      <c r="B1233">
        <v>1</v>
      </c>
      <c r="C1233">
        <v>16.989999999999998</v>
      </c>
      <c r="D1233">
        <v>16.989999999999998</v>
      </c>
      <c r="E1233" t="s">
        <v>54</v>
      </c>
      <c r="F1233" t="s">
        <v>1728</v>
      </c>
      <c r="G1233" t="s">
        <v>16</v>
      </c>
      <c r="H1233">
        <v>17</v>
      </c>
      <c r="I1233" t="s">
        <v>41</v>
      </c>
      <c r="J1233" t="s">
        <v>25</v>
      </c>
      <c r="K1233">
        <v>5</v>
      </c>
      <c r="O1233">
        <f t="shared" si="21"/>
        <v>21.99</v>
      </c>
    </row>
    <row r="1234" spans="1:15" x14ac:dyDescent="0.35">
      <c r="A1234" t="s">
        <v>1600</v>
      </c>
      <c r="B1234">
        <v>2</v>
      </c>
      <c r="C1234">
        <v>21.99</v>
      </c>
      <c r="D1234">
        <v>38.340000000000003</v>
      </c>
      <c r="E1234" t="s">
        <v>23</v>
      </c>
      <c r="F1234" t="s">
        <v>1717</v>
      </c>
      <c r="G1234" t="s">
        <v>28</v>
      </c>
      <c r="H1234">
        <v>0</v>
      </c>
      <c r="I1234" t="s">
        <v>24</v>
      </c>
      <c r="J1234" t="s">
        <v>13</v>
      </c>
      <c r="K1234">
        <v>7</v>
      </c>
      <c r="O1234">
        <f t="shared" si="21"/>
        <v>37.979999999999997</v>
      </c>
    </row>
    <row r="1235" spans="1:15" x14ac:dyDescent="0.35">
      <c r="A1235" t="s">
        <v>1601</v>
      </c>
      <c r="B1235">
        <v>3</v>
      </c>
      <c r="C1235">
        <v>34.99</v>
      </c>
      <c r="D1235">
        <v>82.94</v>
      </c>
      <c r="E1235" t="s">
        <v>1602</v>
      </c>
      <c r="F1235" t="s">
        <v>1718</v>
      </c>
      <c r="G1235" t="s">
        <v>16</v>
      </c>
      <c r="H1235">
        <v>5</v>
      </c>
      <c r="I1235" t="s">
        <v>12</v>
      </c>
      <c r="J1235" t="s">
        <v>36</v>
      </c>
      <c r="K1235">
        <v>12.5</v>
      </c>
      <c r="O1235">
        <f t="shared" si="21"/>
        <v>84.73</v>
      </c>
    </row>
    <row r="1236" spans="1:15" x14ac:dyDescent="0.35">
      <c r="A1236" t="s">
        <v>1603</v>
      </c>
      <c r="B1236">
        <v>2</v>
      </c>
      <c r="C1236">
        <v>21.99</v>
      </c>
      <c r="D1236">
        <v>37.619999999999997</v>
      </c>
      <c r="E1236" t="s">
        <v>522</v>
      </c>
      <c r="F1236" t="s">
        <v>1719</v>
      </c>
      <c r="G1236" t="s">
        <v>16</v>
      </c>
      <c r="H1236">
        <v>2</v>
      </c>
      <c r="I1236" t="s">
        <v>24</v>
      </c>
      <c r="J1236" t="s">
        <v>13</v>
      </c>
      <c r="K1236">
        <v>7</v>
      </c>
      <c r="O1236">
        <f t="shared" si="21"/>
        <v>37.979999999999997</v>
      </c>
    </row>
    <row r="1237" spans="1:15" x14ac:dyDescent="0.35">
      <c r="A1237" t="s">
        <v>1604</v>
      </c>
      <c r="B1237">
        <v>1</v>
      </c>
      <c r="C1237">
        <v>18.989999999999998</v>
      </c>
      <c r="D1237">
        <v>18.989999999999998</v>
      </c>
      <c r="E1237" t="s">
        <v>947</v>
      </c>
      <c r="F1237" t="s">
        <v>1720</v>
      </c>
      <c r="G1237" t="s">
        <v>28</v>
      </c>
      <c r="H1237">
        <v>0</v>
      </c>
      <c r="I1237" t="s">
        <v>24</v>
      </c>
      <c r="J1237" t="s">
        <v>42</v>
      </c>
      <c r="K1237">
        <v>6</v>
      </c>
      <c r="O1237">
        <f t="shared" si="21"/>
        <v>21.99</v>
      </c>
    </row>
    <row r="1238" spans="1:15" x14ac:dyDescent="0.35">
      <c r="A1238" t="s">
        <v>1605</v>
      </c>
      <c r="B1238">
        <v>1</v>
      </c>
      <c r="C1238">
        <v>21.99</v>
      </c>
      <c r="D1238">
        <v>21.99</v>
      </c>
      <c r="E1238" t="s">
        <v>1185</v>
      </c>
      <c r="F1238" t="s">
        <v>1721</v>
      </c>
      <c r="G1238" t="s">
        <v>21</v>
      </c>
      <c r="H1238">
        <v>0</v>
      </c>
      <c r="I1238" t="s">
        <v>12</v>
      </c>
      <c r="J1238" t="s">
        <v>13</v>
      </c>
      <c r="K1238">
        <v>7</v>
      </c>
      <c r="O1238">
        <f t="shared" si="21"/>
        <v>21.99</v>
      </c>
    </row>
    <row r="1239" spans="1:15" x14ac:dyDescent="0.35">
      <c r="A1239" t="s">
        <v>1606</v>
      </c>
      <c r="B1239">
        <v>1</v>
      </c>
      <c r="C1239">
        <v>18.989999999999998</v>
      </c>
      <c r="D1239">
        <v>18.989999999999998</v>
      </c>
      <c r="E1239" s="6">
        <v>46286</v>
      </c>
      <c r="F1239" t="s">
        <v>1722</v>
      </c>
      <c r="G1239" t="s">
        <v>87</v>
      </c>
      <c r="H1239">
        <v>0</v>
      </c>
      <c r="I1239" t="s">
        <v>12</v>
      </c>
      <c r="J1239" t="s">
        <v>42</v>
      </c>
      <c r="K1239">
        <v>6</v>
      </c>
      <c r="O1239">
        <f t="shared" si="21"/>
        <v>21.99</v>
      </c>
    </row>
    <row r="1240" spans="1:15" x14ac:dyDescent="0.35">
      <c r="A1240" t="s">
        <v>1607</v>
      </c>
      <c r="B1240">
        <v>1</v>
      </c>
      <c r="C1240">
        <v>18.989999999999998</v>
      </c>
      <c r="D1240">
        <v>18.989999999999998</v>
      </c>
      <c r="E1240" t="s">
        <v>531</v>
      </c>
      <c r="F1240" t="s">
        <v>1723</v>
      </c>
      <c r="G1240" t="s">
        <v>21</v>
      </c>
      <c r="H1240">
        <v>0</v>
      </c>
      <c r="I1240" t="s">
        <v>17</v>
      </c>
      <c r="J1240" t="s">
        <v>42</v>
      </c>
      <c r="K1240">
        <v>6</v>
      </c>
      <c r="O1240">
        <f t="shared" si="21"/>
        <v>21.99</v>
      </c>
    </row>
    <row r="1241" spans="1:15" x14ac:dyDescent="0.35">
      <c r="A1241" t="s">
        <v>1608</v>
      </c>
      <c r="B1241">
        <v>3</v>
      </c>
      <c r="C1241">
        <v>30.99</v>
      </c>
      <c r="D1241">
        <v>74.59</v>
      </c>
      <c r="E1241" t="s">
        <v>1609</v>
      </c>
      <c r="F1241" t="s">
        <v>1724</v>
      </c>
      <c r="G1241" t="s">
        <v>16</v>
      </c>
      <c r="H1241">
        <v>2</v>
      </c>
      <c r="I1241" t="s">
        <v>12</v>
      </c>
      <c r="J1241" t="s">
        <v>18</v>
      </c>
      <c r="K1241">
        <v>10.5</v>
      </c>
      <c r="O1241">
        <f t="shared" si="21"/>
        <v>84.73</v>
      </c>
    </row>
    <row r="1242" spans="1:15" x14ac:dyDescent="0.35">
      <c r="A1242" t="s">
        <v>1610</v>
      </c>
      <c r="B1242">
        <v>1</v>
      </c>
      <c r="C1242">
        <v>18.989999999999998</v>
      </c>
      <c r="D1242">
        <v>18.989999999999998</v>
      </c>
      <c r="E1242" s="6">
        <v>46325</v>
      </c>
      <c r="F1242" t="s">
        <v>1725</v>
      </c>
      <c r="G1242" t="s">
        <v>21</v>
      </c>
      <c r="H1242">
        <v>0</v>
      </c>
      <c r="I1242" t="s">
        <v>24</v>
      </c>
      <c r="J1242" t="s">
        <v>42</v>
      </c>
      <c r="K1242">
        <v>6</v>
      </c>
      <c r="O1242">
        <f t="shared" si="21"/>
        <v>21.99</v>
      </c>
    </row>
    <row r="1243" spans="1:15" x14ac:dyDescent="0.35">
      <c r="A1243" t="s">
        <v>1611</v>
      </c>
      <c r="B1243">
        <v>2</v>
      </c>
      <c r="C1243">
        <v>18.989999999999998</v>
      </c>
      <c r="D1243">
        <v>32.950000000000003</v>
      </c>
      <c r="E1243" t="s">
        <v>773</v>
      </c>
      <c r="F1243" t="s">
        <v>1726</v>
      </c>
      <c r="G1243" t="s">
        <v>28</v>
      </c>
      <c r="H1243">
        <v>0</v>
      </c>
      <c r="I1243" t="s">
        <v>24</v>
      </c>
      <c r="J1243" t="s">
        <v>42</v>
      </c>
      <c r="K1243">
        <v>6</v>
      </c>
      <c r="O1243">
        <f t="shared" si="21"/>
        <v>37.979999999999997</v>
      </c>
    </row>
    <row r="1244" spans="1:15" x14ac:dyDescent="0.35">
      <c r="A1244" t="s">
        <v>1612</v>
      </c>
      <c r="B1244">
        <v>1</v>
      </c>
      <c r="C1244">
        <v>21.99</v>
      </c>
      <c r="D1244">
        <v>21.99</v>
      </c>
      <c r="E1244" t="s">
        <v>958</v>
      </c>
      <c r="F1244" t="s">
        <v>1727</v>
      </c>
      <c r="G1244" t="s">
        <v>16</v>
      </c>
      <c r="H1244">
        <v>2</v>
      </c>
      <c r="I1244" t="s">
        <v>24</v>
      </c>
      <c r="J1244" t="s">
        <v>13</v>
      </c>
      <c r="K1244">
        <v>7</v>
      </c>
      <c r="O1244">
        <f t="shared" si="21"/>
        <v>21.99</v>
      </c>
    </row>
    <row r="1245" spans="1:15" x14ac:dyDescent="0.35">
      <c r="A1245" t="s">
        <v>1613</v>
      </c>
      <c r="B1245">
        <v>1</v>
      </c>
      <c r="C1245">
        <v>34.99</v>
      </c>
      <c r="D1245">
        <v>34.99</v>
      </c>
      <c r="E1245" t="s">
        <v>1017</v>
      </c>
      <c r="F1245" t="s">
        <v>1728</v>
      </c>
      <c r="G1245" t="s">
        <v>11</v>
      </c>
      <c r="H1245">
        <v>8</v>
      </c>
      <c r="I1245" t="s">
        <v>24</v>
      </c>
      <c r="J1245" t="s">
        <v>36</v>
      </c>
      <c r="K1245">
        <v>12.5</v>
      </c>
      <c r="O1245">
        <f t="shared" si="21"/>
        <v>21.99</v>
      </c>
    </row>
    <row r="1246" spans="1:15" x14ac:dyDescent="0.35">
      <c r="A1246" t="s">
        <v>1614</v>
      </c>
      <c r="B1246">
        <v>2</v>
      </c>
      <c r="C1246">
        <v>34.99</v>
      </c>
      <c r="D1246">
        <v>60.24</v>
      </c>
      <c r="E1246" t="s">
        <v>657</v>
      </c>
      <c r="F1246" t="s">
        <v>1717</v>
      </c>
      <c r="G1246" t="s">
        <v>16</v>
      </c>
      <c r="H1246">
        <v>10</v>
      </c>
      <c r="I1246" t="s">
        <v>24</v>
      </c>
      <c r="J1246" t="s">
        <v>36</v>
      </c>
      <c r="K1246">
        <v>12.5</v>
      </c>
      <c r="O1246">
        <f t="shared" si="21"/>
        <v>37.979999999999997</v>
      </c>
    </row>
    <row r="1247" spans="1:15" x14ac:dyDescent="0.35">
      <c r="A1247" t="s">
        <v>1615</v>
      </c>
      <c r="B1247">
        <v>1</v>
      </c>
      <c r="C1247">
        <v>21.99</v>
      </c>
      <c r="D1247">
        <v>21.99</v>
      </c>
      <c r="E1247" t="s">
        <v>1345</v>
      </c>
      <c r="F1247" t="s">
        <v>1718</v>
      </c>
      <c r="G1247" t="s">
        <v>11</v>
      </c>
      <c r="H1247">
        <v>2</v>
      </c>
      <c r="I1247" t="s">
        <v>24</v>
      </c>
      <c r="J1247" t="s">
        <v>13</v>
      </c>
      <c r="K1247">
        <v>7</v>
      </c>
      <c r="O1247">
        <f t="shared" si="21"/>
        <v>21.99</v>
      </c>
    </row>
    <row r="1248" spans="1:15" x14ac:dyDescent="0.35">
      <c r="A1248" t="s">
        <v>1616</v>
      </c>
      <c r="B1248">
        <v>2</v>
      </c>
      <c r="C1248">
        <v>34.99</v>
      </c>
      <c r="D1248">
        <v>60.49</v>
      </c>
      <c r="E1248" t="s">
        <v>86</v>
      </c>
      <c r="F1248" t="s">
        <v>1719</v>
      </c>
      <c r="G1248" t="s">
        <v>87</v>
      </c>
      <c r="H1248">
        <v>0</v>
      </c>
      <c r="I1248" t="s">
        <v>12</v>
      </c>
      <c r="J1248" t="s">
        <v>36</v>
      </c>
      <c r="K1248">
        <v>12.5</v>
      </c>
      <c r="O1248">
        <f t="shared" si="21"/>
        <v>37.979999999999997</v>
      </c>
    </row>
    <row r="1249" spans="1:15" x14ac:dyDescent="0.35">
      <c r="A1249" t="s">
        <v>1617</v>
      </c>
      <c r="B1249">
        <v>3</v>
      </c>
      <c r="C1249">
        <v>18.989999999999998</v>
      </c>
      <c r="D1249">
        <v>45.04</v>
      </c>
      <c r="E1249" s="6">
        <v>46049</v>
      </c>
      <c r="F1249" t="s">
        <v>1720</v>
      </c>
      <c r="G1249" t="s">
        <v>87</v>
      </c>
      <c r="H1249">
        <v>0</v>
      </c>
      <c r="I1249" t="s">
        <v>12</v>
      </c>
      <c r="J1249" t="s">
        <v>42</v>
      </c>
      <c r="K1249">
        <v>6</v>
      </c>
      <c r="O1249">
        <f t="shared" si="21"/>
        <v>84.73</v>
      </c>
    </row>
    <row r="1250" spans="1:15" x14ac:dyDescent="0.35">
      <c r="A1250" t="s">
        <v>1618</v>
      </c>
      <c r="B1250">
        <v>1</v>
      </c>
      <c r="C1250">
        <v>30.99</v>
      </c>
      <c r="D1250">
        <v>30.99</v>
      </c>
      <c r="E1250" t="s">
        <v>116</v>
      </c>
      <c r="F1250" t="s">
        <v>1721</v>
      </c>
      <c r="G1250" t="s">
        <v>11</v>
      </c>
      <c r="H1250">
        <v>2</v>
      </c>
      <c r="I1250" t="s">
        <v>24</v>
      </c>
      <c r="J1250" t="s">
        <v>18</v>
      </c>
      <c r="K1250">
        <v>10.5</v>
      </c>
      <c r="O1250">
        <f t="shared" si="21"/>
        <v>21.99</v>
      </c>
    </row>
    <row r="1251" spans="1:15" x14ac:dyDescent="0.35">
      <c r="A1251" t="s">
        <v>1619</v>
      </c>
      <c r="B1251">
        <v>1</v>
      </c>
      <c r="C1251">
        <v>16.989999999999998</v>
      </c>
      <c r="D1251">
        <v>16.989999999999998</v>
      </c>
      <c r="E1251" t="s">
        <v>195</v>
      </c>
      <c r="F1251" t="s">
        <v>1722</v>
      </c>
      <c r="G1251" t="s">
        <v>16</v>
      </c>
      <c r="H1251">
        <v>17</v>
      </c>
      <c r="I1251" t="s">
        <v>41</v>
      </c>
      <c r="J1251" t="s">
        <v>25</v>
      </c>
      <c r="K1251">
        <v>5</v>
      </c>
      <c r="O1251">
        <f t="shared" si="21"/>
        <v>21.99</v>
      </c>
    </row>
    <row r="1252" spans="1:15" x14ac:dyDescent="0.35">
      <c r="A1252" t="s">
        <v>1620</v>
      </c>
      <c r="B1252">
        <v>1</v>
      </c>
      <c r="C1252">
        <v>34.99</v>
      </c>
      <c r="D1252">
        <v>34.99</v>
      </c>
      <c r="E1252" t="s">
        <v>50</v>
      </c>
      <c r="F1252" t="s">
        <v>1723</v>
      </c>
      <c r="G1252" t="s">
        <v>16</v>
      </c>
      <c r="H1252">
        <v>5</v>
      </c>
      <c r="I1252" t="s">
        <v>17</v>
      </c>
      <c r="J1252" t="s">
        <v>36</v>
      </c>
      <c r="K1252">
        <v>12.5</v>
      </c>
      <c r="O1252">
        <f t="shared" si="21"/>
        <v>21.99</v>
      </c>
    </row>
    <row r="1253" spans="1:15" x14ac:dyDescent="0.35">
      <c r="A1253" t="s">
        <v>1621</v>
      </c>
      <c r="B1253">
        <v>1</v>
      </c>
      <c r="C1253">
        <v>16.989999999999998</v>
      </c>
      <c r="D1253">
        <v>16.989999999999998</v>
      </c>
      <c r="E1253" t="s">
        <v>903</v>
      </c>
      <c r="F1253" t="s">
        <v>1724</v>
      </c>
      <c r="G1253" t="s">
        <v>16</v>
      </c>
      <c r="H1253">
        <v>17</v>
      </c>
      <c r="I1253" t="s">
        <v>41</v>
      </c>
      <c r="J1253" t="s">
        <v>25</v>
      </c>
      <c r="K1253">
        <v>5</v>
      </c>
      <c r="O1253">
        <f t="shared" si="21"/>
        <v>21.99</v>
      </c>
    </row>
    <row r="1254" spans="1:15" x14ac:dyDescent="0.35">
      <c r="A1254" t="s">
        <v>1622</v>
      </c>
      <c r="B1254">
        <v>1</v>
      </c>
      <c r="C1254">
        <v>27.99</v>
      </c>
      <c r="D1254">
        <v>27.99</v>
      </c>
      <c r="E1254" t="s">
        <v>703</v>
      </c>
      <c r="F1254" t="s">
        <v>1725</v>
      </c>
      <c r="G1254" t="s">
        <v>21</v>
      </c>
      <c r="H1254">
        <v>0</v>
      </c>
      <c r="I1254" t="s">
        <v>12</v>
      </c>
      <c r="J1254" t="s">
        <v>31</v>
      </c>
      <c r="K1254">
        <v>9</v>
      </c>
      <c r="O1254">
        <f t="shared" si="21"/>
        <v>21.99</v>
      </c>
    </row>
    <row r="1255" spans="1:15" x14ac:dyDescent="0.35">
      <c r="A1255" t="s">
        <v>1623</v>
      </c>
      <c r="B1255">
        <v>1</v>
      </c>
      <c r="C1255">
        <v>34.99</v>
      </c>
      <c r="D1255">
        <v>34.99</v>
      </c>
      <c r="E1255" t="s">
        <v>524</v>
      </c>
      <c r="F1255" t="s">
        <v>1726</v>
      </c>
      <c r="G1255" t="s">
        <v>16</v>
      </c>
      <c r="H1255">
        <v>12</v>
      </c>
      <c r="I1255" t="s">
        <v>17</v>
      </c>
      <c r="J1255" t="s">
        <v>36</v>
      </c>
      <c r="K1255">
        <v>12.5</v>
      </c>
      <c r="O1255">
        <f t="shared" si="21"/>
        <v>21.99</v>
      </c>
    </row>
    <row r="1256" spans="1:15" x14ac:dyDescent="0.35">
      <c r="A1256" t="s">
        <v>1624</v>
      </c>
      <c r="B1256">
        <v>1</v>
      </c>
      <c r="C1256">
        <v>18.989999999999998</v>
      </c>
      <c r="D1256">
        <v>18.989999999999998</v>
      </c>
      <c r="E1256" t="s">
        <v>427</v>
      </c>
      <c r="F1256" t="s">
        <v>1727</v>
      </c>
      <c r="G1256" t="s">
        <v>16</v>
      </c>
      <c r="H1256">
        <v>19</v>
      </c>
      <c r="I1256" t="s">
        <v>12</v>
      </c>
      <c r="J1256" t="s">
        <v>42</v>
      </c>
      <c r="K1256">
        <v>6</v>
      </c>
      <c r="O1256">
        <f t="shared" si="21"/>
        <v>21.99</v>
      </c>
    </row>
    <row r="1257" spans="1:15" x14ac:dyDescent="0.35">
      <c r="A1257" t="s">
        <v>1625</v>
      </c>
      <c r="B1257">
        <v>1</v>
      </c>
      <c r="C1257">
        <v>30.99</v>
      </c>
      <c r="D1257">
        <v>30.99</v>
      </c>
      <c r="E1257" t="s">
        <v>472</v>
      </c>
      <c r="F1257" t="s">
        <v>1728</v>
      </c>
      <c r="G1257" t="s">
        <v>16</v>
      </c>
      <c r="H1257">
        <v>3</v>
      </c>
      <c r="I1257" t="s">
        <v>41</v>
      </c>
      <c r="J1257" t="s">
        <v>18</v>
      </c>
      <c r="K1257">
        <v>10.5</v>
      </c>
      <c r="O1257">
        <f t="shared" si="21"/>
        <v>21.99</v>
      </c>
    </row>
    <row r="1258" spans="1:15" x14ac:dyDescent="0.35">
      <c r="A1258" t="s">
        <v>1626</v>
      </c>
      <c r="B1258">
        <v>1</v>
      </c>
      <c r="C1258">
        <v>16.989999999999998</v>
      </c>
      <c r="D1258">
        <v>16.989999999999998</v>
      </c>
      <c r="E1258" t="s">
        <v>877</v>
      </c>
      <c r="F1258" t="s">
        <v>1717</v>
      </c>
      <c r="G1258" t="s">
        <v>11</v>
      </c>
      <c r="H1258">
        <v>24</v>
      </c>
      <c r="I1258" t="s">
        <v>12</v>
      </c>
      <c r="J1258" t="s">
        <v>25</v>
      </c>
      <c r="K1258">
        <v>5</v>
      </c>
      <c r="O1258">
        <f t="shared" si="21"/>
        <v>21.99</v>
      </c>
    </row>
    <row r="1259" spans="1:15" x14ac:dyDescent="0.35">
      <c r="A1259" t="s">
        <v>1627</v>
      </c>
      <c r="B1259">
        <v>1</v>
      </c>
      <c r="C1259">
        <v>21.99</v>
      </c>
      <c r="D1259">
        <v>21.99</v>
      </c>
      <c r="E1259" t="s">
        <v>722</v>
      </c>
      <c r="F1259" t="s">
        <v>1718</v>
      </c>
      <c r="G1259" t="s">
        <v>16</v>
      </c>
      <c r="H1259">
        <v>2</v>
      </c>
      <c r="I1259" t="s">
        <v>12</v>
      </c>
      <c r="J1259" t="s">
        <v>13</v>
      </c>
      <c r="K1259">
        <v>7</v>
      </c>
      <c r="O1259">
        <f t="shared" si="21"/>
        <v>21.99</v>
      </c>
    </row>
    <row r="1260" spans="1:15" x14ac:dyDescent="0.35">
      <c r="A1260" t="s">
        <v>1628</v>
      </c>
      <c r="B1260">
        <v>1</v>
      </c>
      <c r="C1260">
        <v>16.989999999999998</v>
      </c>
      <c r="D1260">
        <v>16.989999999999998</v>
      </c>
      <c r="E1260" t="s">
        <v>1064</v>
      </c>
      <c r="F1260" t="s">
        <v>1719</v>
      </c>
      <c r="G1260" t="s">
        <v>16</v>
      </c>
      <c r="H1260">
        <v>16</v>
      </c>
      <c r="I1260" t="s">
        <v>17</v>
      </c>
      <c r="J1260" t="s">
        <v>25</v>
      </c>
      <c r="K1260">
        <v>5</v>
      </c>
      <c r="O1260">
        <f t="shared" si="21"/>
        <v>21.99</v>
      </c>
    </row>
    <row r="1261" spans="1:15" x14ac:dyDescent="0.35">
      <c r="A1261" t="s">
        <v>1629</v>
      </c>
      <c r="B1261">
        <v>1</v>
      </c>
      <c r="C1261">
        <v>21.99</v>
      </c>
      <c r="D1261">
        <v>21.99</v>
      </c>
      <c r="E1261" t="s">
        <v>551</v>
      </c>
      <c r="F1261" t="s">
        <v>1720</v>
      </c>
      <c r="G1261" t="s">
        <v>28</v>
      </c>
      <c r="H1261">
        <v>0</v>
      </c>
      <c r="I1261" t="s">
        <v>24</v>
      </c>
      <c r="J1261" t="s">
        <v>13</v>
      </c>
      <c r="K1261">
        <v>7</v>
      </c>
      <c r="O1261">
        <f t="shared" si="21"/>
        <v>21.99</v>
      </c>
    </row>
    <row r="1262" spans="1:15" x14ac:dyDescent="0.35">
      <c r="A1262" t="s">
        <v>1630</v>
      </c>
      <c r="B1262">
        <v>2</v>
      </c>
      <c r="C1262">
        <v>27.99</v>
      </c>
      <c r="D1262">
        <v>48.35</v>
      </c>
      <c r="E1262" t="s">
        <v>832</v>
      </c>
      <c r="F1262" t="s">
        <v>1721</v>
      </c>
      <c r="G1262" t="s">
        <v>21</v>
      </c>
      <c r="H1262">
        <v>0</v>
      </c>
      <c r="I1262" t="s">
        <v>41</v>
      </c>
      <c r="J1262" t="s">
        <v>31</v>
      </c>
      <c r="K1262">
        <v>9</v>
      </c>
      <c r="O1262">
        <f t="shared" si="21"/>
        <v>37.979999999999997</v>
      </c>
    </row>
    <row r="1263" spans="1:15" x14ac:dyDescent="0.35">
      <c r="A1263" t="s">
        <v>1631</v>
      </c>
      <c r="B1263">
        <v>1</v>
      </c>
      <c r="C1263">
        <v>27.99</v>
      </c>
      <c r="D1263">
        <v>27.99</v>
      </c>
      <c r="E1263" t="s">
        <v>1632</v>
      </c>
      <c r="F1263" t="s">
        <v>1722</v>
      </c>
      <c r="G1263" t="s">
        <v>16</v>
      </c>
      <c r="H1263">
        <v>2</v>
      </c>
      <c r="I1263" t="s">
        <v>17</v>
      </c>
      <c r="J1263" t="s">
        <v>31</v>
      </c>
      <c r="K1263">
        <v>9</v>
      </c>
      <c r="O1263">
        <f t="shared" si="21"/>
        <v>21.99</v>
      </c>
    </row>
    <row r="1264" spans="1:15" x14ac:dyDescent="0.35">
      <c r="A1264" t="s">
        <v>1633</v>
      </c>
      <c r="B1264">
        <v>1</v>
      </c>
      <c r="C1264">
        <v>21.99</v>
      </c>
      <c r="D1264">
        <v>21.99</v>
      </c>
      <c r="E1264" t="s">
        <v>562</v>
      </c>
      <c r="F1264" t="s">
        <v>1723</v>
      </c>
      <c r="G1264" t="s">
        <v>16</v>
      </c>
      <c r="H1264">
        <v>3</v>
      </c>
      <c r="I1264" t="s">
        <v>24</v>
      </c>
      <c r="J1264" t="s">
        <v>13</v>
      </c>
      <c r="K1264">
        <v>7</v>
      </c>
      <c r="O1264">
        <f t="shared" si="21"/>
        <v>21.99</v>
      </c>
    </row>
    <row r="1265" spans="1:15" x14ac:dyDescent="0.35">
      <c r="A1265" t="s">
        <v>1634</v>
      </c>
      <c r="B1265">
        <v>2</v>
      </c>
      <c r="C1265">
        <v>30.99</v>
      </c>
      <c r="D1265">
        <v>53.51</v>
      </c>
      <c r="E1265" t="s">
        <v>229</v>
      </c>
      <c r="F1265" t="s">
        <v>1724</v>
      </c>
      <c r="G1265" t="s">
        <v>87</v>
      </c>
      <c r="H1265">
        <v>0</v>
      </c>
      <c r="I1265" t="s">
        <v>12</v>
      </c>
      <c r="J1265" t="s">
        <v>18</v>
      </c>
      <c r="K1265">
        <v>10.5</v>
      </c>
      <c r="O1265">
        <f t="shared" si="21"/>
        <v>37.979999999999997</v>
      </c>
    </row>
    <row r="1266" spans="1:15" x14ac:dyDescent="0.35">
      <c r="A1266" t="s">
        <v>1635</v>
      </c>
      <c r="B1266">
        <v>1</v>
      </c>
      <c r="C1266">
        <v>16.989999999999998</v>
      </c>
      <c r="D1266">
        <v>16.989999999999998</v>
      </c>
      <c r="E1266" t="s">
        <v>1636</v>
      </c>
      <c r="F1266" t="s">
        <v>1725</v>
      </c>
      <c r="G1266" t="s">
        <v>21</v>
      </c>
      <c r="H1266">
        <v>0</v>
      </c>
      <c r="I1266" t="s">
        <v>12</v>
      </c>
      <c r="J1266" t="s">
        <v>25</v>
      </c>
      <c r="K1266">
        <v>5</v>
      </c>
      <c r="O1266">
        <f t="shared" si="21"/>
        <v>21.99</v>
      </c>
    </row>
    <row r="1267" spans="1:15" x14ac:dyDescent="0.35">
      <c r="A1267" t="s">
        <v>1637</v>
      </c>
      <c r="B1267">
        <v>1</v>
      </c>
      <c r="C1267">
        <v>27.99</v>
      </c>
      <c r="D1267">
        <v>27.99</v>
      </c>
      <c r="E1267" t="s">
        <v>46</v>
      </c>
      <c r="F1267" t="s">
        <v>1726</v>
      </c>
      <c r="G1267" t="s">
        <v>16</v>
      </c>
      <c r="H1267">
        <v>3</v>
      </c>
      <c r="I1267" t="s">
        <v>12</v>
      </c>
      <c r="J1267" t="s">
        <v>31</v>
      </c>
      <c r="K1267">
        <v>9</v>
      </c>
      <c r="O1267">
        <f t="shared" si="21"/>
        <v>21.99</v>
      </c>
    </row>
    <row r="1268" spans="1:15" x14ac:dyDescent="0.35">
      <c r="A1268" t="s">
        <v>1638</v>
      </c>
      <c r="B1268">
        <v>3</v>
      </c>
      <c r="C1268">
        <v>34.99</v>
      </c>
      <c r="D1268">
        <v>82.46</v>
      </c>
      <c r="E1268" t="s">
        <v>865</v>
      </c>
      <c r="F1268" t="s">
        <v>1727</v>
      </c>
      <c r="G1268" t="s">
        <v>87</v>
      </c>
      <c r="H1268">
        <v>0</v>
      </c>
      <c r="I1268" t="s">
        <v>24</v>
      </c>
      <c r="J1268" t="s">
        <v>36</v>
      </c>
      <c r="K1268">
        <v>12.5</v>
      </c>
      <c r="O1268">
        <f t="shared" si="21"/>
        <v>84.73</v>
      </c>
    </row>
    <row r="1269" spans="1:15" x14ac:dyDescent="0.35">
      <c r="A1269" t="s">
        <v>1639</v>
      </c>
      <c r="B1269">
        <v>1</v>
      </c>
      <c r="C1269">
        <v>27.99</v>
      </c>
      <c r="D1269">
        <v>27.99</v>
      </c>
      <c r="E1269" t="s">
        <v>500</v>
      </c>
      <c r="F1269" t="s">
        <v>1728</v>
      </c>
      <c r="G1269" t="s">
        <v>16</v>
      </c>
      <c r="H1269">
        <v>2</v>
      </c>
      <c r="I1269" t="s">
        <v>17</v>
      </c>
      <c r="J1269" t="s">
        <v>31</v>
      </c>
      <c r="K1269">
        <v>9</v>
      </c>
      <c r="O1269">
        <f t="shared" si="21"/>
        <v>21.99</v>
      </c>
    </row>
    <row r="1270" spans="1:15" x14ac:dyDescent="0.35">
      <c r="A1270" t="s">
        <v>1640</v>
      </c>
      <c r="B1270">
        <v>2</v>
      </c>
      <c r="C1270">
        <v>18.989999999999998</v>
      </c>
      <c r="D1270">
        <v>32.71</v>
      </c>
      <c r="E1270" t="s">
        <v>573</v>
      </c>
      <c r="F1270" t="s">
        <v>1717</v>
      </c>
      <c r="G1270" t="s">
        <v>21</v>
      </c>
      <c r="H1270">
        <v>0</v>
      </c>
      <c r="I1270" t="s">
        <v>41</v>
      </c>
      <c r="J1270" t="s">
        <v>42</v>
      </c>
      <c r="K1270">
        <v>6</v>
      </c>
      <c r="O1270">
        <f t="shared" si="21"/>
        <v>37.979999999999997</v>
      </c>
    </row>
    <row r="1271" spans="1:15" x14ac:dyDescent="0.35">
      <c r="A1271" t="s">
        <v>1641</v>
      </c>
      <c r="B1271">
        <v>3</v>
      </c>
      <c r="C1271">
        <v>18.989999999999998</v>
      </c>
      <c r="D1271">
        <v>45.65</v>
      </c>
      <c r="E1271" t="s">
        <v>888</v>
      </c>
      <c r="F1271" t="s">
        <v>1718</v>
      </c>
      <c r="G1271" t="s">
        <v>11</v>
      </c>
      <c r="H1271">
        <v>20</v>
      </c>
      <c r="I1271" t="s">
        <v>17</v>
      </c>
      <c r="J1271" t="s">
        <v>42</v>
      </c>
      <c r="K1271">
        <v>6</v>
      </c>
      <c r="O1271">
        <f t="shared" si="21"/>
        <v>84.73</v>
      </c>
    </row>
    <row r="1272" spans="1:15" x14ac:dyDescent="0.35">
      <c r="A1272" t="s">
        <v>1642</v>
      </c>
      <c r="B1272">
        <v>1</v>
      </c>
      <c r="C1272">
        <v>18.989999999999998</v>
      </c>
      <c r="D1272">
        <v>18.989999999999998</v>
      </c>
      <c r="E1272" t="s">
        <v>1249</v>
      </c>
      <c r="F1272" t="s">
        <v>1719</v>
      </c>
      <c r="G1272" t="s">
        <v>16</v>
      </c>
      <c r="H1272">
        <v>13</v>
      </c>
      <c r="I1272" t="s">
        <v>41</v>
      </c>
      <c r="J1272" t="s">
        <v>42</v>
      </c>
      <c r="K1272">
        <v>6</v>
      </c>
      <c r="O1272">
        <f t="shared" si="21"/>
        <v>21.99</v>
      </c>
    </row>
    <row r="1273" spans="1:15" x14ac:dyDescent="0.35">
      <c r="A1273" t="s">
        <v>1643</v>
      </c>
      <c r="B1273">
        <v>1</v>
      </c>
      <c r="C1273">
        <v>30.99</v>
      </c>
      <c r="D1273">
        <v>30.99</v>
      </c>
      <c r="E1273" t="s">
        <v>1644</v>
      </c>
      <c r="F1273" t="s">
        <v>1720</v>
      </c>
      <c r="G1273" t="s">
        <v>16</v>
      </c>
      <c r="H1273">
        <v>3</v>
      </c>
      <c r="I1273" t="s">
        <v>41</v>
      </c>
      <c r="J1273" t="s">
        <v>18</v>
      </c>
      <c r="K1273">
        <v>10.5</v>
      </c>
      <c r="O1273">
        <f t="shared" si="21"/>
        <v>21.99</v>
      </c>
    </row>
    <row r="1274" spans="1:15" x14ac:dyDescent="0.35">
      <c r="A1274" t="s">
        <v>1645</v>
      </c>
      <c r="B1274">
        <v>1</v>
      </c>
      <c r="C1274">
        <v>16.989999999999998</v>
      </c>
      <c r="D1274">
        <v>16.989999999999998</v>
      </c>
      <c r="E1274" t="s">
        <v>1014</v>
      </c>
      <c r="F1274" t="s">
        <v>1721</v>
      </c>
      <c r="G1274" t="s">
        <v>28</v>
      </c>
      <c r="H1274">
        <v>0</v>
      </c>
      <c r="I1274" t="s">
        <v>24</v>
      </c>
      <c r="J1274" t="s">
        <v>25</v>
      </c>
      <c r="K1274">
        <v>5</v>
      </c>
      <c r="O1274">
        <f t="shared" si="21"/>
        <v>21.99</v>
      </c>
    </row>
    <row r="1275" spans="1:15" x14ac:dyDescent="0.35">
      <c r="A1275" t="s">
        <v>1646</v>
      </c>
      <c r="B1275">
        <v>1</v>
      </c>
      <c r="C1275">
        <v>21.99</v>
      </c>
      <c r="D1275">
        <v>21.99</v>
      </c>
      <c r="E1275" s="6">
        <v>46257</v>
      </c>
      <c r="F1275" t="s">
        <v>1722</v>
      </c>
      <c r="G1275" t="s">
        <v>16</v>
      </c>
      <c r="H1275">
        <v>3</v>
      </c>
      <c r="I1275" t="s">
        <v>24</v>
      </c>
      <c r="J1275" t="s">
        <v>13</v>
      </c>
      <c r="K1275">
        <v>7</v>
      </c>
      <c r="O1275">
        <f t="shared" si="21"/>
        <v>21.99</v>
      </c>
    </row>
    <row r="1276" spans="1:15" x14ac:dyDescent="0.35">
      <c r="A1276" t="s">
        <v>1647</v>
      </c>
      <c r="B1276">
        <v>1</v>
      </c>
      <c r="C1276">
        <v>27.99</v>
      </c>
      <c r="D1276">
        <v>27.99</v>
      </c>
      <c r="E1276" t="s">
        <v>38</v>
      </c>
      <c r="F1276" t="s">
        <v>1723</v>
      </c>
      <c r="G1276" t="s">
        <v>16</v>
      </c>
      <c r="H1276">
        <v>3</v>
      </c>
      <c r="I1276" t="s">
        <v>41</v>
      </c>
      <c r="J1276" t="s">
        <v>31</v>
      </c>
      <c r="K1276">
        <v>9</v>
      </c>
      <c r="O1276">
        <f t="shared" si="21"/>
        <v>21.99</v>
      </c>
    </row>
    <row r="1277" spans="1:15" x14ac:dyDescent="0.35">
      <c r="A1277" t="s">
        <v>1648</v>
      </c>
      <c r="B1277">
        <v>1</v>
      </c>
      <c r="C1277">
        <v>27.99</v>
      </c>
      <c r="D1277">
        <v>27.99</v>
      </c>
      <c r="E1277" t="s">
        <v>623</v>
      </c>
      <c r="F1277" t="s">
        <v>1724</v>
      </c>
      <c r="G1277" t="s">
        <v>16</v>
      </c>
      <c r="H1277">
        <v>2</v>
      </c>
      <c r="I1277" t="s">
        <v>41</v>
      </c>
      <c r="J1277" t="s">
        <v>31</v>
      </c>
      <c r="K1277">
        <v>9</v>
      </c>
      <c r="O1277">
        <f t="shared" si="21"/>
        <v>21.99</v>
      </c>
    </row>
    <row r="1278" spans="1:15" x14ac:dyDescent="0.35">
      <c r="A1278" t="s">
        <v>1649</v>
      </c>
      <c r="B1278">
        <v>2</v>
      </c>
      <c r="C1278">
        <v>18.989999999999998</v>
      </c>
      <c r="D1278">
        <v>32.75</v>
      </c>
      <c r="E1278" t="s">
        <v>1179</v>
      </c>
      <c r="F1278" t="s">
        <v>1725</v>
      </c>
      <c r="G1278" t="s">
        <v>16</v>
      </c>
      <c r="H1278">
        <v>15</v>
      </c>
      <c r="I1278" t="s">
        <v>41</v>
      </c>
      <c r="J1278" t="s">
        <v>42</v>
      </c>
      <c r="K1278">
        <v>6</v>
      </c>
      <c r="O1278">
        <f t="shared" si="21"/>
        <v>37.979999999999997</v>
      </c>
    </row>
    <row r="1279" spans="1:15" x14ac:dyDescent="0.35">
      <c r="A1279" t="s">
        <v>1650</v>
      </c>
      <c r="B1279">
        <v>1</v>
      </c>
      <c r="C1279">
        <v>30.99</v>
      </c>
      <c r="D1279">
        <v>30.99</v>
      </c>
      <c r="E1279" t="s">
        <v>30</v>
      </c>
      <c r="F1279" t="s">
        <v>1726</v>
      </c>
      <c r="G1279" t="s">
        <v>16</v>
      </c>
      <c r="H1279">
        <v>4</v>
      </c>
      <c r="I1279" t="s">
        <v>12</v>
      </c>
      <c r="J1279" t="s">
        <v>18</v>
      </c>
      <c r="K1279">
        <v>10.5</v>
      </c>
      <c r="O1279">
        <f t="shared" si="21"/>
        <v>21.99</v>
      </c>
    </row>
    <row r="1280" spans="1:15" x14ac:dyDescent="0.35">
      <c r="A1280" t="s">
        <v>1651</v>
      </c>
      <c r="B1280">
        <v>1</v>
      </c>
      <c r="C1280">
        <v>30.99</v>
      </c>
      <c r="D1280">
        <v>30.99</v>
      </c>
      <c r="E1280" t="s">
        <v>909</v>
      </c>
      <c r="F1280" t="s">
        <v>1727</v>
      </c>
      <c r="G1280" t="s">
        <v>16</v>
      </c>
      <c r="H1280">
        <v>3</v>
      </c>
      <c r="I1280" t="s">
        <v>17</v>
      </c>
      <c r="J1280" t="s">
        <v>18</v>
      </c>
      <c r="K1280">
        <v>10.5</v>
      </c>
      <c r="O1280">
        <f t="shared" si="21"/>
        <v>21.99</v>
      </c>
    </row>
    <row r="1281" spans="1:15" x14ac:dyDescent="0.35">
      <c r="A1281" t="s">
        <v>1652</v>
      </c>
      <c r="B1281">
        <v>3</v>
      </c>
      <c r="C1281">
        <v>30.99</v>
      </c>
      <c r="D1281">
        <v>73.5</v>
      </c>
      <c r="E1281" t="s">
        <v>534</v>
      </c>
      <c r="F1281" t="s">
        <v>1728</v>
      </c>
      <c r="G1281" t="s">
        <v>16</v>
      </c>
      <c r="H1281">
        <v>3</v>
      </c>
      <c r="I1281" t="s">
        <v>24</v>
      </c>
      <c r="J1281" t="s">
        <v>18</v>
      </c>
      <c r="K1281">
        <v>10.5</v>
      </c>
      <c r="O1281">
        <f t="shared" si="21"/>
        <v>84.73</v>
      </c>
    </row>
    <row r="1282" spans="1:15" x14ac:dyDescent="0.35">
      <c r="A1282" t="s">
        <v>1653</v>
      </c>
      <c r="B1282">
        <v>1</v>
      </c>
      <c r="C1282">
        <v>34.99</v>
      </c>
      <c r="D1282">
        <v>34.99</v>
      </c>
      <c r="E1282" t="s">
        <v>148</v>
      </c>
      <c r="F1282" t="s">
        <v>1717</v>
      </c>
      <c r="G1282" t="s">
        <v>87</v>
      </c>
      <c r="H1282">
        <v>0</v>
      </c>
      <c r="I1282" t="s">
        <v>12</v>
      </c>
      <c r="J1282" t="s">
        <v>36</v>
      </c>
      <c r="K1282">
        <v>12.5</v>
      </c>
      <c r="O1282">
        <f t="shared" ref="O1282:O1327" si="22">VLOOKUP(B:B,B:H,3,FALSE)</f>
        <v>21.99</v>
      </c>
    </row>
    <row r="1283" spans="1:15" x14ac:dyDescent="0.35">
      <c r="A1283" t="s">
        <v>1654</v>
      </c>
      <c r="B1283">
        <v>3</v>
      </c>
      <c r="C1283">
        <v>18.989999999999998</v>
      </c>
      <c r="D1283">
        <v>44.74</v>
      </c>
      <c r="E1283" t="s">
        <v>775</v>
      </c>
      <c r="F1283" t="s">
        <v>1718</v>
      </c>
      <c r="G1283" t="s">
        <v>21</v>
      </c>
      <c r="H1283">
        <v>0</v>
      </c>
      <c r="I1283" t="s">
        <v>24</v>
      </c>
      <c r="J1283" t="s">
        <v>42</v>
      </c>
      <c r="K1283">
        <v>6</v>
      </c>
      <c r="O1283">
        <f t="shared" si="22"/>
        <v>84.73</v>
      </c>
    </row>
    <row r="1284" spans="1:15" x14ac:dyDescent="0.35">
      <c r="A1284" t="s">
        <v>1655</v>
      </c>
      <c r="B1284">
        <v>1</v>
      </c>
      <c r="C1284">
        <v>21.99</v>
      </c>
      <c r="D1284">
        <v>21.99</v>
      </c>
      <c r="E1284" t="s">
        <v>921</v>
      </c>
      <c r="F1284" t="s">
        <v>1719</v>
      </c>
      <c r="G1284" t="s">
        <v>21</v>
      </c>
      <c r="H1284">
        <v>0</v>
      </c>
      <c r="I1284" t="s">
        <v>12</v>
      </c>
      <c r="J1284" t="s">
        <v>13</v>
      </c>
      <c r="K1284">
        <v>7</v>
      </c>
      <c r="O1284">
        <f t="shared" si="22"/>
        <v>21.99</v>
      </c>
    </row>
    <row r="1285" spans="1:15" x14ac:dyDescent="0.35">
      <c r="A1285" t="s">
        <v>1656</v>
      </c>
      <c r="B1285">
        <v>2</v>
      </c>
      <c r="C1285">
        <v>30.99</v>
      </c>
      <c r="D1285">
        <v>53.54</v>
      </c>
      <c r="E1285" t="s">
        <v>158</v>
      </c>
      <c r="F1285" t="s">
        <v>1720</v>
      </c>
      <c r="G1285" t="s">
        <v>87</v>
      </c>
      <c r="H1285">
        <v>0</v>
      </c>
      <c r="I1285" t="s">
        <v>12</v>
      </c>
      <c r="J1285" t="s">
        <v>18</v>
      </c>
      <c r="K1285">
        <v>10.5</v>
      </c>
      <c r="O1285">
        <f t="shared" si="22"/>
        <v>37.979999999999997</v>
      </c>
    </row>
    <row r="1286" spans="1:15" x14ac:dyDescent="0.35">
      <c r="A1286" t="s">
        <v>1657</v>
      </c>
      <c r="B1286">
        <v>1</v>
      </c>
      <c r="C1286">
        <v>21.99</v>
      </c>
      <c r="D1286">
        <v>21.99</v>
      </c>
      <c r="E1286" t="s">
        <v>397</v>
      </c>
      <c r="F1286" t="s">
        <v>1721</v>
      </c>
      <c r="G1286" t="s">
        <v>16</v>
      </c>
      <c r="H1286">
        <v>2</v>
      </c>
      <c r="I1286" t="s">
        <v>41</v>
      </c>
      <c r="J1286" t="s">
        <v>13</v>
      </c>
      <c r="K1286">
        <v>7</v>
      </c>
      <c r="O1286">
        <f t="shared" si="22"/>
        <v>21.99</v>
      </c>
    </row>
    <row r="1287" spans="1:15" x14ac:dyDescent="0.35">
      <c r="A1287" t="s">
        <v>1658</v>
      </c>
      <c r="B1287">
        <v>1</v>
      </c>
      <c r="C1287">
        <v>18.989999999999998</v>
      </c>
      <c r="D1287">
        <v>18.989999999999998</v>
      </c>
      <c r="E1287" t="s">
        <v>644</v>
      </c>
      <c r="F1287" t="s">
        <v>1722</v>
      </c>
      <c r="G1287" t="s">
        <v>87</v>
      </c>
      <c r="H1287">
        <v>0</v>
      </c>
      <c r="I1287" t="s">
        <v>17</v>
      </c>
      <c r="J1287" t="s">
        <v>42</v>
      </c>
      <c r="K1287">
        <v>6</v>
      </c>
      <c r="O1287">
        <f t="shared" si="22"/>
        <v>21.99</v>
      </c>
    </row>
    <row r="1288" spans="1:15" x14ac:dyDescent="0.35">
      <c r="A1288" t="s">
        <v>1659</v>
      </c>
      <c r="B1288">
        <v>1</v>
      </c>
      <c r="C1288">
        <v>34.99</v>
      </c>
      <c r="D1288">
        <v>34.99</v>
      </c>
      <c r="E1288" t="s">
        <v>1660</v>
      </c>
      <c r="F1288" t="s">
        <v>1723</v>
      </c>
      <c r="G1288" t="s">
        <v>16</v>
      </c>
      <c r="H1288">
        <v>5</v>
      </c>
      <c r="I1288" t="s">
        <v>17</v>
      </c>
      <c r="J1288" t="s">
        <v>36</v>
      </c>
      <c r="K1288">
        <v>12.5</v>
      </c>
      <c r="O1288">
        <f t="shared" si="22"/>
        <v>21.99</v>
      </c>
    </row>
    <row r="1289" spans="1:15" x14ac:dyDescent="0.35">
      <c r="A1289" t="s">
        <v>1661</v>
      </c>
      <c r="B1289">
        <v>1</v>
      </c>
      <c r="C1289">
        <v>16.989999999999998</v>
      </c>
      <c r="D1289">
        <v>16.989999999999998</v>
      </c>
      <c r="E1289" t="s">
        <v>236</v>
      </c>
      <c r="F1289" t="s">
        <v>1724</v>
      </c>
      <c r="G1289" t="s">
        <v>16</v>
      </c>
      <c r="H1289">
        <v>20</v>
      </c>
      <c r="I1289" t="s">
        <v>17</v>
      </c>
      <c r="J1289" t="s">
        <v>25</v>
      </c>
      <c r="K1289">
        <v>5</v>
      </c>
      <c r="O1289">
        <f t="shared" si="22"/>
        <v>21.99</v>
      </c>
    </row>
    <row r="1290" spans="1:15" x14ac:dyDescent="0.35">
      <c r="A1290" t="s">
        <v>1662</v>
      </c>
      <c r="B1290">
        <v>1</v>
      </c>
      <c r="C1290">
        <v>27.99</v>
      </c>
      <c r="D1290">
        <v>27.99</v>
      </c>
      <c r="E1290" t="s">
        <v>822</v>
      </c>
      <c r="F1290" t="s">
        <v>1725</v>
      </c>
      <c r="G1290" t="s">
        <v>21</v>
      </c>
      <c r="H1290">
        <v>0</v>
      </c>
      <c r="I1290" t="s">
        <v>24</v>
      </c>
      <c r="J1290" t="s">
        <v>31</v>
      </c>
      <c r="K1290">
        <v>9</v>
      </c>
      <c r="O1290">
        <f t="shared" si="22"/>
        <v>21.99</v>
      </c>
    </row>
    <row r="1291" spans="1:15" x14ac:dyDescent="0.35">
      <c r="A1291" t="s">
        <v>1663</v>
      </c>
      <c r="B1291">
        <v>1</v>
      </c>
      <c r="C1291">
        <v>30.99</v>
      </c>
      <c r="D1291">
        <v>30.99</v>
      </c>
      <c r="E1291" t="s">
        <v>164</v>
      </c>
      <c r="F1291" t="s">
        <v>1726</v>
      </c>
      <c r="G1291" t="s">
        <v>16</v>
      </c>
      <c r="H1291">
        <v>3</v>
      </c>
      <c r="I1291" t="s">
        <v>24</v>
      </c>
      <c r="J1291" t="s">
        <v>18</v>
      </c>
      <c r="K1291">
        <v>10.5</v>
      </c>
      <c r="O1291">
        <f t="shared" si="22"/>
        <v>21.99</v>
      </c>
    </row>
    <row r="1292" spans="1:15" x14ac:dyDescent="0.35">
      <c r="A1292" t="s">
        <v>1664</v>
      </c>
      <c r="B1292">
        <v>3</v>
      </c>
      <c r="C1292">
        <v>30.99</v>
      </c>
      <c r="D1292">
        <v>75.02</v>
      </c>
      <c r="E1292" t="s">
        <v>96</v>
      </c>
      <c r="F1292" t="s">
        <v>1727</v>
      </c>
      <c r="G1292" t="s">
        <v>16</v>
      </c>
      <c r="H1292">
        <v>2</v>
      </c>
      <c r="I1292" t="s">
        <v>24</v>
      </c>
      <c r="J1292" t="s">
        <v>18</v>
      </c>
      <c r="K1292">
        <v>10.5</v>
      </c>
      <c r="O1292">
        <f t="shared" si="22"/>
        <v>84.73</v>
      </c>
    </row>
    <row r="1293" spans="1:15" x14ac:dyDescent="0.35">
      <c r="A1293" t="s">
        <v>1665</v>
      </c>
      <c r="B1293">
        <v>1</v>
      </c>
      <c r="C1293">
        <v>16.989999999999998</v>
      </c>
      <c r="D1293">
        <v>16.989999999999998</v>
      </c>
      <c r="E1293" t="s">
        <v>923</v>
      </c>
      <c r="F1293" t="s">
        <v>1728</v>
      </c>
      <c r="G1293" t="s">
        <v>21</v>
      </c>
      <c r="H1293">
        <v>0</v>
      </c>
      <c r="I1293" t="s">
        <v>12</v>
      </c>
      <c r="J1293" t="s">
        <v>25</v>
      </c>
      <c r="K1293">
        <v>5</v>
      </c>
      <c r="O1293">
        <f t="shared" si="22"/>
        <v>21.99</v>
      </c>
    </row>
    <row r="1294" spans="1:15" x14ac:dyDescent="0.35">
      <c r="A1294" t="s">
        <v>1666</v>
      </c>
      <c r="B1294">
        <v>1</v>
      </c>
      <c r="C1294">
        <v>30.99</v>
      </c>
      <c r="D1294">
        <v>30.99</v>
      </c>
      <c r="E1294" t="s">
        <v>1632</v>
      </c>
      <c r="F1294" t="s">
        <v>1717</v>
      </c>
      <c r="G1294" t="s">
        <v>11</v>
      </c>
      <c r="H1294">
        <v>3</v>
      </c>
      <c r="I1294" t="s">
        <v>12</v>
      </c>
      <c r="J1294" t="s">
        <v>18</v>
      </c>
      <c r="K1294">
        <v>10.5</v>
      </c>
      <c r="O1294">
        <f t="shared" si="22"/>
        <v>21.99</v>
      </c>
    </row>
    <row r="1295" spans="1:15" x14ac:dyDescent="0.35">
      <c r="A1295" t="s">
        <v>1667</v>
      </c>
      <c r="B1295">
        <v>1</v>
      </c>
      <c r="C1295">
        <v>27.99</v>
      </c>
      <c r="D1295">
        <v>27.99</v>
      </c>
      <c r="E1295" t="s">
        <v>447</v>
      </c>
      <c r="F1295" t="s">
        <v>1718</v>
      </c>
      <c r="G1295" t="s">
        <v>21</v>
      </c>
      <c r="H1295">
        <v>0</v>
      </c>
      <c r="I1295" t="s">
        <v>41</v>
      </c>
      <c r="J1295" t="s">
        <v>31</v>
      </c>
      <c r="K1295">
        <v>9</v>
      </c>
      <c r="O1295">
        <f t="shared" si="22"/>
        <v>21.99</v>
      </c>
    </row>
    <row r="1296" spans="1:15" x14ac:dyDescent="0.35">
      <c r="A1296" t="s">
        <v>1668</v>
      </c>
      <c r="B1296">
        <v>3</v>
      </c>
      <c r="C1296">
        <v>21.99</v>
      </c>
      <c r="D1296">
        <v>53.43</v>
      </c>
      <c r="E1296" t="s">
        <v>1669</v>
      </c>
      <c r="F1296" t="s">
        <v>1719</v>
      </c>
      <c r="G1296" t="s">
        <v>16</v>
      </c>
      <c r="H1296">
        <v>2</v>
      </c>
      <c r="I1296" t="s">
        <v>24</v>
      </c>
      <c r="J1296" t="s">
        <v>13</v>
      </c>
      <c r="K1296">
        <v>7</v>
      </c>
      <c r="O1296">
        <f t="shared" si="22"/>
        <v>84.73</v>
      </c>
    </row>
    <row r="1297" spans="1:15" x14ac:dyDescent="0.35">
      <c r="A1297" t="s">
        <v>1670</v>
      </c>
      <c r="B1297">
        <v>3</v>
      </c>
      <c r="C1297">
        <v>21.99</v>
      </c>
      <c r="D1297">
        <v>52.48</v>
      </c>
      <c r="E1297" t="s">
        <v>818</v>
      </c>
      <c r="F1297" t="s">
        <v>1720</v>
      </c>
      <c r="G1297" t="s">
        <v>21</v>
      </c>
      <c r="H1297">
        <v>0</v>
      </c>
      <c r="I1297" t="s">
        <v>41</v>
      </c>
      <c r="J1297" t="s">
        <v>13</v>
      </c>
      <c r="K1297">
        <v>7</v>
      </c>
      <c r="O1297">
        <f t="shared" si="22"/>
        <v>84.73</v>
      </c>
    </row>
    <row r="1298" spans="1:15" x14ac:dyDescent="0.35">
      <c r="A1298" t="s">
        <v>1671</v>
      </c>
      <c r="B1298">
        <v>3</v>
      </c>
      <c r="C1298">
        <v>30.99</v>
      </c>
      <c r="D1298">
        <v>73.2</v>
      </c>
      <c r="E1298" t="s">
        <v>701</v>
      </c>
      <c r="F1298" t="s">
        <v>1721</v>
      </c>
      <c r="G1298" t="s">
        <v>16</v>
      </c>
      <c r="H1298">
        <v>5</v>
      </c>
      <c r="I1298" t="s">
        <v>24</v>
      </c>
      <c r="J1298" t="s">
        <v>18</v>
      </c>
      <c r="K1298">
        <v>10.5</v>
      </c>
      <c r="O1298">
        <f t="shared" si="22"/>
        <v>84.73</v>
      </c>
    </row>
    <row r="1299" spans="1:15" x14ac:dyDescent="0.35">
      <c r="A1299" t="s">
        <v>1672</v>
      </c>
      <c r="B1299">
        <v>1</v>
      </c>
      <c r="C1299">
        <v>27.99</v>
      </c>
      <c r="D1299">
        <v>27.99</v>
      </c>
      <c r="E1299" t="s">
        <v>1673</v>
      </c>
      <c r="F1299" t="s">
        <v>1722</v>
      </c>
      <c r="G1299" t="s">
        <v>21</v>
      </c>
      <c r="H1299">
        <v>0</v>
      </c>
      <c r="I1299" t="s">
        <v>24</v>
      </c>
      <c r="J1299" t="s">
        <v>31</v>
      </c>
      <c r="K1299">
        <v>9</v>
      </c>
      <c r="O1299">
        <f t="shared" si="22"/>
        <v>21.99</v>
      </c>
    </row>
    <row r="1300" spans="1:15" x14ac:dyDescent="0.35">
      <c r="A1300" t="s">
        <v>1674</v>
      </c>
      <c r="B1300">
        <v>2</v>
      </c>
      <c r="C1300">
        <v>34.99</v>
      </c>
      <c r="D1300">
        <v>60.85</v>
      </c>
      <c r="E1300" t="s">
        <v>1523</v>
      </c>
      <c r="F1300" t="s">
        <v>1723</v>
      </c>
      <c r="G1300" t="s">
        <v>21</v>
      </c>
      <c r="H1300">
        <v>0</v>
      </c>
      <c r="I1300" t="s">
        <v>12</v>
      </c>
      <c r="J1300" t="s">
        <v>36</v>
      </c>
      <c r="K1300">
        <v>12.5</v>
      </c>
      <c r="O1300">
        <f t="shared" si="22"/>
        <v>37.979999999999997</v>
      </c>
    </row>
    <row r="1301" spans="1:15" x14ac:dyDescent="0.35">
      <c r="A1301" t="s">
        <v>1675</v>
      </c>
      <c r="B1301">
        <v>1</v>
      </c>
      <c r="C1301">
        <v>30.99</v>
      </c>
      <c r="D1301">
        <v>30.99</v>
      </c>
      <c r="E1301" t="s">
        <v>455</v>
      </c>
      <c r="F1301" t="s">
        <v>1724</v>
      </c>
      <c r="G1301" t="s">
        <v>16</v>
      </c>
      <c r="H1301">
        <v>3</v>
      </c>
      <c r="I1301" t="s">
        <v>24</v>
      </c>
      <c r="J1301" t="s">
        <v>18</v>
      </c>
      <c r="K1301">
        <v>10.5</v>
      </c>
      <c r="O1301">
        <f t="shared" si="22"/>
        <v>21.99</v>
      </c>
    </row>
    <row r="1302" spans="1:15" x14ac:dyDescent="0.35">
      <c r="A1302" t="s">
        <v>1676</v>
      </c>
      <c r="B1302">
        <v>3</v>
      </c>
      <c r="C1302">
        <v>30.99</v>
      </c>
      <c r="D1302">
        <v>73.12</v>
      </c>
      <c r="E1302" t="s">
        <v>1677</v>
      </c>
      <c r="F1302" t="s">
        <v>1725</v>
      </c>
      <c r="G1302" t="s">
        <v>16</v>
      </c>
      <c r="H1302">
        <v>3</v>
      </c>
      <c r="I1302" t="s">
        <v>17</v>
      </c>
      <c r="J1302" t="s">
        <v>18</v>
      </c>
      <c r="K1302">
        <v>10.5</v>
      </c>
      <c r="O1302">
        <f t="shared" si="22"/>
        <v>84.73</v>
      </c>
    </row>
    <row r="1303" spans="1:15" x14ac:dyDescent="0.35">
      <c r="A1303" t="s">
        <v>1678</v>
      </c>
      <c r="B1303">
        <v>1</v>
      </c>
      <c r="C1303">
        <v>18.989999999999998</v>
      </c>
      <c r="D1303">
        <v>18.989999999999998</v>
      </c>
      <c r="E1303" t="s">
        <v>102</v>
      </c>
      <c r="F1303" t="s">
        <v>1726</v>
      </c>
      <c r="G1303" t="s">
        <v>21</v>
      </c>
      <c r="H1303">
        <v>0</v>
      </c>
      <c r="I1303" t="s">
        <v>24</v>
      </c>
      <c r="J1303" t="s">
        <v>42</v>
      </c>
      <c r="K1303">
        <v>6</v>
      </c>
      <c r="O1303">
        <f t="shared" si="22"/>
        <v>21.99</v>
      </c>
    </row>
    <row r="1304" spans="1:15" x14ac:dyDescent="0.35">
      <c r="A1304" t="s">
        <v>1679</v>
      </c>
      <c r="B1304">
        <v>1</v>
      </c>
      <c r="C1304">
        <v>34.99</v>
      </c>
      <c r="D1304">
        <v>34.99</v>
      </c>
      <c r="E1304" t="s">
        <v>1505</v>
      </c>
      <c r="F1304" t="s">
        <v>1727</v>
      </c>
      <c r="G1304" t="s">
        <v>11</v>
      </c>
      <c r="H1304">
        <v>6</v>
      </c>
      <c r="I1304" t="s">
        <v>41</v>
      </c>
      <c r="J1304" t="s">
        <v>36</v>
      </c>
      <c r="K1304">
        <v>12.5</v>
      </c>
      <c r="O1304">
        <f t="shared" si="22"/>
        <v>21.99</v>
      </c>
    </row>
    <row r="1305" spans="1:15" x14ac:dyDescent="0.35">
      <c r="A1305" t="s">
        <v>1680</v>
      </c>
      <c r="B1305">
        <v>1</v>
      </c>
      <c r="C1305">
        <v>21.99</v>
      </c>
      <c r="D1305">
        <v>21.99</v>
      </c>
      <c r="E1305" t="s">
        <v>602</v>
      </c>
      <c r="F1305" t="s">
        <v>1728</v>
      </c>
      <c r="G1305" t="s">
        <v>16</v>
      </c>
      <c r="H1305">
        <v>2</v>
      </c>
      <c r="I1305" t="s">
        <v>12</v>
      </c>
      <c r="J1305" t="s">
        <v>13</v>
      </c>
      <c r="K1305">
        <v>7</v>
      </c>
      <c r="O1305">
        <f t="shared" si="22"/>
        <v>21.99</v>
      </c>
    </row>
    <row r="1306" spans="1:15" x14ac:dyDescent="0.35">
      <c r="A1306" t="s">
        <v>1681</v>
      </c>
      <c r="B1306">
        <v>1</v>
      </c>
      <c r="C1306">
        <v>16.989999999999998</v>
      </c>
      <c r="D1306">
        <v>16.989999999999998</v>
      </c>
      <c r="E1306" t="s">
        <v>455</v>
      </c>
      <c r="F1306" t="s">
        <v>1717</v>
      </c>
      <c r="G1306" t="s">
        <v>16</v>
      </c>
      <c r="H1306">
        <v>20</v>
      </c>
      <c r="I1306" t="s">
        <v>24</v>
      </c>
      <c r="J1306" t="s">
        <v>25</v>
      </c>
      <c r="K1306">
        <v>5</v>
      </c>
      <c r="O1306">
        <f t="shared" si="22"/>
        <v>21.99</v>
      </c>
    </row>
    <row r="1307" spans="1:15" x14ac:dyDescent="0.35">
      <c r="A1307" t="s">
        <v>1682</v>
      </c>
      <c r="B1307">
        <v>3</v>
      </c>
      <c r="C1307">
        <v>16.989999999999998</v>
      </c>
      <c r="D1307">
        <v>40.07</v>
      </c>
      <c r="E1307" t="s">
        <v>162</v>
      </c>
      <c r="F1307" t="s">
        <v>1718</v>
      </c>
      <c r="G1307" t="s">
        <v>16</v>
      </c>
      <c r="H1307">
        <v>19</v>
      </c>
      <c r="I1307" t="s">
        <v>17</v>
      </c>
      <c r="J1307" t="s">
        <v>25</v>
      </c>
      <c r="K1307">
        <v>5</v>
      </c>
      <c r="O1307">
        <f t="shared" si="22"/>
        <v>84.73</v>
      </c>
    </row>
    <row r="1308" spans="1:15" x14ac:dyDescent="0.35">
      <c r="A1308" t="s">
        <v>1683</v>
      </c>
      <c r="B1308">
        <v>1</v>
      </c>
      <c r="C1308">
        <v>30.99</v>
      </c>
      <c r="D1308">
        <v>30.99</v>
      </c>
      <c r="E1308" t="s">
        <v>1114</v>
      </c>
      <c r="F1308" t="s">
        <v>1719</v>
      </c>
      <c r="G1308" t="s">
        <v>11</v>
      </c>
      <c r="H1308">
        <v>3</v>
      </c>
      <c r="I1308" t="s">
        <v>17</v>
      </c>
      <c r="J1308" t="s">
        <v>18</v>
      </c>
      <c r="K1308">
        <v>10.5</v>
      </c>
      <c r="O1308">
        <f t="shared" si="22"/>
        <v>21.99</v>
      </c>
    </row>
    <row r="1309" spans="1:15" x14ac:dyDescent="0.35">
      <c r="A1309" t="s">
        <v>1684</v>
      </c>
      <c r="B1309">
        <v>1</v>
      </c>
      <c r="C1309">
        <v>30.99</v>
      </c>
      <c r="D1309">
        <v>30.99</v>
      </c>
      <c r="E1309" s="6">
        <v>46263</v>
      </c>
      <c r="F1309" t="s">
        <v>1720</v>
      </c>
      <c r="G1309" t="s">
        <v>28</v>
      </c>
      <c r="H1309">
        <v>0</v>
      </c>
      <c r="I1309" t="s">
        <v>12</v>
      </c>
      <c r="J1309" t="s">
        <v>18</v>
      </c>
      <c r="K1309">
        <v>10.5</v>
      </c>
      <c r="O1309">
        <f t="shared" si="22"/>
        <v>21.99</v>
      </c>
    </row>
    <row r="1310" spans="1:15" x14ac:dyDescent="0.35">
      <c r="A1310" t="s">
        <v>1685</v>
      </c>
      <c r="B1310">
        <v>1</v>
      </c>
      <c r="C1310">
        <v>21.99</v>
      </c>
      <c r="D1310">
        <v>21.99</v>
      </c>
      <c r="E1310" t="s">
        <v>33</v>
      </c>
      <c r="F1310" t="s">
        <v>1721</v>
      </c>
      <c r="G1310" t="s">
        <v>16</v>
      </c>
      <c r="H1310">
        <v>3</v>
      </c>
      <c r="I1310" t="s">
        <v>24</v>
      </c>
      <c r="J1310" t="s">
        <v>13</v>
      </c>
      <c r="K1310">
        <v>7</v>
      </c>
      <c r="O1310">
        <f t="shared" si="22"/>
        <v>21.99</v>
      </c>
    </row>
    <row r="1311" spans="1:15" x14ac:dyDescent="0.35">
      <c r="A1311" t="s">
        <v>1686</v>
      </c>
      <c r="B1311">
        <v>1</v>
      </c>
      <c r="C1311">
        <v>16.989999999999998</v>
      </c>
      <c r="D1311">
        <v>16.989999999999998</v>
      </c>
      <c r="E1311" t="s">
        <v>657</v>
      </c>
      <c r="F1311" t="s">
        <v>1722</v>
      </c>
      <c r="G1311" t="s">
        <v>16</v>
      </c>
      <c r="H1311">
        <v>20</v>
      </c>
      <c r="I1311" t="s">
        <v>17</v>
      </c>
      <c r="J1311" t="s">
        <v>25</v>
      </c>
      <c r="K1311">
        <v>5</v>
      </c>
      <c r="O1311">
        <f t="shared" si="22"/>
        <v>21.99</v>
      </c>
    </row>
    <row r="1312" spans="1:15" x14ac:dyDescent="0.35">
      <c r="A1312" t="s">
        <v>1687</v>
      </c>
      <c r="B1312">
        <v>1</v>
      </c>
      <c r="C1312">
        <v>21.99</v>
      </c>
      <c r="D1312">
        <v>21.99</v>
      </c>
      <c r="E1312" t="s">
        <v>841</v>
      </c>
      <c r="F1312" t="s">
        <v>1723</v>
      </c>
      <c r="G1312" t="s">
        <v>16</v>
      </c>
      <c r="H1312">
        <v>2</v>
      </c>
      <c r="I1312" t="s">
        <v>17</v>
      </c>
      <c r="J1312" t="s">
        <v>13</v>
      </c>
      <c r="K1312">
        <v>7</v>
      </c>
      <c r="O1312">
        <f t="shared" si="22"/>
        <v>21.99</v>
      </c>
    </row>
    <row r="1313" spans="1:15" x14ac:dyDescent="0.35">
      <c r="A1313" t="s">
        <v>1688</v>
      </c>
      <c r="B1313">
        <v>1</v>
      </c>
      <c r="C1313">
        <v>16.989999999999998</v>
      </c>
      <c r="D1313">
        <v>16.989999999999998</v>
      </c>
      <c r="E1313" t="s">
        <v>1367</v>
      </c>
      <c r="F1313" t="s">
        <v>1724</v>
      </c>
      <c r="G1313" t="s">
        <v>16</v>
      </c>
      <c r="H1313">
        <v>16</v>
      </c>
      <c r="I1313" t="s">
        <v>24</v>
      </c>
      <c r="J1313" t="s">
        <v>25</v>
      </c>
      <c r="K1313">
        <v>5</v>
      </c>
      <c r="O1313">
        <f t="shared" si="22"/>
        <v>21.99</v>
      </c>
    </row>
    <row r="1314" spans="1:15" x14ac:dyDescent="0.35">
      <c r="A1314" t="s">
        <v>1689</v>
      </c>
      <c r="B1314">
        <v>3</v>
      </c>
      <c r="C1314">
        <v>34.99</v>
      </c>
      <c r="D1314">
        <v>83.92</v>
      </c>
      <c r="E1314" t="s">
        <v>10</v>
      </c>
      <c r="F1314" t="s">
        <v>1725</v>
      </c>
      <c r="G1314" t="s">
        <v>16</v>
      </c>
      <c r="H1314">
        <v>5</v>
      </c>
      <c r="I1314" t="s">
        <v>24</v>
      </c>
      <c r="J1314" t="s">
        <v>36</v>
      </c>
      <c r="K1314">
        <v>12.5</v>
      </c>
      <c r="O1314">
        <f t="shared" si="22"/>
        <v>84.73</v>
      </c>
    </row>
    <row r="1315" spans="1:15" x14ac:dyDescent="0.35">
      <c r="A1315" t="s">
        <v>1690</v>
      </c>
      <c r="B1315">
        <v>1</v>
      </c>
      <c r="C1315">
        <v>30.99</v>
      </c>
      <c r="D1315">
        <v>30.99</v>
      </c>
      <c r="E1315" t="s">
        <v>439</v>
      </c>
      <c r="F1315" t="s">
        <v>1726</v>
      </c>
      <c r="G1315" t="s">
        <v>16</v>
      </c>
      <c r="H1315">
        <v>2</v>
      </c>
      <c r="I1315" t="s">
        <v>12</v>
      </c>
      <c r="J1315" t="s">
        <v>18</v>
      </c>
      <c r="K1315">
        <v>10.5</v>
      </c>
      <c r="O1315">
        <f t="shared" si="22"/>
        <v>21.99</v>
      </c>
    </row>
    <row r="1316" spans="1:15" x14ac:dyDescent="0.35">
      <c r="A1316" t="s">
        <v>1691</v>
      </c>
      <c r="B1316">
        <v>1</v>
      </c>
      <c r="C1316">
        <v>16.989999999999998</v>
      </c>
      <c r="D1316">
        <v>16.989999999999998</v>
      </c>
      <c r="E1316" t="s">
        <v>1326</v>
      </c>
      <c r="F1316" t="s">
        <v>1727</v>
      </c>
      <c r="G1316" t="s">
        <v>87</v>
      </c>
      <c r="H1316">
        <v>0</v>
      </c>
      <c r="I1316" t="s">
        <v>17</v>
      </c>
      <c r="J1316" t="s">
        <v>25</v>
      </c>
      <c r="K1316">
        <v>5</v>
      </c>
      <c r="O1316">
        <f t="shared" si="22"/>
        <v>21.99</v>
      </c>
    </row>
    <row r="1317" spans="1:15" x14ac:dyDescent="0.35">
      <c r="A1317" t="s">
        <v>1692</v>
      </c>
      <c r="B1317">
        <v>1</v>
      </c>
      <c r="C1317">
        <v>18.989999999999998</v>
      </c>
      <c r="D1317">
        <v>18.989999999999998</v>
      </c>
      <c r="E1317" t="s">
        <v>801</v>
      </c>
      <c r="F1317" t="s">
        <v>1728</v>
      </c>
      <c r="G1317" t="s">
        <v>16</v>
      </c>
      <c r="H1317">
        <v>11</v>
      </c>
      <c r="I1317" t="s">
        <v>12</v>
      </c>
      <c r="J1317" t="s">
        <v>42</v>
      </c>
      <c r="K1317">
        <v>6</v>
      </c>
      <c r="O1317">
        <f t="shared" si="22"/>
        <v>21.99</v>
      </c>
    </row>
    <row r="1318" spans="1:15" x14ac:dyDescent="0.35">
      <c r="A1318" t="s">
        <v>1693</v>
      </c>
      <c r="B1318">
        <v>1</v>
      </c>
      <c r="C1318">
        <v>18.989999999999998</v>
      </c>
      <c r="D1318">
        <v>18.989999999999998</v>
      </c>
      <c r="E1318" t="s">
        <v>320</v>
      </c>
      <c r="F1318" t="s">
        <v>1717</v>
      </c>
      <c r="G1318" t="s">
        <v>16</v>
      </c>
      <c r="H1318">
        <v>12</v>
      </c>
      <c r="I1318" t="s">
        <v>41</v>
      </c>
      <c r="J1318" t="s">
        <v>42</v>
      </c>
      <c r="K1318">
        <v>6</v>
      </c>
      <c r="O1318">
        <f t="shared" si="22"/>
        <v>21.99</v>
      </c>
    </row>
    <row r="1319" spans="1:15" x14ac:dyDescent="0.35">
      <c r="A1319" t="s">
        <v>1694</v>
      </c>
      <c r="B1319">
        <v>1</v>
      </c>
      <c r="C1319">
        <v>34.99</v>
      </c>
      <c r="D1319">
        <v>34.99</v>
      </c>
      <c r="E1319" t="s">
        <v>1119</v>
      </c>
      <c r="F1319" t="s">
        <v>1718</v>
      </c>
      <c r="G1319" t="s">
        <v>21</v>
      </c>
      <c r="H1319">
        <v>0</v>
      </c>
      <c r="I1319" t="s">
        <v>12</v>
      </c>
      <c r="J1319" t="s">
        <v>36</v>
      </c>
      <c r="K1319">
        <v>12.5</v>
      </c>
      <c r="O1319">
        <f t="shared" si="22"/>
        <v>21.99</v>
      </c>
    </row>
    <row r="1320" spans="1:15" x14ac:dyDescent="0.35">
      <c r="A1320" t="s">
        <v>1695</v>
      </c>
      <c r="B1320">
        <v>1</v>
      </c>
      <c r="C1320">
        <v>30.99</v>
      </c>
      <c r="D1320">
        <v>30.99</v>
      </c>
      <c r="E1320" s="6">
        <v>46317</v>
      </c>
      <c r="F1320" t="s">
        <v>1719</v>
      </c>
      <c r="G1320" t="s">
        <v>16</v>
      </c>
      <c r="H1320">
        <v>3</v>
      </c>
      <c r="I1320" t="s">
        <v>17</v>
      </c>
      <c r="J1320" t="s">
        <v>18</v>
      </c>
      <c r="K1320">
        <v>10.5</v>
      </c>
      <c r="O1320">
        <f t="shared" si="22"/>
        <v>21.99</v>
      </c>
    </row>
    <row r="1321" spans="1:15" x14ac:dyDescent="0.35">
      <c r="A1321" t="s">
        <v>1318</v>
      </c>
      <c r="B1321">
        <v>1</v>
      </c>
      <c r="C1321">
        <v>27.99</v>
      </c>
      <c r="D1321">
        <v>27.99</v>
      </c>
      <c r="E1321" t="s">
        <v>1319</v>
      </c>
      <c r="F1321" t="s">
        <v>1720</v>
      </c>
      <c r="G1321" t="s">
        <v>21</v>
      </c>
      <c r="H1321">
        <v>0</v>
      </c>
      <c r="I1321" t="s">
        <v>12</v>
      </c>
      <c r="J1321" t="s">
        <v>31</v>
      </c>
      <c r="K1321">
        <v>9</v>
      </c>
      <c r="O1321">
        <f t="shared" si="22"/>
        <v>21.99</v>
      </c>
    </row>
    <row r="1322" spans="1:15" x14ac:dyDescent="0.35">
      <c r="A1322" t="s">
        <v>1620</v>
      </c>
      <c r="B1322">
        <v>1</v>
      </c>
      <c r="C1322">
        <v>34.99</v>
      </c>
      <c r="D1322">
        <v>34.99</v>
      </c>
      <c r="E1322" t="s">
        <v>50</v>
      </c>
      <c r="F1322" t="s">
        <v>1721</v>
      </c>
      <c r="G1322" t="s">
        <v>16</v>
      </c>
      <c r="H1322">
        <v>5</v>
      </c>
      <c r="I1322" t="s">
        <v>17</v>
      </c>
      <c r="J1322" t="s">
        <v>36</v>
      </c>
      <c r="K1322">
        <v>12.5</v>
      </c>
      <c r="O1322">
        <f t="shared" si="22"/>
        <v>21.99</v>
      </c>
    </row>
    <row r="1323" spans="1:15" x14ac:dyDescent="0.35">
      <c r="A1323" t="s">
        <v>1511</v>
      </c>
      <c r="B1323">
        <v>1</v>
      </c>
      <c r="C1323">
        <v>30.99</v>
      </c>
      <c r="D1323">
        <v>30.99</v>
      </c>
      <c r="E1323" t="s">
        <v>730</v>
      </c>
      <c r="F1323" t="s">
        <v>1722</v>
      </c>
      <c r="G1323" t="s">
        <v>16</v>
      </c>
      <c r="H1323">
        <v>3</v>
      </c>
      <c r="I1323" t="s">
        <v>17</v>
      </c>
      <c r="J1323" t="s">
        <v>18</v>
      </c>
      <c r="K1323">
        <v>10.5</v>
      </c>
      <c r="O1323">
        <f t="shared" si="22"/>
        <v>21.99</v>
      </c>
    </row>
    <row r="1324" spans="1:15" x14ac:dyDescent="0.35">
      <c r="A1324" t="s">
        <v>698</v>
      </c>
      <c r="B1324">
        <v>1</v>
      </c>
      <c r="C1324">
        <v>18.989999999999998</v>
      </c>
      <c r="D1324">
        <v>18.989999999999998</v>
      </c>
      <c r="E1324" t="s">
        <v>699</v>
      </c>
      <c r="F1324" t="s">
        <v>1723</v>
      </c>
      <c r="G1324" t="s">
        <v>21</v>
      </c>
      <c r="H1324">
        <v>0</v>
      </c>
      <c r="I1324" t="s">
        <v>41</v>
      </c>
      <c r="J1324" t="s">
        <v>42</v>
      </c>
      <c r="K1324">
        <v>6</v>
      </c>
      <c r="O1324">
        <f t="shared" si="22"/>
        <v>21.99</v>
      </c>
    </row>
    <row r="1325" spans="1:15" x14ac:dyDescent="0.35">
      <c r="A1325" t="s">
        <v>1271</v>
      </c>
      <c r="B1325">
        <v>1</v>
      </c>
      <c r="C1325">
        <v>16.989999999999998</v>
      </c>
      <c r="D1325">
        <v>16.989999999999998</v>
      </c>
      <c r="E1325" t="s">
        <v>1272</v>
      </c>
      <c r="F1325" t="s">
        <v>1724</v>
      </c>
      <c r="G1325" t="s">
        <v>21</v>
      </c>
      <c r="H1325">
        <v>0</v>
      </c>
      <c r="I1325" t="s">
        <v>17</v>
      </c>
      <c r="J1325" t="s">
        <v>25</v>
      </c>
      <c r="K1325">
        <v>5</v>
      </c>
      <c r="O1325">
        <f t="shared" si="22"/>
        <v>21.99</v>
      </c>
    </row>
    <row r="1326" spans="1:15" x14ac:dyDescent="0.35">
      <c r="A1326" t="s">
        <v>1245</v>
      </c>
      <c r="B1326">
        <v>1</v>
      </c>
      <c r="C1326">
        <v>18.989999999999998</v>
      </c>
      <c r="D1326">
        <v>18.989999999999998</v>
      </c>
      <c r="E1326" s="6">
        <v>46140</v>
      </c>
      <c r="F1326" t="s">
        <v>1725</v>
      </c>
      <c r="G1326" t="s">
        <v>16</v>
      </c>
      <c r="H1326">
        <v>14</v>
      </c>
      <c r="I1326" t="s">
        <v>41</v>
      </c>
      <c r="J1326" t="s">
        <v>42</v>
      </c>
      <c r="K1326">
        <v>6</v>
      </c>
      <c r="O1326">
        <f t="shared" si="22"/>
        <v>21.99</v>
      </c>
    </row>
    <row r="1327" spans="1:15" x14ac:dyDescent="0.35">
      <c r="A1327" t="s">
        <v>1163</v>
      </c>
      <c r="B1327">
        <v>1</v>
      </c>
      <c r="C1327">
        <v>34.99</v>
      </c>
      <c r="D1327">
        <v>34.99</v>
      </c>
      <c r="E1327" t="s">
        <v>443</v>
      </c>
      <c r="F1327" t="s">
        <v>1726</v>
      </c>
      <c r="G1327" t="s">
        <v>16</v>
      </c>
      <c r="H1327">
        <v>12</v>
      </c>
      <c r="I1327" t="s">
        <v>41</v>
      </c>
      <c r="J1327" t="s">
        <v>36</v>
      </c>
      <c r="K1327">
        <v>12.5</v>
      </c>
      <c r="O1327">
        <f t="shared" si="22"/>
        <v>21.99</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2237F7-F46E-409B-8E1C-314A8F2510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Sheet5</vt:lpstr>
      <vt:lpstr>Sheet6</vt:lpstr>
      <vt:lpstr>orders_desnormalizado_prueba-se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x32448@365mmt.com</dc:creator>
  <cp:lastModifiedBy>x32448@365mmt.com</cp:lastModifiedBy>
  <dcterms:created xsi:type="dcterms:W3CDTF">2026-09-17T09:59:50Z</dcterms:created>
  <dcterms:modified xsi:type="dcterms:W3CDTF">2026-09-24T15:17:18Z</dcterms:modified>
</cp:coreProperties>
</file>